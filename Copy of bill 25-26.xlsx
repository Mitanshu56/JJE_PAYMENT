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8A4E4262-1464-48C0-8102-EAB38C76D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25-26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849" i="1" l="1"/>
  <c r="G11849" i="1" s="1"/>
  <c r="H11849" i="1" s="1"/>
  <c r="B11871" i="1"/>
  <c r="H11868" i="1"/>
  <c r="D11871" i="1" s="1"/>
  <c r="H11867" i="1"/>
  <c r="C11871" i="1" s="1"/>
  <c r="E11871" i="1" l="1"/>
  <c r="H11824" i="1" l="1"/>
  <c r="H11825" i="1" s="1"/>
  <c r="F11808" i="1"/>
  <c r="G11808" i="1" s="1"/>
  <c r="H11808" i="1" s="1"/>
  <c r="H11783" i="1"/>
  <c r="B11788" i="1" s="1"/>
  <c r="G11760" i="1"/>
  <c r="F11760" i="1"/>
  <c r="H11760" i="1" s="1"/>
  <c r="D11829" i="1" l="1"/>
  <c r="C11829" i="1"/>
  <c r="E11829" i="1" s="1"/>
  <c r="H11826" i="1"/>
  <c r="H11827" i="1" s="1"/>
  <c r="B11829" i="1"/>
  <c r="H11785" i="1"/>
  <c r="D11788" i="1" s="1"/>
  <c r="H11784" i="1"/>
  <c r="C11788" i="1" l="1"/>
  <c r="H11786" i="1"/>
  <c r="E11788" i="1"/>
  <c r="B11739" i="1"/>
  <c r="H11734" i="1"/>
  <c r="C11739" i="1" s="1"/>
  <c r="F11714" i="1"/>
  <c r="G11714" i="1" s="1"/>
  <c r="H11714" i="1" s="1"/>
  <c r="F11713" i="1"/>
  <c r="G11713" i="1" s="1"/>
  <c r="H11713" i="1" s="1"/>
  <c r="I11666" i="1"/>
  <c r="B11693" i="1"/>
  <c r="H11688" i="1"/>
  <c r="H11689" i="1" s="1"/>
  <c r="D11693" i="1" s="1"/>
  <c r="F11666" i="1"/>
  <c r="G11666" i="1" s="1"/>
  <c r="H11666" i="1" s="1"/>
  <c r="I11619" i="1"/>
  <c r="I11620" i="1"/>
  <c r="I11618" i="1"/>
  <c r="F11619" i="1"/>
  <c r="G11619" i="1" s="1"/>
  <c r="H11619" i="1" s="1"/>
  <c r="F11620" i="1"/>
  <c r="G11620" i="1" s="1"/>
  <c r="H11620" i="1" s="1"/>
  <c r="B11645" i="1"/>
  <c r="H11640" i="1"/>
  <c r="C11645" i="1" s="1"/>
  <c r="F11618" i="1"/>
  <c r="G11618" i="1" s="1"/>
  <c r="H11618" i="1" s="1"/>
  <c r="I11428" i="1"/>
  <c r="B11598" i="1"/>
  <c r="H11595" i="1"/>
  <c r="D11598" i="1" s="1"/>
  <c r="F11570" i="1"/>
  <c r="G11570" i="1" s="1"/>
  <c r="H11570" i="1" s="1"/>
  <c r="B11550" i="1"/>
  <c r="H11547" i="1"/>
  <c r="D11550" i="1" s="1"/>
  <c r="F11523" i="1"/>
  <c r="G11523" i="1" s="1"/>
  <c r="H11523" i="1" s="1"/>
  <c r="I11476" i="1"/>
  <c r="I11477" i="1"/>
  <c r="I11478" i="1"/>
  <c r="I11475" i="1"/>
  <c r="F11476" i="1"/>
  <c r="G11476" i="1" s="1"/>
  <c r="H11476" i="1" s="1"/>
  <c r="F11477" i="1"/>
  <c r="G11477" i="1" s="1"/>
  <c r="H11477" i="1" s="1"/>
  <c r="F11478" i="1"/>
  <c r="G11478" i="1" s="1"/>
  <c r="H11478" i="1" s="1"/>
  <c r="B11503" i="1"/>
  <c r="H11500" i="1"/>
  <c r="D11503" i="1" s="1"/>
  <c r="F11475" i="1"/>
  <c r="G11475" i="1" s="1"/>
  <c r="H11475" i="1" s="1"/>
  <c r="B11455" i="1"/>
  <c r="H11451" i="1"/>
  <c r="C11455" i="1" s="1"/>
  <c r="F11428" i="1"/>
  <c r="G11428" i="1" s="1"/>
  <c r="H11428" i="1" s="1"/>
  <c r="B11407" i="1"/>
  <c r="H11403" i="1"/>
  <c r="C11407" i="1" s="1"/>
  <c r="F11380" i="1"/>
  <c r="G11380" i="1" s="1"/>
  <c r="H11380" i="1" s="1"/>
  <c r="H11641" i="1" l="1"/>
  <c r="D11645" i="1" s="1"/>
  <c r="H11735" i="1"/>
  <c r="D11739" i="1" s="1"/>
  <c r="E11739" i="1" s="1"/>
  <c r="C11693" i="1"/>
  <c r="E11693" i="1" s="1"/>
  <c r="E11645" i="1"/>
  <c r="H11594" i="1"/>
  <c r="C11598" i="1" s="1"/>
  <c r="E11598" i="1" s="1"/>
  <c r="H11546" i="1"/>
  <c r="C11550" i="1" s="1"/>
  <c r="E11550" i="1" s="1"/>
  <c r="H11499" i="1"/>
  <c r="C11503" i="1" s="1"/>
  <c r="E11503" i="1" s="1"/>
  <c r="H11452" i="1"/>
  <c r="D11455" i="1"/>
  <c r="E11455" i="1" s="1"/>
  <c r="H11404" i="1"/>
  <c r="D11407" i="1"/>
  <c r="E11407" i="1" s="1"/>
  <c r="B11360" i="1" l="1"/>
  <c r="H11356" i="1"/>
  <c r="C11360" i="1" s="1"/>
  <c r="F11335" i="1"/>
  <c r="G11335" i="1" s="1"/>
  <c r="H11335" i="1" s="1"/>
  <c r="B11315" i="1"/>
  <c r="H11311" i="1"/>
  <c r="C11315" i="1" s="1"/>
  <c r="F11290" i="1"/>
  <c r="G11290" i="1" s="1"/>
  <c r="H11290" i="1" s="1"/>
  <c r="I11246" i="1"/>
  <c r="I11247" i="1"/>
  <c r="I11245" i="1"/>
  <c r="B11270" i="1"/>
  <c r="H11266" i="1"/>
  <c r="C11270" i="1" s="1"/>
  <c r="F11247" i="1"/>
  <c r="G11247" i="1" s="1"/>
  <c r="H11247" i="1" s="1"/>
  <c r="F11246" i="1"/>
  <c r="G11246" i="1" s="1"/>
  <c r="H11246" i="1" s="1"/>
  <c r="F11245" i="1"/>
  <c r="G11245" i="1" s="1"/>
  <c r="H11245" i="1" s="1"/>
  <c r="I11201" i="1"/>
  <c r="I11202" i="1"/>
  <c r="I11200" i="1"/>
  <c r="B11225" i="1"/>
  <c r="H11221" i="1"/>
  <c r="C11225" i="1" s="1"/>
  <c r="F11202" i="1"/>
  <c r="G11202" i="1" s="1"/>
  <c r="H11202" i="1" s="1"/>
  <c r="F11201" i="1"/>
  <c r="G11201" i="1" s="1"/>
  <c r="H11201" i="1" s="1"/>
  <c r="F11200" i="1"/>
  <c r="G11200" i="1" s="1"/>
  <c r="H11200" i="1" s="1"/>
  <c r="I11156" i="1"/>
  <c r="I11157" i="1"/>
  <c r="I11158" i="1"/>
  <c r="I11159" i="1"/>
  <c r="I11160" i="1"/>
  <c r="I11155" i="1"/>
  <c r="B11180" i="1"/>
  <c r="H11176" i="1"/>
  <c r="H11177" i="1" s="1"/>
  <c r="H11178" i="1" s="1"/>
  <c r="F11159" i="1"/>
  <c r="G11159" i="1" s="1"/>
  <c r="H11159" i="1" s="1"/>
  <c r="F11158" i="1"/>
  <c r="G11158" i="1" s="1"/>
  <c r="H11158" i="1" s="1"/>
  <c r="F11157" i="1"/>
  <c r="G11157" i="1" s="1"/>
  <c r="H11157" i="1" s="1"/>
  <c r="F11156" i="1"/>
  <c r="G11156" i="1" s="1"/>
  <c r="H11156" i="1" s="1"/>
  <c r="F11155" i="1"/>
  <c r="G11155" i="1" s="1"/>
  <c r="H11155" i="1" s="1"/>
  <c r="F10175" i="1"/>
  <c r="G10175" i="1" s="1"/>
  <c r="H10175" i="1" s="1"/>
  <c r="F10176" i="1"/>
  <c r="G10176" i="1" s="1"/>
  <c r="H10176" i="1" s="1"/>
  <c r="H11267" i="1" l="1"/>
  <c r="H11268" i="1" s="1"/>
  <c r="E11270" i="1"/>
  <c r="D11270" i="1"/>
  <c r="H11357" i="1"/>
  <c r="H11358" i="1" s="1"/>
  <c r="D11360" i="1"/>
  <c r="E11360" i="1" s="1"/>
  <c r="H11312" i="1"/>
  <c r="H11313" i="1" s="1"/>
  <c r="D11315" i="1"/>
  <c r="E11315" i="1" s="1"/>
  <c r="H11222" i="1"/>
  <c r="H11223" i="1" s="1"/>
  <c r="D11225" i="1"/>
  <c r="E11225" i="1" s="1"/>
  <c r="D11180" i="1"/>
  <c r="C11180" i="1"/>
  <c r="F11121" i="1"/>
  <c r="G11121" i="1" s="1"/>
  <c r="H11121" i="1" s="1"/>
  <c r="I11121" i="1"/>
  <c r="I11120" i="1"/>
  <c r="F11119" i="1"/>
  <c r="G11119" i="1" s="1"/>
  <c r="H11119" i="1" s="1"/>
  <c r="I11119" i="1"/>
  <c r="F11120" i="1"/>
  <c r="G11120" i="1" s="1"/>
  <c r="H11120" i="1" s="1"/>
  <c r="F11118" i="1"/>
  <c r="G11118" i="1" s="1"/>
  <c r="H11118" i="1" s="1"/>
  <c r="I11118" i="1"/>
  <c r="B11134" i="1"/>
  <c r="H11130" i="1"/>
  <c r="I11117" i="1"/>
  <c r="F11117" i="1"/>
  <c r="G11117" i="1" s="1"/>
  <c r="H11117" i="1" s="1"/>
  <c r="I11116" i="1"/>
  <c r="F11116" i="1"/>
  <c r="G11116" i="1" s="1"/>
  <c r="H11116" i="1" s="1"/>
  <c r="I11115" i="1"/>
  <c r="F11115" i="1"/>
  <c r="G11115" i="1" s="1"/>
  <c r="H11115" i="1" s="1"/>
  <c r="I11114" i="1"/>
  <c r="F11114" i="1"/>
  <c r="G11114" i="1" s="1"/>
  <c r="H11114" i="1" s="1"/>
  <c r="I11113" i="1"/>
  <c r="F11113" i="1"/>
  <c r="G11113" i="1" s="1"/>
  <c r="H11113" i="1" s="1"/>
  <c r="I11112" i="1"/>
  <c r="F11112" i="1"/>
  <c r="G11112" i="1" s="1"/>
  <c r="H11112" i="1" s="1"/>
  <c r="I11111" i="1"/>
  <c r="F11111" i="1"/>
  <c r="G11111" i="1" s="1"/>
  <c r="H11111" i="1" s="1"/>
  <c r="I11110" i="1"/>
  <c r="F11110" i="1"/>
  <c r="G11110" i="1" s="1"/>
  <c r="H11110" i="1" s="1"/>
  <c r="I11109" i="1"/>
  <c r="F11109" i="1"/>
  <c r="G11109" i="1" s="1"/>
  <c r="H11109" i="1" s="1"/>
  <c r="B11088" i="1"/>
  <c r="H11084" i="1"/>
  <c r="D11088" i="1" s="1"/>
  <c r="F11060" i="1"/>
  <c r="G11060" i="1" s="1"/>
  <c r="H11060" i="1" s="1"/>
  <c r="B11040" i="1"/>
  <c r="H11036" i="1"/>
  <c r="D11040" i="1" s="1"/>
  <c r="F11012" i="1"/>
  <c r="G11012" i="1" s="1"/>
  <c r="H11012" i="1" s="1"/>
  <c r="I10966" i="1"/>
  <c r="I10965" i="1"/>
  <c r="F10966" i="1"/>
  <c r="G10966" i="1" s="1"/>
  <c r="H10966" i="1" s="1"/>
  <c r="B10993" i="1"/>
  <c r="H10989" i="1"/>
  <c r="C10993" i="1" s="1"/>
  <c r="F10965" i="1"/>
  <c r="G10965" i="1" s="1"/>
  <c r="H10965" i="1" s="1"/>
  <c r="B10944" i="1"/>
  <c r="H10940" i="1"/>
  <c r="C10944" i="1" s="1"/>
  <c r="F10916" i="1"/>
  <c r="G10916" i="1" s="1"/>
  <c r="H10916" i="1" s="1"/>
  <c r="B10896" i="1"/>
  <c r="H10892" i="1"/>
  <c r="C10896" i="1" s="1"/>
  <c r="F10868" i="1"/>
  <c r="G10868" i="1" s="1"/>
  <c r="H10868" i="1" s="1"/>
  <c r="I10822" i="1"/>
  <c r="B10849" i="1"/>
  <c r="H10845" i="1"/>
  <c r="C10849" i="1" s="1"/>
  <c r="F10822" i="1"/>
  <c r="G10822" i="1" s="1"/>
  <c r="H10822" i="1" s="1"/>
  <c r="B10801" i="1"/>
  <c r="H10797" i="1"/>
  <c r="D10801" i="1" s="1"/>
  <c r="F10774" i="1"/>
  <c r="G10774" i="1" s="1"/>
  <c r="H10774" i="1" s="1"/>
  <c r="I10727" i="1"/>
  <c r="I10728" i="1"/>
  <c r="I10726" i="1"/>
  <c r="F10728" i="1"/>
  <c r="G10728" i="1" s="1"/>
  <c r="H10728" i="1" s="1"/>
  <c r="B10754" i="1"/>
  <c r="H10750" i="1"/>
  <c r="H10751" i="1" s="1"/>
  <c r="F10727" i="1"/>
  <c r="G10727" i="1" s="1"/>
  <c r="H10727" i="1" s="1"/>
  <c r="F10726" i="1"/>
  <c r="G10726" i="1" s="1"/>
  <c r="H10726" i="1" s="1"/>
  <c r="B10706" i="1"/>
  <c r="H10702" i="1"/>
  <c r="C10706" i="1" s="1"/>
  <c r="F10679" i="1"/>
  <c r="G10679" i="1" s="1"/>
  <c r="H10679" i="1" s="1"/>
  <c r="F10678" i="1"/>
  <c r="G10678" i="1" s="1"/>
  <c r="H10678" i="1" s="1"/>
  <c r="F10632" i="1"/>
  <c r="G10632" i="1" s="1"/>
  <c r="H10632" i="1" s="1"/>
  <c r="I10632" i="1"/>
  <c r="B10659" i="1"/>
  <c r="I10631" i="1"/>
  <c r="F10631" i="1"/>
  <c r="G10631" i="1" s="1"/>
  <c r="H10631" i="1" s="1"/>
  <c r="I10584" i="1"/>
  <c r="I10585" i="1"/>
  <c r="I10583" i="1"/>
  <c r="F10584" i="1"/>
  <c r="G10584" i="1"/>
  <c r="F10585" i="1"/>
  <c r="G10585" i="1"/>
  <c r="H10606" i="1"/>
  <c r="H10608" i="1" s="1"/>
  <c r="D10611" i="1" s="1"/>
  <c r="G10583" i="1"/>
  <c r="F10583" i="1"/>
  <c r="H10558" i="1"/>
  <c r="H10559" i="1" s="1"/>
  <c r="C10563" i="1" s="1"/>
  <c r="I10536" i="1"/>
  <c r="I10537" i="1"/>
  <c r="I10538" i="1"/>
  <c r="I10539" i="1"/>
  <c r="G10536" i="1"/>
  <c r="G10537" i="1"/>
  <c r="G10538" i="1"/>
  <c r="G10539" i="1"/>
  <c r="F10536" i="1"/>
  <c r="F10537" i="1"/>
  <c r="F10538" i="1"/>
  <c r="F10539" i="1"/>
  <c r="I10535" i="1"/>
  <c r="G10535" i="1"/>
  <c r="F10535" i="1"/>
  <c r="I10495" i="1"/>
  <c r="I10496" i="1"/>
  <c r="I10497" i="1"/>
  <c r="I10494" i="1"/>
  <c r="F10497" i="1"/>
  <c r="G10497" i="1" s="1"/>
  <c r="H10497" i="1" s="1"/>
  <c r="F10496" i="1"/>
  <c r="G10496" i="1" s="1"/>
  <c r="H10496" i="1" s="1"/>
  <c r="B10515" i="1"/>
  <c r="F10495" i="1"/>
  <c r="G10495" i="1" s="1"/>
  <c r="H10495" i="1" s="1"/>
  <c r="F10494" i="1"/>
  <c r="G10494" i="1" s="1"/>
  <c r="H10494" i="1" s="1"/>
  <c r="C11134" i="1" l="1"/>
  <c r="H11132" i="1"/>
  <c r="H10539" i="1"/>
  <c r="H10538" i="1"/>
  <c r="H11131" i="1"/>
  <c r="H10536" i="1"/>
  <c r="H10537" i="1"/>
  <c r="C11088" i="1"/>
  <c r="E11088" i="1" s="1"/>
  <c r="E11180" i="1"/>
  <c r="H10585" i="1"/>
  <c r="D11134" i="1"/>
  <c r="E11134" i="1" s="1"/>
  <c r="H10798" i="1"/>
  <c r="H10893" i="1"/>
  <c r="H10941" i="1"/>
  <c r="H10990" i="1"/>
  <c r="H11085" i="1"/>
  <c r="C11040" i="1"/>
  <c r="E11040" i="1" s="1"/>
  <c r="H11037" i="1"/>
  <c r="D10993" i="1"/>
  <c r="E10993" i="1" s="1"/>
  <c r="D10944" i="1"/>
  <c r="E10944" i="1" s="1"/>
  <c r="D10896" i="1"/>
  <c r="E10896" i="1" s="1"/>
  <c r="H10846" i="1"/>
  <c r="D10849" i="1"/>
  <c r="E10849" i="1" s="1"/>
  <c r="C10801" i="1"/>
  <c r="E10801" i="1" s="1"/>
  <c r="D10754" i="1"/>
  <c r="C10754" i="1"/>
  <c r="H10703" i="1"/>
  <c r="D10706" i="1"/>
  <c r="E10706" i="1" s="1"/>
  <c r="H10584" i="1"/>
  <c r="H10583" i="1"/>
  <c r="H10655" i="1"/>
  <c r="C10659" i="1" s="1"/>
  <c r="H10607" i="1"/>
  <c r="C10611" i="1" s="1"/>
  <c r="E10611" i="1" s="1"/>
  <c r="B10611" i="1"/>
  <c r="B10563" i="1"/>
  <c r="H10560" i="1"/>
  <c r="D10563" i="1" s="1"/>
  <c r="E10563" i="1" s="1"/>
  <c r="H10535" i="1"/>
  <c r="H10512" i="1"/>
  <c r="H10511" i="1"/>
  <c r="E10754" i="1" l="1"/>
  <c r="H10561" i="1"/>
  <c r="D10659" i="1"/>
  <c r="E10659" i="1" s="1"/>
  <c r="H10656" i="1"/>
  <c r="H10513" i="1"/>
  <c r="C10515" i="1"/>
  <c r="D10515" i="1"/>
  <c r="E10515" i="1" l="1"/>
  <c r="B10474" i="1" l="1"/>
  <c r="H10470" i="1"/>
  <c r="C10474" i="1" s="1"/>
  <c r="F10451" i="1"/>
  <c r="G10451" i="1" s="1"/>
  <c r="H10451" i="1" s="1"/>
  <c r="I10408" i="1"/>
  <c r="I10409" i="1"/>
  <c r="I10407" i="1"/>
  <c r="B10429" i="1"/>
  <c r="H10425" i="1"/>
  <c r="H10426" i="1" s="1"/>
  <c r="H10427" i="1" s="1"/>
  <c r="F10409" i="1"/>
  <c r="G10409" i="1" s="1"/>
  <c r="H10409" i="1" s="1"/>
  <c r="F10408" i="1"/>
  <c r="G10408" i="1" s="1"/>
  <c r="H10408" i="1" s="1"/>
  <c r="F10407" i="1"/>
  <c r="G10407" i="1" s="1"/>
  <c r="H10407" i="1" s="1"/>
  <c r="F10360" i="1"/>
  <c r="G10360" i="1" s="1"/>
  <c r="H10360" i="1" s="1"/>
  <c r="F10361" i="1"/>
  <c r="G10361" i="1" s="1"/>
  <c r="H10361" i="1" s="1"/>
  <c r="I10312" i="1"/>
  <c r="B10386" i="1"/>
  <c r="H10382" i="1"/>
  <c r="C10386" i="1" s="1"/>
  <c r="F10359" i="1"/>
  <c r="G10359" i="1" s="1"/>
  <c r="H10359" i="1" s="1"/>
  <c r="I10033" i="1"/>
  <c r="F10033" i="1"/>
  <c r="G10033" i="1" s="1"/>
  <c r="H10033" i="1" s="1"/>
  <c r="I10032" i="1"/>
  <c r="F10032" i="1"/>
  <c r="G10032" i="1" s="1"/>
  <c r="H10032" i="1" s="1"/>
  <c r="B10339" i="1"/>
  <c r="H10335" i="1"/>
  <c r="D10339" i="1" s="1"/>
  <c r="F10312" i="1"/>
  <c r="G10312" i="1" s="1"/>
  <c r="H10312" i="1" s="1"/>
  <c r="I10031" i="1"/>
  <c r="B10292" i="1"/>
  <c r="H10289" i="1"/>
  <c r="H10288" i="1"/>
  <c r="D10292" i="1" s="1"/>
  <c r="F10266" i="1"/>
  <c r="G10266" i="1" s="1"/>
  <c r="H10266" i="1" s="1"/>
  <c r="B10246" i="1"/>
  <c r="H10241" i="1"/>
  <c r="C10246" i="1" s="1"/>
  <c r="F10221" i="1"/>
  <c r="G10221" i="1" s="1"/>
  <c r="B10201" i="1"/>
  <c r="H10197" i="1"/>
  <c r="C10201" i="1" s="1"/>
  <c r="F10174" i="1"/>
  <c r="G10174" i="1" s="1"/>
  <c r="H10174" i="1" s="1"/>
  <c r="F10079" i="1"/>
  <c r="G10079" i="1" s="1"/>
  <c r="H10079" i="1" s="1"/>
  <c r="H10150" i="1"/>
  <c r="C10154" i="1" s="1"/>
  <c r="B10154" i="1"/>
  <c r="H10151" i="1"/>
  <c r="D10154" i="1" s="1"/>
  <c r="H10126" i="1"/>
  <c r="H10102" i="1"/>
  <c r="C10106" i="1" s="1"/>
  <c r="F9987" i="1"/>
  <c r="G9987" i="1" s="1"/>
  <c r="H9987" i="1" s="1"/>
  <c r="B10058" i="1"/>
  <c r="H10054" i="1"/>
  <c r="C10058" i="1" s="1"/>
  <c r="F10031" i="1"/>
  <c r="G10031" i="1" s="1"/>
  <c r="H10031" i="1" s="1"/>
  <c r="B10011" i="1"/>
  <c r="H10008" i="1"/>
  <c r="H10007" i="1"/>
  <c r="D10011" i="1" s="1"/>
  <c r="F9986" i="1"/>
  <c r="G9986" i="1" s="1"/>
  <c r="H9986" i="1" s="1"/>
  <c r="F9985" i="1"/>
  <c r="G9985" i="1" s="1"/>
  <c r="H9985" i="1" s="1"/>
  <c r="F9984" i="1"/>
  <c r="G9984" i="1" s="1"/>
  <c r="H9984" i="1" s="1"/>
  <c r="H10471" i="1" l="1"/>
  <c r="H10472" i="1" s="1"/>
  <c r="D10474" i="1"/>
  <c r="E10474" i="1" s="1"/>
  <c r="D10429" i="1"/>
  <c r="C10429" i="1"/>
  <c r="H10336" i="1"/>
  <c r="H10337" i="1" s="1"/>
  <c r="H10383" i="1"/>
  <c r="H10384" i="1" s="1"/>
  <c r="D10386" i="1"/>
  <c r="E10386" i="1" s="1"/>
  <c r="D10058" i="1"/>
  <c r="E10058" i="1" s="1"/>
  <c r="H10055" i="1"/>
  <c r="H10056" i="1" s="1"/>
  <c r="C10339" i="1"/>
  <c r="E10339" i="1" s="1"/>
  <c r="C10292" i="1"/>
  <c r="E10292" i="1" s="1"/>
  <c r="H10290" i="1"/>
  <c r="H10221" i="1"/>
  <c r="H10242" i="1"/>
  <c r="H10198" i="1"/>
  <c r="D10201" i="1"/>
  <c r="E10201" i="1" s="1"/>
  <c r="E10154" i="1"/>
  <c r="B10106" i="1"/>
  <c r="H10103" i="1"/>
  <c r="D10106" i="1"/>
  <c r="E10106" i="1" s="1"/>
  <c r="C10011" i="1"/>
  <c r="E10011" i="1" s="1"/>
  <c r="H10009" i="1"/>
  <c r="E10429" i="1" l="1"/>
  <c r="D10246" i="1"/>
  <c r="E10246" i="1" s="1"/>
  <c r="H10243" i="1"/>
  <c r="F9942" i="1"/>
  <c r="G9942" i="1"/>
  <c r="I9940" i="1"/>
  <c r="I9941" i="1"/>
  <c r="I9942" i="1"/>
  <c r="I9939" i="1"/>
  <c r="B9964" i="1"/>
  <c r="H9961" i="1"/>
  <c r="H9960" i="1"/>
  <c r="C9964" i="1" s="1"/>
  <c r="G9941" i="1"/>
  <c r="F9941" i="1"/>
  <c r="G9940" i="1"/>
  <c r="F9940" i="1"/>
  <c r="G9939" i="1"/>
  <c r="F9939" i="1"/>
  <c r="F9895" i="1"/>
  <c r="G9895" i="1"/>
  <c r="F9896" i="1"/>
  <c r="G9896" i="1"/>
  <c r="B9918" i="1"/>
  <c r="H9915" i="1"/>
  <c r="H9914" i="1"/>
  <c r="G9894" i="1"/>
  <c r="F9894" i="1"/>
  <c r="G9893" i="1"/>
  <c r="F9893" i="1"/>
  <c r="H9845" i="1"/>
  <c r="B9873" i="1"/>
  <c r="H9869" i="1"/>
  <c r="C9873" i="1" s="1"/>
  <c r="B9825" i="1"/>
  <c r="H9820" i="1"/>
  <c r="C9825" i="1" s="1"/>
  <c r="F9802" i="1"/>
  <c r="G9802" i="1" s="1"/>
  <c r="H9942" i="1" l="1"/>
  <c r="H9894" i="1"/>
  <c r="H9940" i="1"/>
  <c r="H9895" i="1"/>
  <c r="H9893" i="1"/>
  <c r="H9896" i="1"/>
  <c r="H9941" i="1"/>
  <c r="D9964" i="1"/>
  <c r="E9964" i="1" s="1"/>
  <c r="H9939" i="1"/>
  <c r="H9916" i="1"/>
  <c r="D9918" i="1"/>
  <c r="C9918" i="1"/>
  <c r="H9870" i="1"/>
  <c r="D9873" i="1" s="1"/>
  <c r="E9873" i="1" s="1"/>
  <c r="H9821" i="1"/>
  <c r="D9825" i="1" s="1"/>
  <c r="E9825" i="1" s="1"/>
  <c r="H9802" i="1"/>
  <c r="H9822" i="1" l="1"/>
  <c r="E9918" i="1"/>
  <c r="B9783" i="1"/>
  <c r="H9779" i="1"/>
  <c r="C9783" i="1" s="1"/>
  <c r="F9755" i="1"/>
  <c r="G9755" i="1" s="1"/>
  <c r="H9755" i="1" s="1"/>
  <c r="B9735" i="1"/>
  <c r="H9731" i="1"/>
  <c r="C9735" i="1" s="1"/>
  <c r="F9707" i="1"/>
  <c r="G9707" i="1" s="1"/>
  <c r="H9707" i="1" s="1"/>
  <c r="F9660" i="1"/>
  <c r="G9660" i="1" s="1"/>
  <c r="H9660" i="1" s="1"/>
  <c r="B9687" i="1"/>
  <c r="H9683" i="1"/>
  <c r="C9687" i="1" s="1"/>
  <c r="F9659" i="1"/>
  <c r="G9659" i="1" s="1"/>
  <c r="H9659" i="1" s="1"/>
  <c r="I9610" i="1"/>
  <c r="I9611" i="1"/>
  <c r="I9612" i="1"/>
  <c r="I9613" i="1"/>
  <c r="I9614" i="1"/>
  <c r="I9615" i="1"/>
  <c r="I9616" i="1"/>
  <c r="I9617" i="1"/>
  <c r="I9609" i="1"/>
  <c r="F9611" i="1"/>
  <c r="G9611" i="1" s="1"/>
  <c r="H9611" i="1" s="1"/>
  <c r="F9612" i="1"/>
  <c r="G9612" i="1" s="1"/>
  <c r="H9612" i="1" s="1"/>
  <c r="F9613" i="1"/>
  <c r="G9613" i="1" s="1"/>
  <c r="H9613" i="1" s="1"/>
  <c r="F9614" i="1"/>
  <c r="G9614" i="1" s="1"/>
  <c r="H9614" i="1" s="1"/>
  <c r="F9615" i="1"/>
  <c r="G9615" i="1" s="1"/>
  <c r="H9615" i="1" s="1"/>
  <c r="F9616" i="1"/>
  <c r="G9616" i="1" s="1"/>
  <c r="H9616" i="1" s="1"/>
  <c r="F9617" i="1"/>
  <c r="G9617" i="1" s="1"/>
  <c r="H9617" i="1" s="1"/>
  <c r="B9639" i="1"/>
  <c r="F9610" i="1"/>
  <c r="G9610" i="1" s="1"/>
  <c r="H9610" i="1" s="1"/>
  <c r="F9609" i="1"/>
  <c r="G9609" i="1" s="1"/>
  <c r="H9609" i="1" s="1"/>
  <c r="I9560" i="1"/>
  <c r="I9221" i="1"/>
  <c r="I9515" i="1"/>
  <c r="I9516" i="1"/>
  <c r="I9517" i="1"/>
  <c r="I9518" i="1"/>
  <c r="I9514" i="1"/>
  <c r="I9419" i="1"/>
  <c r="I9420" i="1"/>
  <c r="I9418" i="1"/>
  <c r="I9371" i="1"/>
  <c r="I9372" i="1"/>
  <c r="I9373" i="1"/>
  <c r="I9374" i="1"/>
  <c r="I9375" i="1"/>
  <c r="I9370" i="1"/>
  <c r="F9375" i="1"/>
  <c r="G9375" i="1" s="1"/>
  <c r="H9375" i="1" s="1"/>
  <c r="I9323" i="1"/>
  <c r="I9324" i="1"/>
  <c r="I9322" i="1"/>
  <c r="H9244" i="1"/>
  <c r="H9245" i="1" s="1"/>
  <c r="F9221" i="1"/>
  <c r="G9221" i="1" s="1"/>
  <c r="H9221" i="1" s="1"/>
  <c r="I9275" i="1"/>
  <c r="I9276" i="1"/>
  <c r="I9277" i="1"/>
  <c r="I9278" i="1"/>
  <c r="I9279" i="1"/>
  <c r="I9280" i="1"/>
  <c r="I9281" i="1"/>
  <c r="I9282" i="1"/>
  <c r="I9283" i="1"/>
  <c r="I9274" i="1"/>
  <c r="I9175" i="1"/>
  <c r="I9176" i="1"/>
  <c r="I9177" i="1"/>
  <c r="I9178" i="1"/>
  <c r="I9179" i="1"/>
  <c r="I9180" i="1"/>
  <c r="I9174" i="1"/>
  <c r="H9584" i="1"/>
  <c r="B9589" i="1" s="1"/>
  <c r="F9560" i="1"/>
  <c r="G9560" i="1" s="1"/>
  <c r="H9560" i="1" s="1"/>
  <c r="D9783" i="1" l="1"/>
  <c r="E9783" i="1" s="1"/>
  <c r="H9780" i="1"/>
  <c r="H9781" i="1" s="1"/>
  <c r="H9732" i="1"/>
  <c r="H9733" i="1" s="1"/>
  <c r="D9735" i="1"/>
  <c r="E9735" i="1" s="1"/>
  <c r="H9684" i="1"/>
  <c r="H9685" i="1" s="1"/>
  <c r="D9687" i="1"/>
  <c r="E9687" i="1" s="1"/>
  <c r="H9635" i="1"/>
  <c r="C9249" i="1"/>
  <c r="D9249" i="1"/>
  <c r="H9246" i="1"/>
  <c r="H9247" i="1" s="1"/>
  <c r="B9249" i="1"/>
  <c r="H9585" i="1"/>
  <c r="C9589" i="1" s="1"/>
  <c r="E9249" i="1" l="1"/>
  <c r="C9639" i="1"/>
  <c r="D9639" i="1"/>
  <c r="H9636" i="1"/>
  <c r="H9637" i="1" s="1"/>
  <c r="H9586" i="1"/>
  <c r="H9587" i="1" s="1"/>
  <c r="D9589" i="1"/>
  <c r="E9589" i="1" s="1"/>
  <c r="E9639" i="1" l="1"/>
  <c r="H9536" i="1"/>
  <c r="H9537" i="1" s="1"/>
  <c r="F9518" i="1"/>
  <c r="G9518" i="1" s="1"/>
  <c r="H9518" i="1" s="1"/>
  <c r="F9517" i="1"/>
  <c r="G9517" i="1" s="1"/>
  <c r="H9517" i="1" s="1"/>
  <c r="F9516" i="1"/>
  <c r="G9516" i="1" s="1"/>
  <c r="H9516" i="1" s="1"/>
  <c r="F9515" i="1"/>
  <c r="G9515" i="1" s="1"/>
  <c r="H9515" i="1" s="1"/>
  <c r="F9514" i="1"/>
  <c r="G9514" i="1" s="1"/>
  <c r="H9514" i="1" s="1"/>
  <c r="H9490" i="1"/>
  <c r="B9495" i="1" s="1"/>
  <c r="F9466" i="1"/>
  <c r="G9466" i="1" s="1"/>
  <c r="H9466" i="1" s="1"/>
  <c r="H9442" i="1"/>
  <c r="F9420" i="1"/>
  <c r="G9420" i="1" s="1"/>
  <c r="H9420" i="1" s="1"/>
  <c r="F9419" i="1"/>
  <c r="G9419" i="1" s="1"/>
  <c r="H9419" i="1" s="1"/>
  <c r="F9418" i="1"/>
  <c r="G9418" i="1" s="1"/>
  <c r="H9418" i="1" s="1"/>
  <c r="F9373" i="1"/>
  <c r="G9373" i="1" s="1"/>
  <c r="H9373" i="1" s="1"/>
  <c r="F9374" i="1"/>
  <c r="G9374" i="1" s="1"/>
  <c r="H9374" i="1" s="1"/>
  <c r="H9346" i="1"/>
  <c r="B9351" i="1" s="1"/>
  <c r="H9394" i="1"/>
  <c r="F9372" i="1"/>
  <c r="G9372" i="1" s="1"/>
  <c r="H9372" i="1" s="1"/>
  <c r="F9371" i="1"/>
  <c r="G9371" i="1" s="1"/>
  <c r="H9371" i="1" s="1"/>
  <c r="F9370" i="1"/>
  <c r="G9370" i="1" s="1"/>
  <c r="H9370" i="1" s="1"/>
  <c r="F9324" i="1"/>
  <c r="G9324" i="1" s="1"/>
  <c r="H9324" i="1" s="1"/>
  <c r="F9323" i="1"/>
  <c r="G9323" i="1" s="1"/>
  <c r="H9323" i="1" s="1"/>
  <c r="F9322" i="1"/>
  <c r="G9322" i="1" s="1"/>
  <c r="H9322" i="1" s="1"/>
  <c r="H9298" i="1"/>
  <c r="B9303" i="1" s="1"/>
  <c r="F9280" i="1"/>
  <c r="G9280" i="1" s="1"/>
  <c r="H9280" i="1" s="1"/>
  <c r="F9283" i="1"/>
  <c r="G9283" i="1" s="1"/>
  <c r="H9283" i="1" s="1"/>
  <c r="F9282" i="1"/>
  <c r="G9282" i="1" s="1"/>
  <c r="H9282" i="1" s="1"/>
  <c r="F9281" i="1"/>
  <c r="G9281" i="1" s="1"/>
  <c r="H9281" i="1" s="1"/>
  <c r="F9279" i="1"/>
  <c r="G9279" i="1" s="1"/>
  <c r="H9279" i="1" s="1"/>
  <c r="F9278" i="1"/>
  <c r="G9278" i="1" s="1"/>
  <c r="H9278" i="1" s="1"/>
  <c r="F9277" i="1"/>
  <c r="G9277" i="1" s="1"/>
  <c r="H9277" i="1" s="1"/>
  <c r="F9276" i="1"/>
  <c r="G9276" i="1" s="1"/>
  <c r="H9276" i="1" s="1"/>
  <c r="F9275" i="1"/>
  <c r="G9275" i="1" s="1"/>
  <c r="H9275" i="1" s="1"/>
  <c r="F9274" i="1"/>
  <c r="G9274" i="1" s="1"/>
  <c r="H9274" i="1" s="1"/>
  <c r="H9196" i="1"/>
  <c r="H9197" i="1" s="1"/>
  <c r="C9201" i="1" s="1"/>
  <c r="F9177" i="1"/>
  <c r="G9177" i="1" s="1"/>
  <c r="H9177" i="1" s="1"/>
  <c r="F9178" i="1"/>
  <c r="G9178" i="1" s="1"/>
  <c r="H9178" i="1" s="1"/>
  <c r="F9180" i="1"/>
  <c r="G9180" i="1" s="1"/>
  <c r="H9180" i="1" s="1"/>
  <c r="F9179" i="1"/>
  <c r="G9179" i="1" s="1"/>
  <c r="H9179" i="1" s="1"/>
  <c r="F9176" i="1"/>
  <c r="G9176" i="1" s="1"/>
  <c r="H9176" i="1" s="1"/>
  <c r="F9175" i="1"/>
  <c r="G9175" i="1" s="1"/>
  <c r="H9175" i="1" s="1"/>
  <c r="F9174" i="1"/>
  <c r="G9174" i="1" s="1"/>
  <c r="H9174" i="1" s="1"/>
  <c r="H9055" i="1"/>
  <c r="H9056" i="1" s="1"/>
  <c r="C9060" i="1" s="1"/>
  <c r="H9148" i="1"/>
  <c r="H9150" i="1" s="1"/>
  <c r="D9153" i="1" s="1"/>
  <c r="F9128" i="1"/>
  <c r="G9128" i="1"/>
  <c r="F9129" i="1"/>
  <c r="G9129" i="1"/>
  <c r="B9107" i="1"/>
  <c r="I9085" i="1"/>
  <c r="G9085" i="1"/>
  <c r="F9085" i="1"/>
  <c r="I4730" i="1"/>
  <c r="I4731" i="1"/>
  <c r="I4732" i="1"/>
  <c r="I4733" i="1"/>
  <c r="I4729" i="1"/>
  <c r="I9035" i="1"/>
  <c r="I9083" i="1"/>
  <c r="I9084" i="1"/>
  <c r="G9084" i="1"/>
  <c r="F9084" i="1"/>
  <c r="G9083" i="1"/>
  <c r="F9083" i="1"/>
  <c r="G9082" i="1"/>
  <c r="F9082" i="1"/>
  <c r="F9036" i="1"/>
  <c r="G9036" i="1" s="1"/>
  <c r="H9036" i="1" s="1"/>
  <c r="I9036" i="1"/>
  <c r="F9037" i="1"/>
  <c r="G9037" i="1" s="1"/>
  <c r="H9037" i="1" s="1"/>
  <c r="I9037" i="1"/>
  <c r="I9041" i="1"/>
  <c r="I9040" i="1"/>
  <c r="F9040" i="1"/>
  <c r="G9040" i="1" s="1"/>
  <c r="H9040" i="1" s="1"/>
  <c r="I9039" i="1"/>
  <c r="F9039" i="1"/>
  <c r="G9039" i="1" s="1"/>
  <c r="H9039" i="1" s="1"/>
  <c r="I9038" i="1"/>
  <c r="F9038" i="1"/>
  <c r="G9038" i="1" s="1"/>
  <c r="H9038" i="1" s="1"/>
  <c r="F9035" i="1"/>
  <c r="G9035" i="1" s="1"/>
  <c r="H9035" i="1" s="1"/>
  <c r="I8992" i="1"/>
  <c r="I8993" i="1"/>
  <c r="I8994" i="1"/>
  <c r="I8995" i="1"/>
  <c r="I8996" i="1"/>
  <c r="I8997" i="1"/>
  <c r="I8991" i="1"/>
  <c r="F8993" i="1"/>
  <c r="G8993" i="1" s="1"/>
  <c r="H8993" i="1" s="1"/>
  <c r="F8994" i="1"/>
  <c r="G8994" i="1" s="1"/>
  <c r="H8994" i="1" s="1"/>
  <c r="F8995" i="1"/>
  <c r="G8995" i="1" s="1"/>
  <c r="H8995" i="1" s="1"/>
  <c r="F8996" i="1"/>
  <c r="G8996" i="1" s="1"/>
  <c r="H8996" i="1" s="1"/>
  <c r="F8997" i="1"/>
  <c r="G8997" i="1" s="1"/>
  <c r="H8997" i="1" s="1"/>
  <c r="B9016" i="1"/>
  <c r="H9012" i="1"/>
  <c r="C9016" i="1" s="1"/>
  <c r="F8992" i="1"/>
  <c r="G8992" i="1" s="1"/>
  <c r="H8992" i="1" s="1"/>
  <c r="F8991" i="1"/>
  <c r="G8991" i="1" s="1"/>
  <c r="H8991" i="1" s="1"/>
  <c r="F8957" i="1"/>
  <c r="G8957" i="1" s="1"/>
  <c r="H8957" i="1" s="1"/>
  <c r="I8957" i="1"/>
  <c r="I8947" i="1"/>
  <c r="I8948" i="1"/>
  <c r="I8949" i="1"/>
  <c r="I8950" i="1"/>
  <c r="I8951" i="1"/>
  <c r="I8952" i="1"/>
  <c r="I8953" i="1"/>
  <c r="I8954" i="1"/>
  <c r="I8955" i="1"/>
  <c r="I8956" i="1"/>
  <c r="I8946" i="1"/>
  <c r="F8953" i="1"/>
  <c r="G8953" i="1" s="1"/>
  <c r="H8953" i="1" s="1"/>
  <c r="F8952" i="1"/>
  <c r="G8952" i="1" s="1"/>
  <c r="H8952" i="1" s="1"/>
  <c r="F8951" i="1"/>
  <c r="G8951" i="1" s="1"/>
  <c r="H8951" i="1" s="1"/>
  <c r="B8972" i="1"/>
  <c r="H8969" i="1"/>
  <c r="H8968" i="1"/>
  <c r="C8972" i="1" s="1"/>
  <c r="F8956" i="1"/>
  <c r="G8956" i="1" s="1"/>
  <c r="H8956" i="1" s="1"/>
  <c r="F8955" i="1"/>
  <c r="G8955" i="1" s="1"/>
  <c r="H8955" i="1" s="1"/>
  <c r="F8954" i="1"/>
  <c r="G8954" i="1" s="1"/>
  <c r="H8954" i="1" s="1"/>
  <c r="F8950" i="1"/>
  <c r="G8950" i="1" s="1"/>
  <c r="H8950" i="1" s="1"/>
  <c r="F8949" i="1"/>
  <c r="G8949" i="1" s="1"/>
  <c r="H8949" i="1" s="1"/>
  <c r="F8948" i="1"/>
  <c r="G8948" i="1" s="1"/>
  <c r="H8948" i="1" s="1"/>
  <c r="F8947" i="1"/>
  <c r="G8947" i="1" s="1"/>
  <c r="H8947" i="1" s="1"/>
  <c r="F8946" i="1"/>
  <c r="G8946" i="1" s="1"/>
  <c r="H8946" i="1" s="1"/>
  <c r="H9082" i="1" l="1"/>
  <c r="H9083" i="1"/>
  <c r="H9491" i="1"/>
  <c r="D9495" i="1" s="1"/>
  <c r="C9541" i="1"/>
  <c r="D9541" i="1"/>
  <c r="H9538" i="1"/>
  <c r="H9539" i="1" s="1"/>
  <c r="B9541" i="1"/>
  <c r="H9443" i="1"/>
  <c r="B9447" i="1"/>
  <c r="H9395" i="1"/>
  <c r="B9399" i="1"/>
  <c r="H9347" i="1"/>
  <c r="D9351" i="1" s="1"/>
  <c r="H9299" i="1"/>
  <c r="H9085" i="1"/>
  <c r="H9149" i="1"/>
  <c r="C9153" i="1" s="1"/>
  <c r="E9153" i="1" s="1"/>
  <c r="B9201" i="1"/>
  <c r="H9198" i="1"/>
  <c r="H9199" i="1" s="1"/>
  <c r="D9201" i="1"/>
  <c r="E9201" i="1" s="1"/>
  <c r="B9060" i="1"/>
  <c r="B9153" i="1"/>
  <c r="H9129" i="1"/>
  <c r="H9084" i="1"/>
  <c r="H9104" i="1"/>
  <c r="D9107" i="1" s="1"/>
  <c r="H9103" i="1"/>
  <c r="H9057" i="1"/>
  <c r="H9058" i="1" s="1"/>
  <c r="D9060" i="1"/>
  <c r="E9060" i="1" s="1"/>
  <c r="H9013" i="1"/>
  <c r="H9014" i="1" s="1"/>
  <c r="D9016" i="1"/>
  <c r="E9016" i="1" s="1"/>
  <c r="H8970" i="1"/>
  <c r="D8972" i="1"/>
  <c r="E8972" i="1" s="1"/>
  <c r="C9495" i="1" l="1"/>
  <c r="E9495" i="1" s="1"/>
  <c r="H9492" i="1"/>
  <c r="H9493" i="1" s="1"/>
  <c r="E9541" i="1"/>
  <c r="C9447" i="1"/>
  <c r="H9444" i="1"/>
  <c r="H9445" i="1" s="1"/>
  <c r="D9447" i="1"/>
  <c r="C9399" i="1"/>
  <c r="H9396" i="1"/>
  <c r="H9397" i="1" s="1"/>
  <c r="D9399" i="1"/>
  <c r="C9351" i="1"/>
  <c r="E9351" i="1" s="1"/>
  <c r="H9348" i="1"/>
  <c r="H9349" i="1" s="1"/>
  <c r="C9303" i="1"/>
  <c r="H9300" i="1"/>
  <c r="H9301" i="1" s="1"/>
  <c r="D9303" i="1"/>
  <c r="H9151" i="1"/>
  <c r="C9107" i="1"/>
  <c r="E9107" i="1" s="1"/>
  <c r="H9105" i="1"/>
  <c r="B8928" i="1"/>
  <c r="H8925" i="1"/>
  <c r="D8928" i="1" s="1"/>
  <c r="F8900" i="1"/>
  <c r="G8900" i="1" s="1"/>
  <c r="H8900" i="1" s="1"/>
  <c r="B8880" i="1"/>
  <c r="H8877" i="1"/>
  <c r="D8880" i="1" s="1"/>
  <c r="F8852" i="1"/>
  <c r="G8852" i="1" s="1"/>
  <c r="H8852" i="1" s="1"/>
  <c r="B8832" i="1"/>
  <c r="H8829" i="1"/>
  <c r="D8832" i="1" s="1"/>
  <c r="H8828" i="1"/>
  <c r="C8832" i="1" s="1"/>
  <c r="G8804" i="1"/>
  <c r="F8804" i="1"/>
  <c r="I8758" i="1"/>
  <c r="I8759" i="1"/>
  <c r="I8757" i="1"/>
  <c r="F8758" i="1"/>
  <c r="G8758" i="1"/>
  <c r="F8759" i="1"/>
  <c r="G8759" i="1"/>
  <c r="B8785" i="1"/>
  <c r="H8782" i="1"/>
  <c r="D8785" i="1" s="1"/>
  <c r="H8781" i="1"/>
  <c r="C8785" i="1" s="1"/>
  <c r="G8757" i="1"/>
  <c r="F8757" i="1"/>
  <c r="I8710" i="1"/>
  <c r="I8709" i="1"/>
  <c r="F8710" i="1"/>
  <c r="G8710" i="1"/>
  <c r="B8737" i="1"/>
  <c r="H8734" i="1"/>
  <c r="D8737" i="1" s="1"/>
  <c r="H8733" i="1"/>
  <c r="C8737" i="1" s="1"/>
  <c r="G8709" i="1"/>
  <c r="F8709" i="1"/>
  <c r="B8689" i="1"/>
  <c r="H8685" i="1"/>
  <c r="C8689" i="1" s="1"/>
  <c r="G8661" i="1"/>
  <c r="F8661" i="1"/>
  <c r="H8637" i="1"/>
  <c r="B8642" i="1" s="1"/>
  <c r="G8614" i="1"/>
  <c r="F8614" i="1"/>
  <c r="H8589" i="1"/>
  <c r="H8591" i="1" s="1"/>
  <c r="D8594" i="1" s="1"/>
  <c r="G8566" i="1"/>
  <c r="F8566" i="1"/>
  <c r="I8523" i="1"/>
  <c r="I8524" i="1"/>
  <c r="I8525" i="1"/>
  <c r="I8522" i="1"/>
  <c r="B8546" i="1"/>
  <c r="H8542" i="1"/>
  <c r="C8546" i="1" s="1"/>
  <c r="F8525" i="1"/>
  <c r="G8525" i="1" s="1"/>
  <c r="H8525" i="1" s="1"/>
  <c r="F8524" i="1"/>
  <c r="G8524" i="1" s="1"/>
  <c r="H8524" i="1" s="1"/>
  <c r="F8523" i="1"/>
  <c r="G8523" i="1" s="1"/>
  <c r="H8523" i="1" s="1"/>
  <c r="F8522" i="1"/>
  <c r="G8522" i="1" s="1"/>
  <c r="H8522" i="1" s="1"/>
  <c r="H8710" i="1" l="1"/>
  <c r="H8758" i="1"/>
  <c r="E9447" i="1"/>
  <c r="E9399" i="1"/>
  <c r="E9303" i="1"/>
  <c r="H8614" i="1"/>
  <c r="H8590" i="1"/>
  <c r="C8594" i="1" s="1"/>
  <c r="E8594" i="1" s="1"/>
  <c r="H8661" i="1"/>
  <c r="H8759" i="1"/>
  <c r="H8804" i="1"/>
  <c r="H8709" i="1"/>
  <c r="E8737" i="1"/>
  <c r="H8924" i="1"/>
  <c r="C8928" i="1" s="1"/>
  <c r="E8928" i="1" s="1"/>
  <c r="H8876" i="1"/>
  <c r="C8880" i="1" s="1"/>
  <c r="E8880" i="1" s="1"/>
  <c r="E8832" i="1"/>
  <c r="H8757" i="1"/>
  <c r="E8785" i="1"/>
  <c r="H8686" i="1"/>
  <c r="D8689" i="1" s="1"/>
  <c r="E8689" i="1" s="1"/>
  <c r="H8639" i="1"/>
  <c r="D8642" i="1" s="1"/>
  <c r="H8638" i="1"/>
  <c r="C8642" i="1" s="1"/>
  <c r="H8566" i="1"/>
  <c r="B8594" i="1"/>
  <c r="H8543" i="1"/>
  <c r="H8544" i="1" s="1"/>
  <c r="D8546" i="1"/>
  <c r="E8546" i="1" s="1"/>
  <c r="B8502" i="1"/>
  <c r="H8499" i="1"/>
  <c r="H8498" i="1"/>
  <c r="C8502" i="1" s="1"/>
  <c r="F8475" i="1"/>
  <c r="G8475" i="1" s="1"/>
  <c r="H8475" i="1" s="1"/>
  <c r="F8430" i="1"/>
  <c r="G8430" i="1" s="1"/>
  <c r="H8430" i="1" s="1"/>
  <c r="B8455" i="1"/>
  <c r="H8452" i="1"/>
  <c r="H8451" i="1"/>
  <c r="C8455" i="1" s="1"/>
  <c r="F8429" i="1"/>
  <c r="G8429" i="1" s="1"/>
  <c r="H8429" i="1" s="1"/>
  <c r="B8410" i="1"/>
  <c r="H8407" i="1"/>
  <c r="H8406" i="1"/>
  <c r="C8410" i="1" s="1"/>
  <c r="F8383" i="1"/>
  <c r="G8383" i="1" s="1"/>
  <c r="H8383" i="1" s="1"/>
  <c r="F8288" i="1"/>
  <c r="G8288" i="1" s="1"/>
  <c r="H8288" i="1" s="1"/>
  <c r="I8336" i="1"/>
  <c r="I8337" i="1"/>
  <c r="I8338" i="1"/>
  <c r="I8339" i="1"/>
  <c r="I8340" i="1"/>
  <c r="I8341" i="1"/>
  <c r="I8335" i="1"/>
  <c r="F8337" i="1"/>
  <c r="G8337" i="1" s="1"/>
  <c r="H8337" i="1" s="1"/>
  <c r="F8341" i="1"/>
  <c r="G8341" i="1" s="1"/>
  <c r="H8341" i="1" s="1"/>
  <c r="B8364" i="1"/>
  <c r="H8359" i="1"/>
  <c r="C8364" i="1" s="1"/>
  <c r="F8340" i="1"/>
  <c r="G8340" i="1" s="1"/>
  <c r="H8340" i="1" s="1"/>
  <c r="F8339" i="1"/>
  <c r="G8339" i="1" s="1"/>
  <c r="H8339" i="1" s="1"/>
  <c r="F8338" i="1"/>
  <c r="G8338" i="1" s="1"/>
  <c r="H8338" i="1" s="1"/>
  <c r="F8336" i="1"/>
  <c r="G8336" i="1" s="1"/>
  <c r="H8336" i="1" s="1"/>
  <c r="F8335" i="1"/>
  <c r="G8335" i="1" s="1"/>
  <c r="H8335" i="1" s="1"/>
  <c r="H8408" i="1" l="1"/>
  <c r="H8360" i="1"/>
  <c r="D8364" i="1" s="1"/>
  <c r="E8364" i="1" s="1"/>
  <c r="H8500" i="1"/>
  <c r="E8642" i="1"/>
  <c r="D8502" i="1"/>
  <c r="E8502" i="1" s="1"/>
  <c r="H8453" i="1"/>
  <c r="D8455" i="1"/>
  <c r="E8455" i="1" s="1"/>
  <c r="D8410" i="1"/>
  <c r="E8410" i="1" s="1"/>
  <c r="B8315" i="1" l="1"/>
  <c r="H8312" i="1"/>
  <c r="D8315" i="1" s="1"/>
  <c r="F8287" i="1"/>
  <c r="G8287" i="1" s="1"/>
  <c r="H8287" i="1" s="1"/>
  <c r="D8267" i="1"/>
  <c r="C8267" i="1"/>
  <c r="B8267" i="1"/>
  <c r="F8246" i="1"/>
  <c r="G8246" i="1" s="1"/>
  <c r="H8246" i="1" s="1"/>
  <c r="BX8263" i="1"/>
  <c r="BW8263" i="1"/>
  <c r="BV8263" i="1"/>
  <c r="BZ8242" i="1"/>
  <c r="CA8242" i="1" s="1"/>
  <c r="CB8242" i="1" s="1"/>
  <c r="F8198" i="1"/>
  <c r="H8221" i="1"/>
  <c r="B8226" i="1" s="1"/>
  <c r="G8198" i="1"/>
  <c r="B8179" i="1"/>
  <c r="H8176" i="1"/>
  <c r="H8175" i="1" s="1"/>
  <c r="C8179" i="1" s="1"/>
  <c r="F8151" i="1"/>
  <c r="G8151" i="1" s="1"/>
  <c r="H8151" i="1" s="1"/>
  <c r="I8105" i="1"/>
  <c r="I8104" i="1"/>
  <c r="B8132" i="1"/>
  <c r="H8129" i="1"/>
  <c r="H8128" i="1" s="1"/>
  <c r="F8105" i="1"/>
  <c r="G8105" i="1" s="1"/>
  <c r="H8105" i="1" s="1"/>
  <c r="F8104" i="1"/>
  <c r="G8104" i="1" s="1"/>
  <c r="H8104" i="1" s="1"/>
  <c r="B8086" i="1"/>
  <c r="H8083" i="1"/>
  <c r="D8086" i="1" s="1"/>
  <c r="H8082" i="1"/>
  <c r="C8086" i="1" s="1"/>
  <c r="G8059" i="1"/>
  <c r="F8059" i="1"/>
  <c r="H8034" i="1"/>
  <c r="H8036" i="1" s="1"/>
  <c r="D8039" i="1" s="1"/>
  <c r="G8011" i="1"/>
  <c r="F8011" i="1"/>
  <c r="B7991" i="1"/>
  <c r="H7988" i="1"/>
  <c r="H7987" i="1"/>
  <c r="C7991" i="1" s="1"/>
  <c r="G7964" i="1"/>
  <c r="F7964" i="1"/>
  <c r="I7919" i="1"/>
  <c r="I7920" i="1"/>
  <c r="I7918" i="1"/>
  <c r="B7944" i="1"/>
  <c r="H7941" i="1"/>
  <c r="H7940" i="1"/>
  <c r="C7944" i="1" s="1"/>
  <c r="F7920" i="1"/>
  <c r="G7920" i="1" s="1"/>
  <c r="H7920" i="1" s="1"/>
  <c r="F7919" i="1"/>
  <c r="G7919" i="1" s="1"/>
  <c r="H7919" i="1" s="1"/>
  <c r="F7918" i="1"/>
  <c r="G7918" i="1" s="1"/>
  <c r="H7918" i="1" s="1"/>
  <c r="F7872" i="1"/>
  <c r="G7872" i="1" s="1"/>
  <c r="H7872" i="1" s="1"/>
  <c r="F7873" i="1"/>
  <c r="G7873" i="1" s="1"/>
  <c r="H7873" i="1" s="1"/>
  <c r="I7872" i="1"/>
  <c r="I7873" i="1"/>
  <c r="I7871" i="1"/>
  <c r="B7897" i="1"/>
  <c r="H7894" i="1"/>
  <c r="H7893" i="1"/>
  <c r="C7897" i="1" s="1"/>
  <c r="F7871" i="1"/>
  <c r="G7871" i="1" s="1"/>
  <c r="H7871" i="1" s="1"/>
  <c r="B7851" i="1"/>
  <c r="H7848" i="1"/>
  <c r="H7847" i="1"/>
  <c r="C7851" i="1" s="1"/>
  <c r="F7825" i="1"/>
  <c r="G7825" i="1" s="1"/>
  <c r="H7825" i="1" s="1"/>
  <c r="C7806" i="1"/>
  <c r="E7806" i="1" s="1"/>
  <c r="B7806" i="1"/>
  <c r="H7803" i="1"/>
  <c r="H7780" i="1"/>
  <c r="H5545" i="1"/>
  <c r="F5521" i="1"/>
  <c r="H7989" i="1" l="1"/>
  <c r="BY8263" i="1"/>
  <c r="H7964" i="1"/>
  <c r="H8035" i="1"/>
  <c r="C8039" i="1" s="1"/>
  <c r="E8039" i="1" s="1"/>
  <c r="H8198" i="1"/>
  <c r="H7895" i="1"/>
  <c r="H8059" i="1"/>
  <c r="H8084" i="1"/>
  <c r="H8311" i="1"/>
  <c r="C8315" i="1" s="1"/>
  <c r="E8315" i="1" s="1"/>
  <c r="E8267" i="1"/>
  <c r="H8222" i="1"/>
  <c r="C8226" i="1" s="1"/>
  <c r="D8179" i="1"/>
  <c r="E8179" i="1" s="1"/>
  <c r="C8132" i="1"/>
  <c r="D8132" i="1"/>
  <c r="E8086" i="1"/>
  <c r="H8011" i="1"/>
  <c r="B8039" i="1"/>
  <c r="D7991" i="1"/>
  <c r="E7991" i="1" s="1"/>
  <c r="H7942" i="1"/>
  <c r="D7944" i="1"/>
  <c r="E7944" i="1" s="1"/>
  <c r="D7897" i="1"/>
  <c r="E7897" i="1" s="1"/>
  <c r="H7849" i="1"/>
  <c r="D7851" i="1"/>
  <c r="E7851" i="1" s="1"/>
  <c r="I7733" i="1"/>
  <c r="B7760" i="1"/>
  <c r="H7756" i="1"/>
  <c r="C7760" i="1" s="1"/>
  <c r="F7733" i="1"/>
  <c r="G7733" i="1" s="1"/>
  <c r="H7733" i="1" s="1"/>
  <c r="I7687" i="1"/>
  <c r="H7757" i="1" l="1"/>
  <c r="E8132" i="1"/>
  <c r="H8223" i="1"/>
  <c r="D8226" i="1" s="1"/>
  <c r="E8226" i="1" s="1"/>
  <c r="D7760" i="1"/>
  <c r="E7760" i="1" s="1"/>
  <c r="B7714" i="1"/>
  <c r="H7709" i="1"/>
  <c r="C7714" i="1" s="1"/>
  <c r="F7687" i="1"/>
  <c r="G7687" i="1" s="1"/>
  <c r="H8224" i="1" l="1"/>
  <c r="H7710" i="1"/>
  <c r="H7687" i="1"/>
  <c r="D7714" i="1" l="1"/>
  <c r="E7714" i="1" s="1"/>
  <c r="H7711" i="1"/>
  <c r="B7665" i="1" l="1"/>
  <c r="H7661" i="1"/>
  <c r="C7665" i="1" s="1"/>
  <c r="F7642" i="1"/>
  <c r="G7642" i="1" s="1"/>
  <c r="H7642" i="1" s="1"/>
  <c r="F7641" i="1"/>
  <c r="G7641" i="1" s="1"/>
  <c r="H7641" i="1" s="1"/>
  <c r="F7640" i="1"/>
  <c r="G7640" i="1" s="1"/>
  <c r="H7640" i="1" s="1"/>
  <c r="F7639" i="1"/>
  <c r="G7639" i="1" s="1"/>
  <c r="H7639" i="1" s="1"/>
  <c r="D7616" i="1"/>
  <c r="C7616" i="1"/>
  <c r="B7616" i="1"/>
  <c r="F7595" i="1"/>
  <c r="G7595" i="1" s="1"/>
  <c r="H7595" i="1" s="1"/>
  <c r="I7550" i="1"/>
  <c r="I7551" i="1"/>
  <c r="I7552" i="1"/>
  <c r="I7553" i="1"/>
  <c r="I7554" i="1"/>
  <c r="I7549" i="1"/>
  <c r="B7575" i="1"/>
  <c r="H7571" i="1"/>
  <c r="C7575" i="1" s="1"/>
  <c r="F7554" i="1"/>
  <c r="G7554" i="1" s="1"/>
  <c r="H7554" i="1" s="1"/>
  <c r="F7553" i="1"/>
  <c r="G7553" i="1" s="1"/>
  <c r="H7553" i="1" s="1"/>
  <c r="F7552" i="1"/>
  <c r="G7552" i="1" s="1"/>
  <c r="H7552" i="1" s="1"/>
  <c r="F7551" i="1"/>
  <c r="G7551" i="1" s="1"/>
  <c r="H7551" i="1" s="1"/>
  <c r="F7550" i="1"/>
  <c r="G7550" i="1" s="1"/>
  <c r="H7550" i="1" s="1"/>
  <c r="F7549" i="1"/>
  <c r="G7549" i="1" s="1"/>
  <c r="H7549" i="1" s="1"/>
  <c r="I7503" i="1"/>
  <c r="H7526" i="1"/>
  <c r="H7528" i="1" s="1"/>
  <c r="D7531" i="1" s="1"/>
  <c r="G7503" i="1"/>
  <c r="F7503" i="1"/>
  <c r="F7457" i="1"/>
  <c r="G7457" i="1"/>
  <c r="H7479" i="1"/>
  <c r="H7480" i="1" s="1"/>
  <c r="C7484" i="1" s="1"/>
  <c r="G7456" i="1"/>
  <c r="F7456" i="1"/>
  <c r="I7409" i="1"/>
  <c r="I7408" i="1"/>
  <c r="F7409" i="1"/>
  <c r="G7409" i="1" s="1"/>
  <c r="H7409" i="1" s="1"/>
  <c r="B7437" i="1"/>
  <c r="H7434" i="1"/>
  <c r="D7437" i="1" s="1"/>
  <c r="H7433" i="1"/>
  <c r="C7437" i="1" s="1"/>
  <c r="F7408" i="1"/>
  <c r="G7408" i="1" s="1"/>
  <c r="H7408" i="1" s="1"/>
  <c r="H7662" i="1" l="1"/>
  <c r="E7616" i="1"/>
  <c r="H7456" i="1"/>
  <c r="D7665" i="1"/>
  <c r="E7665" i="1" s="1"/>
  <c r="H7457" i="1"/>
  <c r="H7572" i="1"/>
  <c r="D7575" i="1"/>
  <c r="E7575" i="1" s="1"/>
  <c r="H7503" i="1"/>
  <c r="H7527" i="1"/>
  <c r="C7531" i="1" s="1"/>
  <c r="E7531" i="1" s="1"/>
  <c r="B7531" i="1"/>
  <c r="B7484" i="1"/>
  <c r="H7481" i="1"/>
  <c r="D7484" i="1" s="1"/>
  <c r="E7484" i="1" s="1"/>
  <c r="E7437" i="1"/>
  <c r="B7389" i="1"/>
  <c r="H7386" i="1"/>
  <c r="H7385" i="1"/>
  <c r="G7365" i="1"/>
  <c r="F7365" i="1"/>
  <c r="G7364" i="1"/>
  <c r="F7364" i="1"/>
  <c r="H7337" i="1"/>
  <c r="C7341" i="1" s="1"/>
  <c r="E7341" i="1" s="1"/>
  <c r="B7341" i="1"/>
  <c r="H7338" i="1"/>
  <c r="G7317" i="1"/>
  <c r="F7317" i="1"/>
  <c r="H7317" i="1" l="1"/>
  <c r="H7364" i="1"/>
  <c r="H7387" i="1"/>
  <c r="D7389" i="1"/>
  <c r="H7365" i="1"/>
  <c r="C7389" i="1"/>
  <c r="B7297" i="1"/>
  <c r="H7294" i="1"/>
  <c r="D7297" i="1" s="1"/>
  <c r="H7293" i="1"/>
  <c r="C7297" i="1" s="1"/>
  <c r="G7270" i="1"/>
  <c r="F7270" i="1"/>
  <c r="B7251" i="1"/>
  <c r="H7248" i="1"/>
  <c r="D7251" i="1" s="1"/>
  <c r="H7247" i="1"/>
  <c r="C7251" i="1" s="1"/>
  <c r="G7224" i="1"/>
  <c r="F7224" i="1"/>
  <c r="F7180" i="1"/>
  <c r="G7180" i="1" s="1"/>
  <c r="H7180" i="1" s="1"/>
  <c r="B7204" i="1"/>
  <c r="H7200" i="1"/>
  <c r="D7204" i="1" s="1"/>
  <c r="F7179" i="1"/>
  <c r="G7179" i="1" s="1"/>
  <c r="H7179" i="1" s="1"/>
  <c r="H7108" i="1"/>
  <c r="C7112" i="1" s="1"/>
  <c r="D7153" i="1"/>
  <c r="C7153" i="1"/>
  <c r="B7153" i="1"/>
  <c r="F7132" i="1"/>
  <c r="G7132" i="1" s="1"/>
  <c r="H7132" i="1" s="1"/>
  <c r="B7112" i="1"/>
  <c r="F7087" i="1"/>
  <c r="G7087" i="1" s="1"/>
  <c r="H7087" i="1" s="1"/>
  <c r="E7297" i="1" l="1"/>
  <c r="D7112" i="1"/>
  <c r="H7224" i="1"/>
  <c r="E7389" i="1"/>
  <c r="H7295" i="1"/>
  <c r="H7270" i="1"/>
  <c r="E7153" i="1"/>
  <c r="E7251" i="1"/>
  <c r="H7249" i="1"/>
  <c r="C7204" i="1"/>
  <c r="E7204" i="1" s="1"/>
  <c r="H7201" i="1"/>
  <c r="H7109" i="1"/>
  <c r="E7112" i="1"/>
  <c r="F6950" i="1"/>
  <c r="G6950" i="1" s="1"/>
  <c r="H6950" i="1" s="1"/>
  <c r="I6629" i="1"/>
  <c r="I6628" i="1"/>
  <c r="I7041" i="1"/>
  <c r="F7041" i="1"/>
  <c r="G7041" i="1" s="1"/>
  <c r="H7041" i="1" s="1"/>
  <c r="B7066" i="1"/>
  <c r="H7062" i="1"/>
  <c r="C7066" i="1" s="1"/>
  <c r="F6904" i="1"/>
  <c r="G6904" i="1" s="1"/>
  <c r="H6904" i="1" s="1"/>
  <c r="I6904" i="1"/>
  <c r="F6905" i="1"/>
  <c r="G6905" i="1" s="1"/>
  <c r="H6905" i="1" s="1"/>
  <c r="I6905" i="1"/>
  <c r="I6903" i="1"/>
  <c r="F6903" i="1"/>
  <c r="G6903" i="1" s="1"/>
  <c r="H6903" i="1" s="1"/>
  <c r="F6860" i="1"/>
  <c r="G6860" i="1" s="1"/>
  <c r="H6860" i="1" s="1"/>
  <c r="I6860" i="1"/>
  <c r="F6861" i="1"/>
  <c r="G6861" i="1" s="1"/>
  <c r="H6861" i="1" s="1"/>
  <c r="I6861" i="1"/>
  <c r="F6862" i="1"/>
  <c r="G6862" i="1" s="1"/>
  <c r="H6862" i="1" s="1"/>
  <c r="I6862" i="1"/>
  <c r="F6863" i="1"/>
  <c r="G6863" i="1" s="1"/>
  <c r="H6863" i="1" s="1"/>
  <c r="I6863" i="1"/>
  <c r="F6864" i="1"/>
  <c r="G6864" i="1" s="1"/>
  <c r="H6864" i="1" s="1"/>
  <c r="I6864" i="1"/>
  <c r="F6865" i="1"/>
  <c r="G6865" i="1" s="1"/>
  <c r="H6865" i="1" s="1"/>
  <c r="I6865" i="1"/>
  <c r="F6866" i="1"/>
  <c r="G6866" i="1" s="1"/>
  <c r="H6866" i="1" s="1"/>
  <c r="I6866" i="1"/>
  <c r="F6867" i="1"/>
  <c r="G6867" i="1" s="1"/>
  <c r="H6867" i="1" s="1"/>
  <c r="I6867" i="1"/>
  <c r="I6859" i="1"/>
  <c r="F6859" i="1"/>
  <c r="G6859" i="1" s="1"/>
  <c r="H6859" i="1" s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14" i="1"/>
  <c r="F6815" i="1"/>
  <c r="G6815" i="1" s="1"/>
  <c r="H6815" i="1" s="1"/>
  <c r="F6816" i="1"/>
  <c r="G6816" i="1" s="1"/>
  <c r="H6816" i="1" s="1"/>
  <c r="F6817" i="1"/>
  <c r="G6817" i="1" s="1"/>
  <c r="H6817" i="1" s="1"/>
  <c r="F6818" i="1"/>
  <c r="G6818" i="1" s="1"/>
  <c r="H6818" i="1" s="1"/>
  <c r="F6819" i="1"/>
  <c r="G6819" i="1" s="1"/>
  <c r="H6819" i="1" s="1"/>
  <c r="F6820" i="1"/>
  <c r="G6820" i="1" s="1"/>
  <c r="H6820" i="1" s="1"/>
  <c r="F6821" i="1"/>
  <c r="G6821" i="1" s="1"/>
  <c r="H6821" i="1" s="1"/>
  <c r="F6822" i="1"/>
  <c r="G6822" i="1" s="1"/>
  <c r="H6822" i="1" s="1"/>
  <c r="F6823" i="1"/>
  <c r="G6823" i="1" s="1"/>
  <c r="H6823" i="1" s="1"/>
  <c r="F6824" i="1"/>
  <c r="G6824" i="1" s="1"/>
  <c r="H6824" i="1" s="1"/>
  <c r="F6825" i="1"/>
  <c r="G6825" i="1" s="1"/>
  <c r="H6825" i="1" s="1"/>
  <c r="F6826" i="1"/>
  <c r="G6826" i="1" s="1"/>
  <c r="H6826" i="1" s="1"/>
  <c r="F6827" i="1"/>
  <c r="G6827" i="1" s="1"/>
  <c r="H6827" i="1" s="1"/>
  <c r="F6723" i="1"/>
  <c r="G6723" i="1" s="1"/>
  <c r="H6723" i="1" s="1"/>
  <c r="I6723" i="1"/>
  <c r="F6724" i="1"/>
  <c r="G6724" i="1" s="1"/>
  <c r="H6724" i="1" s="1"/>
  <c r="I6724" i="1"/>
  <c r="F6722" i="1"/>
  <c r="G6722" i="1" s="1"/>
  <c r="H6722" i="1" s="1"/>
  <c r="I6722" i="1"/>
  <c r="I6721" i="1"/>
  <c r="F6721" i="1"/>
  <c r="G6721" i="1" s="1"/>
  <c r="H6721" i="1" s="1"/>
  <c r="I6996" i="1"/>
  <c r="F6996" i="1"/>
  <c r="G6996" i="1" s="1"/>
  <c r="H6996" i="1" s="1"/>
  <c r="I6995" i="1"/>
  <c r="F6995" i="1"/>
  <c r="G6995" i="1" s="1"/>
  <c r="H6995" i="1" s="1"/>
  <c r="B7021" i="1"/>
  <c r="H7017" i="1"/>
  <c r="C7021" i="1" s="1"/>
  <c r="F6814" i="1"/>
  <c r="G6814" i="1" s="1"/>
  <c r="H6814" i="1" s="1"/>
  <c r="B6976" i="1"/>
  <c r="H6972" i="1"/>
  <c r="D6976" i="1" s="1"/>
  <c r="B6931" i="1"/>
  <c r="H6927" i="1"/>
  <c r="C6931" i="1" s="1"/>
  <c r="B6885" i="1"/>
  <c r="H6881" i="1"/>
  <c r="C6885" i="1" s="1"/>
  <c r="B6839" i="1"/>
  <c r="H6835" i="1"/>
  <c r="C6839" i="1" s="1"/>
  <c r="I6769" i="1"/>
  <c r="I6768" i="1"/>
  <c r="B6796" i="1"/>
  <c r="H6792" i="1"/>
  <c r="D6796" i="1" s="1"/>
  <c r="F6769" i="1"/>
  <c r="G6769" i="1" s="1"/>
  <c r="H6769" i="1" s="1"/>
  <c r="F6768" i="1"/>
  <c r="G6768" i="1" s="1"/>
  <c r="H6768" i="1" s="1"/>
  <c r="B6749" i="1"/>
  <c r="H6745" i="1"/>
  <c r="C6749" i="1" s="1"/>
  <c r="I6676" i="1"/>
  <c r="I6677" i="1"/>
  <c r="I6678" i="1"/>
  <c r="I6679" i="1"/>
  <c r="I6680" i="1"/>
  <c r="I6675" i="1"/>
  <c r="F6677" i="1"/>
  <c r="G6677" i="1" s="1"/>
  <c r="H6677" i="1" s="1"/>
  <c r="F6678" i="1"/>
  <c r="G6678" i="1" s="1"/>
  <c r="H6678" i="1" s="1"/>
  <c r="F6679" i="1"/>
  <c r="G6679" i="1" s="1"/>
  <c r="H6679" i="1" s="1"/>
  <c r="F6680" i="1"/>
  <c r="G6680" i="1" s="1"/>
  <c r="H6680" i="1" s="1"/>
  <c r="B6703" i="1"/>
  <c r="H6699" i="1"/>
  <c r="C6703" i="1" s="1"/>
  <c r="F6676" i="1"/>
  <c r="G6676" i="1" s="1"/>
  <c r="H6676" i="1" s="1"/>
  <c r="F6675" i="1"/>
  <c r="G6675" i="1" s="1"/>
  <c r="H6675" i="1" s="1"/>
  <c r="F6629" i="1"/>
  <c r="G6629" i="1" s="1"/>
  <c r="H6629" i="1" s="1"/>
  <c r="B6656" i="1"/>
  <c r="H6652" i="1"/>
  <c r="D6656" i="1" s="1"/>
  <c r="F6628" i="1"/>
  <c r="G6628" i="1" s="1"/>
  <c r="H6628" i="1" s="1"/>
  <c r="I6582" i="1"/>
  <c r="I6583" i="1"/>
  <c r="I6584" i="1"/>
  <c r="I6581" i="1"/>
  <c r="F6583" i="1"/>
  <c r="G6583" i="1" s="1"/>
  <c r="H6583" i="1" s="1"/>
  <c r="F6584" i="1"/>
  <c r="G6584" i="1" s="1"/>
  <c r="H6584" i="1" s="1"/>
  <c r="F6582" i="1"/>
  <c r="G6582" i="1" s="1"/>
  <c r="F6581" i="1"/>
  <c r="B6608" i="1"/>
  <c r="F6535" i="1"/>
  <c r="G6535" i="1" s="1"/>
  <c r="H6535" i="1" s="1"/>
  <c r="H6555" i="1"/>
  <c r="B6560" i="1" s="1"/>
  <c r="F6534" i="1"/>
  <c r="G6534" i="1" s="1"/>
  <c r="I6488" i="1"/>
  <c r="I6489" i="1"/>
  <c r="I6490" i="1"/>
  <c r="I6491" i="1"/>
  <c r="I6492" i="1"/>
  <c r="I6493" i="1"/>
  <c r="I6494" i="1"/>
  <c r="I6487" i="1"/>
  <c r="F6488" i="1"/>
  <c r="G6488" i="1" s="1"/>
  <c r="H6488" i="1" s="1"/>
  <c r="F6489" i="1"/>
  <c r="G6489" i="1" s="1"/>
  <c r="H6489" i="1" s="1"/>
  <c r="F6490" i="1"/>
  <c r="G6490" i="1" s="1"/>
  <c r="H6490" i="1" s="1"/>
  <c r="F6491" i="1"/>
  <c r="G6491" i="1" s="1"/>
  <c r="H6491" i="1" s="1"/>
  <c r="F6492" i="1"/>
  <c r="G6492" i="1" s="1"/>
  <c r="H6492" i="1" s="1"/>
  <c r="F6493" i="1"/>
  <c r="G6493" i="1" s="1"/>
  <c r="H6493" i="1" s="1"/>
  <c r="F6494" i="1"/>
  <c r="G6494" i="1" s="1"/>
  <c r="H6494" i="1" s="1"/>
  <c r="B6513" i="1"/>
  <c r="H6510" i="1"/>
  <c r="H6509" i="1"/>
  <c r="C6513" i="1" s="1"/>
  <c r="F6487" i="1"/>
  <c r="G6487" i="1" s="1"/>
  <c r="H6487" i="1" s="1"/>
  <c r="B6468" i="1"/>
  <c r="H6465" i="1"/>
  <c r="H6464" i="1"/>
  <c r="C6468" i="1" s="1"/>
  <c r="F6442" i="1"/>
  <c r="G6442" i="1" s="1"/>
  <c r="H6442" i="1" s="1"/>
  <c r="B6422" i="1"/>
  <c r="H6419" i="1"/>
  <c r="H6418" i="1"/>
  <c r="D6422" i="1" s="1"/>
  <c r="F6396" i="1"/>
  <c r="G6396" i="1" s="1"/>
  <c r="H6396" i="1" s="1"/>
  <c r="B6376" i="1"/>
  <c r="H6373" i="1"/>
  <c r="H6372" i="1"/>
  <c r="C6376" i="1" s="1"/>
  <c r="F6350" i="1"/>
  <c r="G6350" i="1" s="1"/>
  <c r="H6350" i="1" s="1"/>
  <c r="I6303" i="1"/>
  <c r="I6304" i="1"/>
  <c r="I6302" i="1"/>
  <c r="B6192" i="1"/>
  <c r="H6187" i="1"/>
  <c r="C6192" i="1" s="1"/>
  <c r="F6167" i="1"/>
  <c r="G6167" i="1" s="1"/>
  <c r="I6256" i="1"/>
  <c r="I6257" i="1"/>
  <c r="I6255" i="1"/>
  <c r="F6256" i="1"/>
  <c r="G6256" i="1" s="1"/>
  <c r="H6256" i="1" s="1"/>
  <c r="F6257" i="1"/>
  <c r="G6257" i="1" s="1"/>
  <c r="H6257" i="1" s="1"/>
  <c r="I6212" i="1"/>
  <c r="I6213" i="1"/>
  <c r="I6214" i="1"/>
  <c r="I6211" i="1"/>
  <c r="B6282" i="1"/>
  <c r="H6278" i="1"/>
  <c r="H6279" i="1" s="1"/>
  <c r="F6255" i="1"/>
  <c r="G6255" i="1" s="1"/>
  <c r="H6255" i="1" s="1"/>
  <c r="I6122" i="1"/>
  <c r="H6324" i="1"/>
  <c r="H6325" i="1" s="1"/>
  <c r="D6329" i="1" s="1"/>
  <c r="F6213" i="1"/>
  <c r="F6214" i="1"/>
  <c r="G6214" i="1" s="1"/>
  <c r="H6214" i="1" s="1"/>
  <c r="B6236" i="1"/>
  <c r="H6231" i="1"/>
  <c r="C6236" i="1" s="1"/>
  <c r="F6212" i="1"/>
  <c r="G6212" i="1" s="1"/>
  <c r="F6211" i="1"/>
  <c r="G6211" i="1" s="1"/>
  <c r="H6211" i="1" s="1"/>
  <c r="F6303" i="1"/>
  <c r="G6303" i="1" s="1"/>
  <c r="F6302" i="1"/>
  <c r="G6302" i="1" s="1"/>
  <c r="I6123" i="1"/>
  <c r="I6124" i="1"/>
  <c r="I6125" i="1"/>
  <c r="F6124" i="1"/>
  <c r="F6125" i="1"/>
  <c r="B6148" i="1"/>
  <c r="H6143" i="1"/>
  <c r="C6148" i="1" s="1"/>
  <c r="F6123" i="1"/>
  <c r="G6123" i="1" s="1"/>
  <c r="F6122" i="1"/>
  <c r="G6122" i="1" s="1"/>
  <c r="B6101" i="1"/>
  <c r="H6096" i="1"/>
  <c r="C6101" i="1" s="1"/>
  <c r="F6076" i="1"/>
  <c r="G6076" i="1" s="1"/>
  <c r="B6056" i="1"/>
  <c r="H6052" i="1"/>
  <c r="D6056" i="1" s="1"/>
  <c r="I6037" i="1"/>
  <c r="I6036" i="1"/>
  <c r="I6035" i="1"/>
  <c r="I6034" i="1"/>
  <c r="F6034" i="1"/>
  <c r="G6034" i="1" s="1"/>
  <c r="H6034" i="1" s="1"/>
  <c r="I6033" i="1"/>
  <c r="F6033" i="1"/>
  <c r="G6033" i="1" s="1"/>
  <c r="H6033" i="1" s="1"/>
  <c r="I5991" i="1"/>
  <c r="I5992" i="1"/>
  <c r="I5993" i="1"/>
  <c r="I5994" i="1"/>
  <c r="I5990" i="1"/>
  <c r="F5993" i="1"/>
  <c r="G5993" i="1" s="1"/>
  <c r="H5993" i="1" s="1"/>
  <c r="F5994" i="1"/>
  <c r="G5994" i="1" s="1"/>
  <c r="H5994" i="1" s="1"/>
  <c r="B6013" i="1"/>
  <c r="H6009" i="1"/>
  <c r="C6013" i="1" s="1"/>
  <c r="F5992" i="1"/>
  <c r="G5992" i="1" s="1"/>
  <c r="H5992" i="1" s="1"/>
  <c r="F5991" i="1"/>
  <c r="G5991" i="1" s="1"/>
  <c r="H5991" i="1" s="1"/>
  <c r="F5990" i="1"/>
  <c r="G5990" i="1" s="1"/>
  <c r="H5990" i="1" s="1"/>
  <c r="H5966" i="1"/>
  <c r="D5970" i="1" s="1"/>
  <c r="I5944" i="1"/>
  <c r="I5945" i="1"/>
  <c r="I5943" i="1"/>
  <c r="H5918" i="1"/>
  <c r="B5923" i="1" s="1"/>
  <c r="F5945" i="1"/>
  <c r="G5945" i="1" s="1"/>
  <c r="H5945" i="1" s="1"/>
  <c r="F5944" i="1"/>
  <c r="G5944" i="1" s="1"/>
  <c r="H5944" i="1" s="1"/>
  <c r="F5943" i="1"/>
  <c r="G5943" i="1" s="1"/>
  <c r="H5943" i="1" s="1"/>
  <c r="G5896" i="1"/>
  <c r="F5896" i="1"/>
  <c r="G5895" i="1"/>
  <c r="F5895" i="1"/>
  <c r="F5850" i="1"/>
  <c r="G5850" i="1" s="1"/>
  <c r="H5850" i="1" s="1"/>
  <c r="F5802" i="1"/>
  <c r="G5802" i="1" s="1"/>
  <c r="H5802" i="1" s="1"/>
  <c r="I5802" i="1"/>
  <c r="F5803" i="1"/>
  <c r="G5803" i="1" s="1"/>
  <c r="H5803" i="1" s="1"/>
  <c r="I5803" i="1"/>
  <c r="F5804" i="1"/>
  <c r="G5804" i="1" s="1"/>
  <c r="H5804" i="1" s="1"/>
  <c r="I5804" i="1"/>
  <c r="I5801" i="1"/>
  <c r="B5876" i="1"/>
  <c r="H5872" i="1"/>
  <c r="C5876" i="1" s="1"/>
  <c r="F5849" i="1"/>
  <c r="G5849" i="1" s="1"/>
  <c r="H5849" i="1" s="1"/>
  <c r="B5828" i="1"/>
  <c r="H5824" i="1"/>
  <c r="C5828" i="1" s="1"/>
  <c r="F5801" i="1"/>
  <c r="G5801" i="1" s="1"/>
  <c r="H5801" i="1" s="1"/>
  <c r="B5780" i="1"/>
  <c r="H5776" i="1"/>
  <c r="C5780" i="1" s="1"/>
  <c r="F5753" i="1"/>
  <c r="G5753" i="1" s="1"/>
  <c r="H5753" i="1" s="1"/>
  <c r="F5710" i="1"/>
  <c r="G5710" i="1" s="1"/>
  <c r="H5710" i="1" s="1"/>
  <c r="I5710" i="1"/>
  <c r="I5709" i="1"/>
  <c r="F5709" i="1"/>
  <c r="G5709" i="1" s="1"/>
  <c r="H5709" i="1" s="1"/>
  <c r="I5708" i="1"/>
  <c r="F5708" i="1"/>
  <c r="G5708" i="1" s="1"/>
  <c r="H5708" i="1" s="1"/>
  <c r="H7063" i="1" l="1"/>
  <c r="D7066" i="1"/>
  <c r="E7066" i="1" s="1"/>
  <c r="D7021" i="1"/>
  <c r="E7021" i="1" s="1"/>
  <c r="H7018" i="1"/>
  <c r="C6976" i="1"/>
  <c r="E6976" i="1" s="1"/>
  <c r="H6973" i="1"/>
  <c r="H6882" i="1"/>
  <c r="D6885" i="1"/>
  <c r="E6885" i="1" s="1"/>
  <c r="H6928" i="1"/>
  <c r="H6929" i="1" s="1"/>
  <c r="D6931" i="1"/>
  <c r="E6931" i="1" s="1"/>
  <c r="D6839" i="1"/>
  <c r="E6839" i="1" s="1"/>
  <c r="H6836" i="1"/>
  <c r="C6796" i="1"/>
  <c r="E6796" i="1" s="1"/>
  <c r="H6793" i="1"/>
  <c r="D6513" i="1"/>
  <c r="E6513" i="1" s="1"/>
  <c r="H6374" i="1"/>
  <c r="H6746" i="1"/>
  <c r="D6749" i="1"/>
  <c r="E6749" i="1" s="1"/>
  <c r="D6703" i="1"/>
  <c r="E6703" i="1" s="1"/>
  <c r="H6700" i="1"/>
  <c r="H6701" i="1" s="1"/>
  <c r="C6656" i="1"/>
  <c r="E6656" i="1" s="1"/>
  <c r="H6653" i="1"/>
  <c r="G6581" i="1"/>
  <c r="H6581" i="1" s="1"/>
  <c r="H6582" i="1"/>
  <c r="H6604" i="1"/>
  <c r="H6534" i="1"/>
  <c r="H6556" i="1"/>
  <c r="H6144" i="1"/>
  <c r="D6148" i="1" s="1"/>
  <c r="E6148" i="1" s="1"/>
  <c r="D6468" i="1"/>
  <c r="E6468" i="1" s="1"/>
  <c r="H6466" i="1"/>
  <c r="C6422" i="1"/>
  <c r="E6422" i="1" s="1"/>
  <c r="H6420" i="1"/>
  <c r="H6280" i="1"/>
  <c r="D6376" i="1"/>
  <c r="E6376" i="1" s="1"/>
  <c r="H6303" i="1"/>
  <c r="H6188" i="1"/>
  <c r="D6192" i="1" s="1"/>
  <c r="E6192" i="1" s="1"/>
  <c r="H6167" i="1"/>
  <c r="H6232" i="1"/>
  <c r="D6236" i="1" s="1"/>
  <c r="E6236" i="1" s="1"/>
  <c r="D6282" i="1"/>
  <c r="C6282" i="1"/>
  <c r="B6329" i="1"/>
  <c r="G6213" i="1"/>
  <c r="H6213" i="1" s="1"/>
  <c r="H6212" i="1"/>
  <c r="H6326" i="1"/>
  <c r="C6329" i="1"/>
  <c r="E6329" i="1" s="1"/>
  <c r="H6302" i="1"/>
  <c r="G6125" i="1"/>
  <c r="H6125" i="1" s="1"/>
  <c r="G6124" i="1"/>
  <c r="H6124" i="1" s="1"/>
  <c r="H6123" i="1"/>
  <c r="H6122" i="1"/>
  <c r="H5896" i="1"/>
  <c r="H6053" i="1"/>
  <c r="H6076" i="1"/>
  <c r="H6097" i="1"/>
  <c r="C6056" i="1"/>
  <c r="E6056" i="1" s="1"/>
  <c r="H5920" i="1"/>
  <c r="D5923" i="1" s="1"/>
  <c r="H5895" i="1"/>
  <c r="H5873" i="1"/>
  <c r="H5874" i="1" s="1"/>
  <c r="H6010" i="1"/>
  <c r="D6013" i="1"/>
  <c r="E6013" i="1" s="1"/>
  <c r="B5970" i="1"/>
  <c r="C5970" i="1"/>
  <c r="E5970" i="1" s="1"/>
  <c r="H5967" i="1"/>
  <c r="H5968" i="1" s="1"/>
  <c r="H5919" i="1"/>
  <c r="C5923" i="1" s="1"/>
  <c r="D5876" i="1"/>
  <c r="E5876" i="1" s="1"/>
  <c r="H5825" i="1"/>
  <c r="H5826" i="1" s="1"/>
  <c r="D5828" i="1"/>
  <c r="E5828" i="1" s="1"/>
  <c r="D5780" i="1"/>
  <c r="E5780" i="1" s="1"/>
  <c r="H5777" i="1"/>
  <c r="H5778" i="1" s="1"/>
  <c r="H6605" i="1" l="1"/>
  <c r="C6608" i="1"/>
  <c r="D6608" i="1"/>
  <c r="C6560" i="1"/>
  <c r="H6557" i="1"/>
  <c r="H6189" i="1"/>
  <c r="H6233" i="1"/>
  <c r="E6282" i="1"/>
  <c r="H6098" i="1"/>
  <c r="D6101" i="1"/>
  <c r="E6101" i="1" s="1"/>
  <c r="E5923" i="1"/>
  <c r="B5733" i="1"/>
  <c r="H5729" i="1"/>
  <c r="C5733" i="1" s="1"/>
  <c r="B5688" i="1"/>
  <c r="H5684" i="1"/>
  <c r="H5685" i="1" s="1"/>
  <c r="F5662" i="1"/>
  <c r="G5662" i="1" s="1"/>
  <c r="H5662" i="1" s="1"/>
  <c r="B5643" i="1"/>
  <c r="H5639" i="1"/>
  <c r="C5643" i="1" s="1"/>
  <c r="F5616" i="1"/>
  <c r="G5616" i="1" s="1"/>
  <c r="H5616" i="1" s="1"/>
  <c r="F5579" i="1"/>
  <c r="G5579" i="1" s="1"/>
  <c r="H5579" i="1" s="1"/>
  <c r="I5579" i="1"/>
  <c r="F5575" i="1"/>
  <c r="G5575" i="1" s="1"/>
  <c r="H5575" i="1" s="1"/>
  <c r="I5575" i="1"/>
  <c r="F5572" i="1"/>
  <c r="G5572" i="1" s="1"/>
  <c r="H5572" i="1" s="1"/>
  <c r="I5572" i="1"/>
  <c r="F5571" i="1"/>
  <c r="G5571" i="1" s="1"/>
  <c r="H5571" i="1" s="1"/>
  <c r="I5571" i="1"/>
  <c r="F5570" i="1"/>
  <c r="G5570" i="1" s="1"/>
  <c r="H5570" i="1" s="1"/>
  <c r="I5570" i="1"/>
  <c r="F5568" i="1"/>
  <c r="G5568" i="1" s="1"/>
  <c r="H5568" i="1" s="1"/>
  <c r="I5568" i="1"/>
  <c r="B5595" i="1"/>
  <c r="H5591" i="1"/>
  <c r="C5595" i="1" s="1"/>
  <c r="I5578" i="1"/>
  <c r="F5578" i="1"/>
  <c r="G5578" i="1" s="1"/>
  <c r="H5578" i="1" s="1"/>
  <c r="I5577" i="1"/>
  <c r="F5577" i="1"/>
  <c r="G5577" i="1" s="1"/>
  <c r="H5577" i="1" s="1"/>
  <c r="I5576" i="1"/>
  <c r="F5576" i="1"/>
  <c r="G5576" i="1" s="1"/>
  <c r="H5576" i="1" s="1"/>
  <c r="I5574" i="1"/>
  <c r="F5574" i="1"/>
  <c r="G5574" i="1" s="1"/>
  <c r="H5574" i="1" s="1"/>
  <c r="I5573" i="1"/>
  <c r="F5573" i="1"/>
  <c r="G5573" i="1" s="1"/>
  <c r="H5573" i="1" s="1"/>
  <c r="I5569" i="1"/>
  <c r="F5569" i="1"/>
  <c r="G5569" i="1" s="1"/>
  <c r="H5569" i="1" s="1"/>
  <c r="B5549" i="1"/>
  <c r="C5549" i="1"/>
  <c r="I5521" i="1"/>
  <c r="I5522" i="1"/>
  <c r="I5523" i="1"/>
  <c r="I5524" i="1"/>
  <c r="I5525" i="1"/>
  <c r="I5526" i="1"/>
  <c r="I5520" i="1"/>
  <c r="F5522" i="1"/>
  <c r="G5522" i="1" s="1"/>
  <c r="H5522" i="1" s="1"/>
  <c r="F5525" i="1"/>
  <c r="G5525" i="1" s="1"/>
  <c r="H5525" i="1" s="1"/>
  <c r="H5546" i="1"/>
  <c r="D5549" i="1" s="1"/>
  <c r="F5526" i="1"/>
  <c r="G5526" i="1" s="1"/>
  <c r="H5526" i="1" s="1"/>
  <c r="F5524" i="1"/>
  <c r="G5524" i="1" s="1"/>
  <c r="H5524" i="1" s="1"/>
  <c r="F5523" i="1"/>
  <c r="G5523" i="1" s="1"/>
  <c r="H5523" i="1" s="1"/>
  <c r="G5521" i="1"/>
  <c r="H5521" i="1" s="1"/>
  <c r="F5520" i="1"/>
  <c r="G5520" i="1" s="1"/>
  <c r="E6608" i="1" l="1"/>
  <c r="D6560" i="1"/>
  <c r="E6560" i="1" s="1"/>
  <c r="H5640" i="1"/>
  <c r="H5641" i="1" s="1"/>
  <c r="H5730" i="1"/>
  <c r="D5733" i="1"/>
  <c r="E5733" i="1" s="1"/>
  <c r="H5686" i="1"/>
  <c r="D5688" i="1"/>
  <c r="C5688" i="1"/>
  <c r="D5643" i="1"/>
  <c r="E5643" i="1" s="1"/>
  <c r="H5520" i="1"/>
  <c r="H5592" i="1"/>
  <c r="H5593" i="1" s="1"/>
  <c r="D5595" i="1"/>
  <c r="E5595" i="1" s="1"/>
  <c r="E5549" i="1"/>
  <c r="E5688" i="1" l="1"/>
  <c r="B5496" i="1"/>
  <c r="I5470" i="1"/>
  <c r="I5471" i="1"/>
  <c r="I5472" i="1"/>
  <c r="I5469" i="1"/>
  <c r="F5470" i="1"/>
  <c r="G5470" i="1" s="1"/>
  <c r="H5470" i="1" s="1"/>
  <c r="F5471" i="1"/>
  <c r="G5471" i="1" s="1"/>
  <c r="H5471" i="1" s="1"/>
  <c r="F5472" i="1"/>
  <c r="G5472" i="1" s="1"/>
  <c r="H5472" i="1" s="1"/>
  <c r="H5492" i="1"/>
  <c r="C5496" i="1" s="1"/>
  <c r="F5469" i="1"/>
  <c r="G5469" i="1" s="1"/>
  <c r="H5469" i="1" s="1"/>
  <c r="D5449" i="1"/>
  <c r="C5449" i="1"/>
  <c r="B5449" i="1"/>
  <c r="F5428" i="1"/>
  <c r="G5428" i="1" s="1"/>
  <c r="H5428" i="1" s="1"/>
  <c r="F5292" i="1"/>
  <c r="G5292" i="1" s="1"/>
  <c r="H5292" i="1" s="1"/>
  <c r="F5383" i="1"/>
  <c r="G5383" i="1" s="1"/>
  <c r="H5383" i="1" s="1"/>
  <c r="B5408" i="1"/>
  <c r="H5404" i="1"/>
  <c r="C5408" i="1" s="1"/>
  <c r="F5382" i="1"/>
  <c r="G5382" i="1" s="1"/>
  <c r="H5382" i="1" s="1"/>
  <c r="F5381" i="1"/>
  <c r="G5381" i="1" s="1"/>
  <c r="H5381" i="1" s="1"/>
  <c r="I5335" i="1"/>
  <c r="I5336" i="1"/>
  <c r="I5337" i="1"/>
  <c r="I5338" i="1"/>
  <c r="I5339" i="1"/>
  <c r="I5334" i="1"/>
  <c r="F5338" i="1"/>
  <c r="G5338" i="1" s="1"/>
  <c r="H5338" i="1" s="1"/>
  <c r="F5339" i="1"/>
  <c r="G5339" i="1" s="1"/>
  <c r="H5339" i="1" s="1"/>
  <c r="B5361" i="1"/>
  <c r="H5357" i="1"/>
  <c r="C5361" i="1" s="1"/>
  <c r="F5337" i="1"/>
  <c r="G5337" i="1" s="1"/>
  <c r="H5337" i="1" s="1"/>
  <c r="F5336" i="1"/>
  <c r="G5336" i="1" s="1"/>
  <c r="H5336" i="1" s="1"/>
  <c r="F5335" i="1"/>
  <c r="G5335" i="1" s="1"/>
  <c r="H5335" i="1" s="1"/>
  <c r="F5334" i="1"/>
  <c r="G5334" i="1" s="1"/>
  <c r="H5334" i="1" s="1"/>
  <c r="H5310" i="1"/>
  <c r="B5314" i="1"/>
  <c r="H5311" i="1"/>
  <c r="F5291" i="1"/>
  <c r="G5291" i="1" s="1"/>
  <c r="H5291" i="1" s="1"/>
  <c r="E5449" i="1" l="1"/>
  <c r="D5496" i="1"/>
  <c r="H5493" i="1"/>
  <c r="H5494" i="1" s="1"/>
  <c r="H5312" i="1"/>
  <c r="H5405" i="1"/>
  <c r="H5406" i="1" s="1"/>
  <c r="D5408" i="1"/>
  <c r="E5408" i="1" s="1"/>
  <c r="H5358" i="1"/>
  <c r="D5361" i="1"/>
  <c r="E5361" i="1" s="1"/>
  <c r="C5314" i="1"/>
  <c r="D5314" i="1"/>
  <c r="E5314" i="1" l="1"/>
  <c r="B5273" i="1"/>
  <c r="H5270" i="1"/>
  <c r="H5269" i="1"/>
  <c r="C5273" i="1" s="1"/>
  <c r="F5245" i="1"/>
  <c r="G5245" i="1" s="1"/>
  <c r="H5245" i="1" s="1"/>
  <c r="B5225" i="1"/>
  <c r="H5222" i="1"/>
  <c r="H5221" i="1"/>
  <c r="C5225" i="1" s="1"/>
  <c r="F5199" i="1"/>
  <c r="G5199" i="1" s="1"/>
  <c r="H5199" i="1" s="1"/>
  <c r="F5198" i="1"/>
  <c r="G5198" i="1" s="1"/>
  <c r="H5198" i="1" s="1"/>
  <c r="F5197" i="1"/>
  <c r="G5197" i="1" s="1"/>
  <c r="H5197" i="1" s="1"/>
  <c r="H5171" i="1"/>
  <c r="H5172" i="1" s="1"/>
  <c r="H5173" i="1" s="1"/>
  <c r="F5150" i="1"/>
  <c r="G5150" i="1" s="1"/>
  <c r="H5126" i="1"/>
  <c r="H5127" i="1" s="1"/>
  <c r="C5131" i="1" s="1"/>
  <c r="F5104" i="1"/>
  <c r="G5104" i="1" s="1"/>
  <c r="H5104" i="1" s="1"/>
  <c r="H5079" i="1"/>
  <c r="B5084" i="1" s="1"/>
  <c r="F5057" i="1"/>
  <c r="G5057" i="1" s="1"/>
  <c r="H5057" i="1" s="1"/>
  <c r="I5010" i="1"/>
  <c r="F5010" i="1"/>
  <c r="G5010" i="1"/>
  <c r="H5032" i="1"/>
  <c r="B5037" i="1" s="1"/>
  <c r="G5009" i="1"/>
  <c r="F5009" i="1"/>
  <c r="I4965" i="1"/>
  <c r="G4965" i="1"/>
  <c r="F4965" i="1"/>
  <c r="I4964" i="1"/>
  <c r="I4966" i="1"/>
  <c r="I4963" i="1"/>
  <c r="F4964" i="1"/>
  <c r="G4964" i="1"/>
  <c r="F4966" i="1"/>
  <c r="G4966" i="1"/>
  <c r="B4989" i="1"/>
  <c r="H4986" i="1"/>
  <c r="H4985" i="1"/>
  <c r="D4989" i="1" s="1"/>
  <c r="G4963" i="1"/>
  <c r="F4963" i="1"/>
  <c r="H4965" i="1" l="1"/>
  <c r="H5010" i="1"/>
  <c r="H4966" i="1"/>
  <c r="H4963" i="1"/>
  <c r="H4964" i="1"/>
  <c r="H5009" i="1"/>
  <c r="D5273" i="1"/>
  <c r="E5273" i="1" s="1"/>
  <c r="D5225" i="1"/>
  <c r="E5225" i="1" s="1"/>
  <c r="H5174" i="1"/>
  <c r="C5176" i="1"/>
  <c r="B5176" i="1"/>
  <c r="H5150" i="1"/>
  <c r="D5131" i="1"/>
  <c r="E5131" i="1" s="1"/>
  <c r="H5128" i="1"/>
  <c r="H5129" i="1" s="1"/>
  <c r="B5131" i="1"/>
  <c r="H5080" i="1"/>
  <c r="H5033" i="1"/>
  <c r="C5037" i="1" s="1"/>
  <c r="H5034" i="1"/>
  <c r="D5037" i="1" s="1"/>
  <c r="C4989" i="1"/>
  <c r="E4989" i="1" s="1"/>
  <c r="H4987" i="1"/>
  <c r="E5037" i="1" l="1"/>
  <c r="D5176" i="1"/>
  <c r="E5176" i="1" s="1"/>
  <c r="C5084" i="1"/>
  <c r="D5084" i="1"/>
  <c r="H5081" i="1"/>
  <c r="H5082" i="1" s="1"/>
  <c r="H5035" i="1"/>
  <c r="I4917" i="1"/>
  <c r="I4918" i="1"/>
  <c r="I4916" i="1"/>
  <c r="F4917" i="1"/>
  <c r="G4917" i="1" s="1"/>
  <c r="H4917" i="1" s="1"/>
  <c r="F4918" i="1"/>
  <c r="G4918" i="1" s="1"/>
  <c r="H4918" i="1" s="1"/>
  <c r="F4916" i="1"/>
  <c r="G4916" i="1" s="1"/>
  <c r="H4916" i="1" s="1"/>
  <c r="B4943" i="1"/>
  <c r="H4940" i="1"/>
  <c r="H4939" i="1"/>
  <c r="C4943" i="1" s="1"/>
  <c r="B4896" i="1"/>
  <c r="H4893" i="1"/>
  <c r="H4892" i="1"/>
  <c r="D4896" i="1" s="1"/>
  <c r="F4869" i="1"/>
  <c r="G4869" i="1" s="1"/>
  <c r="H4869" i="1" s="1"/>
  <c r="I4822" i="1"/>
  <c r="I4823" i="1"/>
  <c r="I4824" i="1"/>
  <c r="I4825" i="1"/>
  <c r="I4826" i="1"/>
  <c r="I4827" i="1"/>
  <c r="I4821" i="1"/>
  <c r="F4823" i="1"/>
  <c r="G4823" i="1" s="1"/>
  <c r="H4823" i="1" s="1"/>
  <c r="F4824" i="1"/>
  <c r="G4824" i="1" s="1"/>
  <c r="H4824" i="1" s="1"/>
  <c r="F4825" i="1"/>
  <c r="G4825" i="1" s="1"/>
  <c r="H4825" i="1" s="1"/>
  <c r="F4826" i="1"/>
  <c r="G4826" i="1" s="1"/>
  <c r="H4826" i="1" s="1"/>
  <c r="F4827" i="1"/>
  <c r="G4827" i="1" s="1"/>
  <c r="H4827" i="1" s="1"/>
  <c r="B4849" i="1"/>
  <c r="H4846" i="1"/>
  <c r="H4845" i="1"/>
  <c r="C4849" i="1" s="1"/>
  <c r="F4822" i="1"/>
  <c r="G4822" i="1" s="1"/>
  <c r="H4822" i="1" s="1"/>
  <c r="F4821" i="1"/>
  <c r="G4821" i="1" s="1"/>
  <c r="H4821" i="1" s="1"/>
  <c r="E5084" i="1" l="1"/>
  <c r="D4943" i="1"/>
  <c r="E4943" i="1" s="1"/>
  <c r="C4896" i="1"/>
  <c r="E4896" i="1" s="1"/>
  <c r="D4849" i="1"/>
  <c r="E4849" i="1" s="1"/>
  <c r="D4795" i="1" l="1"/>
  <c r="C4795" i="1"/>
  <c r="B4795" i="1"/>
  <c r="F4774" i="1"/>
  <c r="G4774" i="1" s="1"/>
  <c r="H4774" i="1" s="1"/>
  <c r="H4749" i="1"/>
  <c r="G4732" i="1"/>
  <c r="F4732" i="1"/>
  <c r="G4730" i="1"/>
  <c r="G4731" i="1"/>
  <c r="F4730" i="1"/>
  <c r="F4731" i="1"/>
  <c r="H4730" i="1" l="1"/>
  <c r="H4731" i="1"/>
  <c r="H4732" i="1"/>
  <c r="E4795" i="1"/>
  <c r="B4754" i="1"/>
  <c r="H4751" i="1"/>
  <c r="D4754" i="1" s="1"/>
  <c r="H4750" i="1"/>
  <c r="C4754" i="1" s="1"/>
  <c r="G4729" i="1"/>
  <c r="F4729" i="1"/>
  <c r="B4710" i="1"/>
  <c r="H4707" i="1"/>
  <c r="D4710" i="1" s="1"/>
  <c r="H4706" i="1"/>
  <c r="C4710" i="1" s="1"/>
  <c r="G4682" i="1"/>
  <c r="F4682" i="1"/>
  <c r="H4659" i="1"/>
  <c r="I4639" i="1"/>
  <c r="I4640" i="1"/>
  <c r="I4641" i="1"/>
  <c r="I4642" i="1"/>
  <c r="I4638" i="1"/>
  <c r="F4639" i="1"/>
  <c r="G4639" i="1"/>
  <c r="F4640" i="1"/>
  <c r="G4640" i="1"/>
  <c r="F4641" i="1"/>
  <c r="G4641" i="1"/>
  <c r="F4642" i="1"/>
  <c r="G4642" i="1"/>
  <c r="H4660" i="1"/>
  <c r="D4663" i="1" s="1"/>
  <c r="G4638" i="1"/>
  <c r="F4638" i="1"/>
  <c r="B4619" i="1"/>
  <c r="H4615" i="1"/>
  <c r="C4619" i="1" s="1"/>
  <c r="F4592" i="1"/>
  <c r="G4592" i="1" s="1"/>
  <c r="H4592" i="1" s="1"/>
  <c r="H4640" i="1" l="1"/>
  <c r="H4708" i="1"/>
  <c r="H4641" i="1"/>
  <c r="H4639" i="1"/>
  <c r="H4729" i="1"/>
  <c r="E4754" i="1"/>
  <c r="H4752" i="1"/>
  <c r="H4682" i="1"/>
  <c r="E4710" i="1"/>
  <c r="H4616" i="1"/>
  <c r="H4617" i="1" s="1"/>
  <c r="H4642" i="1"/>
  <c r="C4663" i="1"/>
  <c r="E4663" i="1" s="1"/>
  <c r="H4638" i="1"/>
  <c r="B4663" i="1"/>
  <c r="D4619" i="1"/>
  <c r="E4619" i="1" s="1"/>
  <c r="B4573" i="1" l="1"/>
  <c r="H4570" i="1"/>
  <c r="D4573" i="1" s="1"/>
  <c r="H4569" i="1"/>
  <c r="C4573" i="1" s="1"/>
  <c r="G4546" i="1"/>
  <c r="F4546" i="1"/>
  <c r="F4177" i="1"/>
  <c r="F4501" i="1"/>
  <c r="G4501" i="1"/>
  <c r="B4525" i="1"/>
  <c r="H4522" i="1"/>
  <c r="H4521" i="1"/>
  <c r="C4525" i="1" s="1"/>
  <c r="G4500" i="1"/>
  <c r="F4500" i="1"/>
  <c r="H4571" i="1" l="1"/>
  <c r="H4546" i="1"/>
  <c r="E4573" i="1"/>
  <c r="H4523" i="1"/>
  <c r="H4500" i="1"/>
  <c r="H4501" i="1"/>
  <c r="D4525" i="1"/>
  <c r="E4525" i="1" s="1"/>
  <c r="F4455" i="1" l="1"/>
  <c r="G4455" i="1" s="1"/>
  <c r="H4455" i="1" s="1"/>
  <c r="B4481" i="1"/>
  <c r="H4476" i="1"/>
  <c r="C4481" i="1" s="1"/>
  <c r="F4454" i="1"/>
  <c r="G4454" i="1" s="1"/>
  <c r="H4454" i="1" s="1"/>
  <c r="B4434" i="1"/>
  <c r="H4429" i="1"/>
  <c r="C4434" i="1" s="1"/>
  <c r="F4407" i="1"/>
  <c r="G4407" i="1" s="1"/>
  <c r="H4407" i="1" s="1"/>
  <c r="H4477" i="1" l="1"/>
  <c r="D4481" i="1" s="1"/>
  <c r="E4481" i="1" s="1"/>
  <c r="H4430" i="1"/>
  <c r="H4478" i="1" l="1"/>
  <c r="D4434" i="1"/>
  <c r="E4434" i="1" s="1"/>
  <c r="H4431" i="1"/>
  <c r="B4388" i="1" l="1"/>
  <c r="H4383" i="1"/>
  <c r="C4388" i="1" s="1"/>
  <c r="F4359" i="1"/>
  <c r="G4359" i="1" s="1"/>
  <c r="H4359" i="1" s="1"/>
  <c r="B4338" i="1"/>
  <c r="H4312" i="1"/>
  <c r="H4243" i="1"/>
  <c r="C4247" i="1" s="1"/>
  <c r="H4287" i="1"/>
  <c r="H4288" i="1" s="1"/>
  <c r="D4292" i="1" s="1"/>
  <c r="F4266" i="1"/>
  <c r="G4266" i="1" s="1"/>
  <c r="H4266" i="1" s="1"/>
  <c r="I4119" i="1"/>
  <c r="I4120" i="1"/>
  <c r="I4121" i="1"/>
  <c r="I4122" i="1"/>
  <c r="I4123" i="1"/>
  <c r="I4124" i="1"/>
  <c r="I4125" i="1"/>
  <c r="I4118" i="1"/>
  <c r="I3984" i="1"/>
  <c r="I3985" i="1"/>
  <c r="I3986" i="1"/>
  <c r="I3987" i="1"/>
  <c r="I3983" i="1"/>
  <c r="G4218" i="1"/>
  <c r="F4218" i="1"/>
  <c r="I4175" i="1"/>
  <c r="I4176" i="1"/>
  <c r="I4177" i="1"/>
  <c r="I4174" i="1"/>
  <c r="G4177" i="1"/>
  <c r="H4177" i="1" s="1"/>
  <c r="F4174" i="1"/>
  <c r="G4174" i="1" s="1"/>
  <c r="H4174" i="1" s="1"/>
  <c r="H4196" i="1"/>
  <c r="H4197" i="1" s="1"/>
  <c r="F4176" i="1"/>
  <c r="G4176" i="1" s="1"/>
  <c r="H4176" i="1" s="1"/>
  <c r="F4175" i="1"/>
  <c r="G4175" i="1" s="1"/>
  <c r="H4175" i="1" s="1"/>
  <c r="H4139" i="1"/>
  <c r="B4145" i="1" s="1"/>
  <c r="F4125" i="1"/>
  <c r="G4125" i="1" s="1"/>
  <c r="H4125" i="1" s="1"/>
  <c r="F4124" i="1"/>
  <c r="G4124" i="1" s="1"/>
  <c r="H4124" i="1" s="1"/>
  <c r="F4123" i="1"/>
  <c r="G4123" i="1" s="1"/>
  <c r="H4123" i="1" s="1"/>
  <c r="F4122" i="1"/>
  <c r="G4122" i="1" s="1"/>
  <c r="H4122" i="1" s="1"/>
  <c r="F4121" i="1"/>
  <c r="G4121" i="1" s="1"/>
  <c r="H4121" i="1" s="1"/>
  <c r="F4120" i="1"/>
  <c r="G4120" i="1" s="1"/>
  <c r="H4120" i="1" s="1"/>
  <c r="F4119" i="1"/>
  <c r="G4119" i="1" s="1"/>
  <c r="H4119" i="1" s="1"/>
  <c r="F4118" i="1"/>
  <c r="G4118" i="1" s="1"/>
  <c r="H4118" i="1" s="1"/>
  <c r="H4093" i="1"/>
  <c r="H4096" i="1" s="1"/>
  <c r="I4085" i="1"/>
  <c r="I4082" i="1"/>
  <c r="I4083" i="1"/>
  <c r="I4084" i="1"/>
  <c r="G4085" i="1"/>
  <c r="H4085" i="1" s="1"/>
  <c r="I4077" i="1"/>
  <c r="I4078" i="1"/>
  <c r="I4079" i="1"/>
  <c r="I4080" i="1"/>
  <c r="I4081" i="1"/>
  <c r="I4076" i="1"/>
  <c r="F4081" i="1"/>
  <c r="G4081" i="1" s="1"/>
  <c r="H4081" i="1" s="1"/>
  <c r="F4080" i="1"/>
  <c r="G4080" i="1" s="1"/>
  <c r="H4080" i="1" s="1"/>
  <c r="F4079" i="1"/>
  <c r="G4079" i="1" s="1"/>
  <c r="H4079" i="1" s="1"/>
  <c r="F4078" i="1"/>
  <c r="G4078" i="1" s="1"/>
  <c r="H4078" i="1" s="1"/>
  <c r="F4077" i="1"/>
  <c r="G4077" i="1" s="1"/>
  <c r="H4077" i="1" s="1"/>
  <c r="F4076" i="1"/>
  <c r="G4076" i="1" s="1"/>
  <c r="H4076" i="1" s="1"/>
  <c r="H4384" i="1" l="1"/>
  <c r="C4338" i="1"/>
  <c r="E4338" i="1" s="1"/>
  <c r="H4335" i="1"/>
  <c r="B4247" i="1"/>
  <c r="H4244" i="1"/>
  <c r="D4247" i="1" s="1"/>
  <c r="E4247" i="1" s="1"/>
  <c r="H4289" i="1"/>
  <c r="C4292" i="1"/>
  <c r="E4292" i="1" s="1"/>
  <c r="B4292" i="1"/>
  <c r="H4218" i="1"/>
  <c r="E4199" i="1"/>
  <c r="H4140" i="1"/>
  <c r="C4098" i="1"/>
  <c r="D4098" i="1"/>
  <c r="D4388" i="1" l="1"/>
  <c r="E4388" i="1" s="1"/>
  <c r="H4385" i="1"/>
  <c r="C4145" i="1"/>
  <c r="H4141" i="1"/>
  <c r="D4145" i="1" s="1"/>
  <c r="H4051" i="1"/>
  <c r="B4057" i="1" s="1"/>
  <c r="F4033" i="1"/>
  <c r="G4033" i="1" s="1"/>
  <c r="H4033" i="1" s="1"/>
  <c r="F4032" i="1"/>
  <c r="G4032" i="1" s="1"/>
  <c r="H4032" i="1" s="1"/>
  <c r="F4031" i="1"/>
  <c r="G4031" i="1" s="1"/>
  <c r="H4031" i="1" s="1"/>
  <c r="F4030" i="1"/>
  <c r="G4030" i="1" s="1"/>
  <c r="H4030" i="1" s="1"/>
  <c r="F4029" i="1"/>
  <c r="G4029" i="1" s="1"/>
  <c r="H4029" i="1" s="1"/>
  <c r="H4005" i="1"/>
  <c r="B4011" i="1" s="1"/>
  <c r="F3987" i="1"/>
  <c r="G3987" i="1" s="1"/>
  <c r="H3987" i="1" s="1"/>
  <c r="F3986" i="1"/>
  <c r="G3986" i="1" s="1"/>
  <c r="H3986" i="1" s="1"/>
  <c r="F3985" i="1"/>
  <c r="G3985" i="1" s="1"/>
  <c r="H3985" i="1" s="1"/>
  <c r="F3984" i="1"/>
  <c r="G3984" i="1" s="1"/>
  <c r="H3984" i="1" s="1"/>
  <c r="F3983" i="1"/>
  <c r="G3983" i="1" s="1"/>
  <c r="H3983" i="1" s="1"/>
  <c r="H3957" i="1"/>
  <c r="B3963" i="1" s="1"/>
  <c r="I3936" i="1"/>
  <c r="I3937" i="1"/>
  <c r="I3938" i="1"/>
  <c r="I3939" i="1"/>
  <c r="I3935" i="1"/>
  <c r="F3938" i="1"/>
  <c r="G3938" i="1" s="1"/>
  <c r="H3938" i="1" s="1"/>
  <c r="F3939" i="1"/>
  <c r="G3939" i="1" s="1"/>
  <c r="H3939" i="1" s="1"/>
  <c r="F3937" i="1"/>
  <c r="G3937" i="1" s="1"/>
  <c r="H3937" i="1" s="1"/>
  <c r="F3936" i="1"/>
  <c r="G3936" i="1" s="1"/>
  <c r="H3936" i="1" s="1"/>
  <c r="F3935" i="1"/>
  <c r="G3935" i="1" s="1"/>
  <c r="H3935" i="1" s="1"/>
  <c r="I3888" i="1"/>
  <c r="I3889" i="1"/>
  <c r="I3890" i="1"/>
  <c r="I3887" i="1"/>
  <c r="B3914" i="1"/>
  <c r="H3909" i="1"/>
  <c r="H3910" i="1" s="1"/>
  <c r="D3914" i="1" s="1"/>
  <c r="F3890" i="1"/>
  <c r="G3890" i="1" s="1"/>
  <c r="H3890" i="1" s="1"/>
  <c r="F3889" i="1"/>
  <c r="G3889" i="1" s="1"/>
  <c r="H3889" i="1" s="1"/>
  <c r="F3888" i="1"/>
  <c r="G3888" i="1" s="1"/>
  <c r="H3888" i="1" s="1"/>
  <c r="F3887" i="1"/>
  <c r="G3887" i="1" s="1"/>
  <c r="H3887" i="1" s="1"/>
  <c r="I3836" i="1"/>
  <c r="I3837" i="1"/>
  <c r="I3838" i="1"/>
  <c r="I3835" i="1"/>
  <c r="F3837" i="1"/>
  <c r="G3837" i="1" s="1"/>
  <c r="H3837" i="1" s="1"/>
  <c r="F3838" i="1"/>
  <c r="G3838" i="1" s="1"/>
  <c r="H3838" i="1" s="1"/>
  <c r="B3862" i="1"/>
  <c r="F3836" i="1"/>
  <c r="G3836" i="1" s="1"/>
  <c r="F3835" i="1"/>
  <c r="G3835" i="1" s="1"/>
  <c r="H3835" i="1" s="1"/>
  <c r="D3816" i="1"/>
  <c r="C3816" i="1"/>
  <c r="B3816" i="1"/>
  <c r="F3795" i="1"/>
  <c r="G3795" i="1" s="1"/>
  <c r="H3795" i="1" s="1"/>
  <c r="B3776" i="1"/>
  <c r="H3773" i="1"/>
  <c r="H3772" i="1" s="1"/>
  <c r="F3748" i="1"/>
  <c r="G3748" i="1" s="1"/>
  <c r="H3748" i="1" s="1"/>
  <c r="B3728" i="1"/>
  <c r="H3725" i="1"/>
  <c r="H3724" i="1" s="1"/>
  <c r="F3701" i="1"/>
  <c r="G3701" i="1" s="1"/>
  <c r="H3701" i="1" s="1"/>
  <c r="F3700" i="1"/>
  <c r="G3700" i="1" s="1"/>
  <c r="H3700" i="1" s="1"/>
  <c r="B3680" i="1"/>
  <c r="H3676" i="1"/>
  <c r="D3680" i="1" s="1"/>
  <c r="F3654" i="1"/>
  <c r="G3654" i="1" s="1"/>
  <c r="H3654" i="1" s="1"/>
  <c r="I3400" i="1"/>
  <c r="I3333" i="1"/>
  <c r="I3609" i="1"/>
  <c r="I3610" i="1"/>
  <c r="I3608" i="1"/>
  <c r="F3610" i="1"/>
  <c r="G3610" i="1" s="1"/>
  <c r="H3610" i="1" s="1"/>
  <c r="B3630" i="1"/>
  <c r="H3626" i="1"/>
  <c r="C3630" i="1" s="1"/>
  <c r="F3609" i="1"/>
  <c r="G3609" i="1" s="1"/>
  <c r="H3609" i="1" s="1"/>
  <c r="F3608" i="1"/>
  <c r="G3608" i="1" s="1"/>
  <c r="H3608" i="1" s="1"/>
  <c r="E4145" i="1" l="1"/>
  <c r="H4142" i="1"/>
  <c r="E3816" i="1"/>
  <c r="H4052" i="1"/>
  <c r="H4006" i="1"/>
  <c r="H3958" i="1"/>
  <c r="C3963" i="1" s="1"/>
  <c r="C3914" i="1"/>
  <c r="E3914" i="1" s="1"/>
  <c r="H3911" i="1"/>
  <c r="H3836" i="1"/>
  <c r="H3857" i="1"/>
  <c r="C3862" i="1" s="1"/>
  <c r="C3776" i="1"/>
  <c r="H3774" i="1"/>
  <c r="D3776" i="1"/>
  <c r="H3726" i="1"/>
  <c r="C3728" i="1"/>
  <c r="D3728" i="1"/>
  <c r="C3680" i="1"/>
  <c r="E3680" i="1" s="1"/>
  <c r="H3677" i="1"/>
  <c r="H3627" i="1"/>
  <c r="D3630" i="1"/>
  <c r="E3630" i="1" s="1"/>
  <c r="E3728" i="1" l="1"/>
  <c r="C4057" i="1"/>
  <c r="H4053" i="1"/>
  <c r="D4057" i="1" s="1"/>
  <c r="C4011" i="1"/>
  <c r="H4007" i="1"/>
  <c r="D4011" i="1" s="1"/>
  <c r="H3959" i="1"/>
  <c r="D3963" i="1" s="1"/>
  <c r="E3963" i="1" s="1"/>
  <c r="H3858" i="1"/>
  <c r="D3862" i="1" s="1"/>
  <c r="E3862" i="1" s="1"/>
  <c r="E3776" i="1"/>
  <c r="I3564" i="1"/>
  <c r="I3563" i="1"/>
  <c r="B3589" i="1"/>
  <c r="H3585" i="1"/>
  <c r="C3589" i="1" s="1"/>
  <c r="F3564" i="1"/>
  <c r="G3564" i="1" s="1"/>
  <c r="H3564" i="1" s="1"/>
  <c r="F3563" i="1"/>
  <c r="G3563" i="1" s="1"/>
  <c r="H3563" i="1" s="1"/>
  <c r="I3518" i="1"/>
  <c r="I3519" i="1"/>
  <c r="I3520" i="1"/>
  <c r="I3521" i="1"/>
  <c r="I3522" i="1"/>
  <c r="I3517" i="1"/>
  <c r="F3519" i="1"/>
  <c r="G3519" i="1" s="1"/>
  <c r="H3519" i="1" s="1"/>
  <c r="F3520" i="1"/>
  <c r="G3520" i="1" s="1"/>
  <c r="H3520" i="1" s="1"/>
  <c r="F3521" i="1"/>
  <c r="G3521" i="1" s="1"/>
  <c r="H3521" i="1" s="1"/>
  <c r="F3522" i="1"/>
  <c r="G3522" i="1" s="1"/>
  <c r="H3522" i="1" s="1"/>
  <c r="B3543" i="1"/>
  <c r="H3539" i="1"/>
  <c r="H3540" i="1" s="1"/>
  <c r="F3518" i="1"/>
  <c r="G3518" i="1" s="1"/>
  <c r="H3518" i="1" s="1"/>
  <c r="F3517" i="1"/>
  <c r="G3517" i="1" s="1"/>
  <c r="H3517" i="1" s="1"/>
  <c r="I3472" i="1"/>
  <c r="I3471" i="1"/>
  <c r="F3472" i="1"/>
  <c r="G3472" i="1" s="1"/>
  <c r="H3472" i="1" s="1"/>
  <c r="B3497" i="1"/>
  <c r="H3493" i="1"/>
  <c r="C3497" i="1" s="1"/>
  <c r="F3471" i="1"/>
  <c r="G3471" i="1" s="1"/>
  <c r="H3471" i="1" s="1"/>
  <c r="B3452" i="1"/>
  <c r="H3448" i="1"/>
  <c r="C3452" i="1" s="1"/>
  <c r="F3426" i="1"/>
  <c r="G3426" i="1" s="1"/>
  <c r="H3426" i="1" s="1"/>
  <c r="E3406" i="1"/>
  <c r="I3380" i="1"/>
  <c r="I3381" i="1"/>
  <c r="I3382" i="1"/>
  <c r="I3383" i="1"/>
  <c r="I3384" i="1"/>
  <c r="I3385" i="1"/>
  <c r="I3379" i="1"/>
  <c r="F3383" i="1"/>
  <c r="G3383" i="1" s="1"/>
  <c r="H3383" i="1" s="1"/>
  <c r="B3406" i="1"/>
  <c r="H3401" i="1"/>
  <c r="G3385" i="1"/>
  <c r="H3385" i="1" s="1"/>
  <c r="F3382" i="1"/>
  <c r="G3382" i="1" s="1"/>
  <c r="H3382" i="1" s="1"/>
  <c r="F3381" i="1"/>
  <c r="G3381" i="1" s="1"/>
  <c r="H3381" i="1" s="1"/>
  <c r="F3380" i="1"/>
  <c r="G3380" i="1" s="1"/>
  <c r="H3380" i="1" s="1"/>
  <c r="F3379" i="1"/>
  <c r="G3379" i="1" s="1"/>
  <c r="H3379" i="1" s="1"/>
  <c r="I3334" i="1"/>
  <c r="I3335" i="1"/>
  <c r="I3336" i="1"/>
  <c r="I3337" i="1"/>
  <c r="I3338" i="1"/>
  <c r="F3336" i="1"/>
  <c r="G3336" i="1" s="1"/>
  <c r="H3336" i="1" s="1"/>
  <c r="F3337" i="1"/>
  <c r="G3337" i="1" s="1"/>
  <c r="H3337" i="1" s="1"/>
  <c r="F3338" i="1"/>
  <c r="G3338" i="1" s="1"/>
  <c r="H3338" i="1" s="1"/>
  <c r="B3359" i="1"/>
  <c r="H3355" i="1"/>
  <c r="C3359" i="1" s="1"/>
  <c r="F3335" i="1"/>
  <c r="G3335" i="1" s="1"/>
  <c r="H3335" i="1" s="1"/>
  <c r="F3334" i="1"/>
  <c r="G3334" i="1" s="1"/>
  <c r="H3334" i="1" s="1"/>
  <c r="F3333" i="1"/>
  <c r="G3333" i="1" s="1"/>
  <c r="H3333" i="1" s="1"/>
  <c r="I3288" i="1"/>
  <c r="I3289" i="1"/>
  <c r="I3287" i="1"/>
  <c r="F3288" i="1"/>
  <c r="G3288" i="1" s="1"/>
  <c r="H3288" i="1" s="1"/>
  <c r="F3289" i="1"/>
  <c r="G3289" i="1" s="1"/>
  <c r="H3289" i="1" s="1"/>
  <c r="B3313" i="1"/>
  <c r="H3309" i="1"/>
  <c r="C3313" i="1" s="1"/>
  <c r="F3287" i="1"/>
  <c r="G3287" i="1" s="1"/>
  <c r="H3287" i="1" s="1"/>
  <c r="B3269" i="1"/>
  <c r="H3266" i="1"/>
  <c r="D3269" i="1" s="1"/>
  <c r="H3265" i="1"/>
  <c r="C3269" i="1" s="1"/>
  <c r="F3240" i="1"/>
  <c r="G3240" i="1" s="1"/>
  <c r="H3240" i="1" s="1"/>
  <c r="I3192" i="1"/>
  <c r="B3221" i="1"/>
  <c r="H3218" i="1"/>
  <c r="D3221" i="1" s="1"/>
  <c r="H3217" i="1"/>
  <c r="C3221" i="1" s="1"/>
  <c r="F3192" i="1"/>
  <c r="G3192" i="1" s="1"/>
  <c r="H3192" i="1" s="1"/>
  <c r="H3960" i="1" l="1"/>
  <c r="E4057" i="1"/>
  <c r="E4011" i="1"/>
  <c r="H4008" i="1"/>
  <c r="H3859" i="1"/>
  <c r="H3494" i="1"/>
  <c r="H3495" i="1" s="1"/>
  <c r="H3586" i="1"/>
  <c r="H3587" i="1" s="1"/>
  <c r="D3589" i="1"/>
  <c r="E3589" i="1" s="1"/>
  <c r="H3541" i="1"/>
  <c r="D3543" i="1"/>
  <c r="C3543" i="1"/>
  <c r="D3497" i="1"/>
  <c r="E3497" i="1" s="1"/>
  <c r="D3452" i="1"/>
  <c r="E3452" i="1" s="1"/>
  <c r="H3449" i="1"/>
  <c r="H3450" i="1" s="1"/>
  <c r="H3356" i="1"/>
  <c r="H3357" i="1" s="1"/>
  <c r="D3359" i="1"/>
  <c r="E3359" i="1" s="1"/>
  <c r="H3310" i="1"/>
  <c r="H3311" i="1" s="1"/>
  <c r="D3313" i="1"/>
  <c r="E3313" i="1" s="1"/>
  <c r="E3269" i="1"/>
  <c r="E3221" i="1"/>
  <c r="E3543" i="1" l="1"/>
  <c r="B3173" i="1"/>
  <c r="H3170" i="1"/>
  <c r="H3169" i="1"/>
  <c r="C3173" i="1" s="1"/>
  <c r="F3148" i="1"/>
  <c r="G3148" i="1" s="1"/>
  <c r="H3148" i="1" s="1"/>
  <c r="F3103" i="1"/>
  <c r="G3103" i="1" s="1"/>
  <c r="H3103" i="1" s="1"/>
  <c r="B3128" i="1"/>
  <c r="H3125" i="1"/>
  <c r="H3124" i="1"/>
  <c r="C3128" i="1" s="1"/>
  <c r="B3083" i="1"/>
  <c r="H3080" i="1"/>
  <c r="D3083" i="1" s="1"/>
  <c r="H3079" i="1"/>
  <c r="C3083" i="1" s="1"/>
  <c r="F3054" i="1"/>
  <c r="G3054" i="1" s="1"/>
  <c r="H3054" i="1" s="1"/>
  <c r="D3173" i="1" l="1"/>
  <c r="E3173" i="1" s="1"/>
  <c r="H3171" i="1"/>
  <c r="D3128" i="1"/>
  <c r="E3128" i="1" s="1"/>
  <c r="H3126" i="1"/>
  <c r="E3083" i="1"/>
  <c r="I3009" i="1" l="1"/>
  <c r="I3010" i="1"/>
  <c r="I3008" i="1"/>
  <c r="B3035" i="1"/>
  <c r="H3031" i="1"/>
  <c r="D3035" i="1" s="1"/>
  <c r="F3010" i="1"/>
  <c r="G3010" i="1" s="1"/>
  <c r="H3010" i="1" s="1"/>
  <c r="F3009" i="1"/>
  <c r="G3009" i="1" s="1"/>
  <c r="H3009" i="1" s="1"/>
  <c r="F3008" i="1"/>
  <c r="G3008" i="1" s="1"/>
  <c r="H3008" i="1" s="1"/>
  <c r="B2988" i="1"/>
  <c r="H2984" i="1"/>
  <c r="C2988" i="1" s="1"/>
  <c r="F2961" i="1"/>
  <c r="G2961" i="1" s="1"/>
  <c r="H2961" i="1" s="1"/>
  <c r="I2914" i="1"/>
  <c r="I2915" i="1"/>
  <c r="I2913" i="1"/>
  <c r="B2940" i="1"/>
  <c r="H2936" i="1"/>
  <c r="D2940" i="1" s="1"/>
  <c r="F2915" i="1"/>
  <c r="G2915" i="1" s="1"/>
  <c r="H2915" i="1" s="1"/>
  <c r="F2914" i="1"/>
  <c r="G2914" i="1" s="1"/>
  <c r="H2914" i="1" s="1"/>
  <c r="F2913" i="1"/>
  <c r="G2913" i="1" s="1"/>
  <c r="H2913" i="1" s="1"/>
  <c r="B2895" i="1"/>
  <c r="H2891" i="1"/>
  <c r="C2895" i="1" s="1"/>
  <c r="F2870" i="1"/>
  <c r="G2870" i="1" s="1"/>
  <c r="H2870" i="1" s="1"/>
  <c r="F2869" i="1"/>
  <c r="G2869" i="1" s="1"/>
  <c r="H2869" i="1" s="1"/>
  <c r="F2868" i="1"/>
  <c r="G2868" i="1" s="1"/>
  <c r="H2868" i="1" s="1"/>
  <c r="G2824" i="1"/>
  <c r="G2825" i="1"/>
  <c r="F2824" i="1"/>
  <c r="F2825" i="1"/>
  <c r="G2823" i="1"/>
  <c r="F2823" i="1"/>
  <c r="B2850" i="1"/>
  <c r="H2847" i="1"/>
  <c r="D2850" i="1" s="1"/>
  <c r="H2846" i="1"/>
  <c r="C2850" i="1" s="1"/>
  <c r="H2799" i="1"/>
  <c r="B2804" i="1" s="1"/>
  <c r="G2775" i="1"/>
  <c r="F2775" i="1"/>
  <c r="H2752" i="1"/>
  <c r="B2757" i="1" s="1"/>
  <c r="G2727" i="1"/>
  <c r="F2727" i="1"/>
  <c r="H2823" i="1" l="1"/>
  <c r="H3032" i="1"/>
  <c r="C3035" i="1"/>
  <c r="E3035" i="1" s="1"/>
  <c r="H2848" i="1"/>
  <c r="H2985" i="1"/>
  <c r="D2988" i="1"/>
  <c r="E2988" i="1" s="1"/>
  <c r="C2940" i="1"/>
  <c r="E2940" i="1" s="1"/>
  <c r="H2937" i="1"/>
  <c r="H2892" i="1"/>
  <c r="D2895" i="1"/>
  <c r="E2895" i="1" s="1"/>
  <c r="E2850" i="1"/>
  <c r="H2824" i="1"/>
  <c r="H2825" i="1"/>
  <c r="H2801" i="1"/>
  <c r="D2804" i="1" s="1"/>
  <c r="H2727" i="1"/>
  <c r="H2775" i="1"/>
  <c r="H2800" i="1"/>
  <c r="H2754" i="1"/>
  <c r="D2757" i="1" s="1"/>
  <c r="H2753" i="1"/>
  <c r="C2757" i="1" s="1"/>
  <c r="C2804" i="1" l="1"/>
  <c r="E2804" i="1" s="1"/>
  <c r="H2802" i="1"/>
  <c r="E2757" i="1"/>
  <c r="H2755" i="1"/>
  <c r="B2708" i="1" l="1"/>
  <c r="H2703" i="1"/>
  <c r="C2708" i="1" s="1"/>
  <c r="F2681" i="1"/>
  <c r="G2681" i="1" s="1"/>
  <c r="H2681" i="1" s="1"/>
  <c r="B2662" i="1"/>
  <c r="H2657" i="1"/>
  <c r="H2658" i="1" s="1"/>
  <c r="D2662" i="1" s="1"/>
  <c r="F2636" i="1"/>
  <c r="G2636" i="1" s="1"/>
  <c r="H2636" i="1" s="1"/>
  <c r="F2635" i="1"/>
  <c r="G2635" i="1" s="1"/>
  <c r="H2635" i="1" s="1"/>
  <c r="I2590" i="1"/>
  <c r="I2591" i="1"/>
  <c r="I2592" i="1"/>
  <c r="I2589" i="1"/>
  <c r="B2616" i="1"/>
  <c r="H2611" i="1"/>
  <c r="H2612" i="1" s="1"/>
  <c r="D2616" i="1" s="1"/>
  <c r="F2592" i="1"/>
  <c r="G2592" i="1" s="1"/>
  <c r="H2592" i="1" s="1"/>
  <c r="F2591" i="1"/>
  <c r="G2591" i="1" s="1"/>
  <c r="H2591" i="1" s="1"/>
  <c r="F2590" i="1"/>
  <c r="G2590" i="1" s="1"/>
  <c r="H2590" i="1" s="1"/>
  <c r="F2589" i="1"/>
  <c r="G2589" i="1" s="1"/>
  <c r="H2589" i="1" s="1"/>
  <c r="C2616" i="1" l="1"/>
  <c r="E2616" i="1" s="1"/>
  <c r="H2704" i="1"/>
  <c r="D2708" i="1" s="1"/>
  <c r="E2708" i="1" s="1"/>
  <c r="C2662" i="1"/>
  <c r="E2662" i="1" s="1"/>
  <c r="H2566" i="1" l="1"/>
  <c r="H2567" i="1" s="1"/>
  <c r="C2571" i="1" s="1"/>
  <c r="G2543" i="1"/>
  <c r="F2543" i="1"/>
  <c r="H2519" i="1"/>
  <c r="H2520" i="1" s="1"/>
  <c r="C2524" i="1" s="1"/>
  <c r="G2496" i="1"/>
  <c r="F2496" i="1"/>
  <c r="H2521" i="1" l="1"/>
  <c r="D2524" i="1" s="1"/>
  <c r="E2524" i="1" s="1"/>
  <c r="H2496" i="1"/>
  <c r="B2524" i="1"/>
  <c r="H2543" i="1"/>
  <c r="B2571" i="1"/>
  <c r="H2568" i="1"/>
  <c r="D2571" i="1" s="1"/>
  <c r="E2571" i="1" s="1"/>
  <c r="B2477" i="1" l="1"/>
  <c r="H2473" i="1"/>
  <c r="H2474" i="1" s="1"/>
  <c r="F2450" i="1"/>
  <c r="G2450" i="1" s="1"/>
  <c r="H2450" i="1" s="1"/>
  <c r="B2430" i="1"/>
  <c r="H2426" i="1"/>
  <c r="C2430" i="1" s="1"/>
  <c r="F2403" i="1"/>
  <c r="G2403" i="1" s="1"/>
  <c r="H2403" i="1" s="1"/>
  <c r="D2376" i="1"/>
  <c r="C2376" i="1"/>
  <c r="B2376" i="1"/>
  <c r="F2355" i="1"/>
  <c r="G2355" i="1" s="1"/>
  <c r="H2355" i="1" s="1"/>
  <c r="I2168" i="1"/>
  <c r="F2077" i="1"/>
  <c r="G2077" i="1" s="1"/>
  <c r="H2077" i="1" s="1"/>
  <c r="F2078" i="1"/>
  <c r="G2078" i="1" s="1"/>
  <c r="H2078" i="1" s="1"/>
  <c r="F2079" i="1"/>
  <c r="G2079" i="1" s="1"/>
  <c r="H2079" i="1" s="1"/>
  <c r="F2080" i="1"/>
  <c r="G2080" i="1" s="1"/>
  <c r="H2080" i="1" s="1"/>
  <c r="F2081" i="1"/>
  <c r="G2081" i="1" s="1"/>
  <c r="H2081" i="1" s="1"/>
  <c r="F2082" i="1"/>
  <c r="G2082" i="1" s="1"/>
  <c r="H2082" i="1" s="1"/>
  <c r="F2083" i="1"/>
  <c r="G2083" i="1" s="1"/>
  <c r="H2083" i="1" s="1"/>
  <c r="F2084" i="1"/>
  <c r="G2084" i="1" s="1"/>
  <c r="H2084" i="1" s="1"/>
  <c r="F2085" i="1"/>
  <c r="G2085" i="1" s="1"/>
  <c r="H2085" i="1" s="1"/>
  <c r="F2086" i="1"/>
  <c r="G2086" i="1" s="1"/>
  <c r="H2086" i="1" s="1"/>
  <c r="F2087" i="1"/>
  <c r="G2087" i="1" s="1"/>
  <c r="H2087" i="1" s="1"/>
  <c r="H2475" i="1" l="1"/>
  <c r="D2477" i="1"/>
  <c r="E2376" i="1"/>
  <c r="C2477" i="1"/>
  <c r="H2427" i="1"/>
  <c r="H2428" i="1" s="1"/>
  <c r="D2430" i="1"/>
  <c r="E2430" i="1" s="1"/>
  <c r="I2077" i="1"/>
  <c r="I2078" i="1"/>
  <c r="I2079" i="1"/>
  <c r="I2080" i="1"/>
  <c r="I2081" i="1"/>
  <c r="I2082" i="1"/>
  <c r="I2083" i="1"/>
  <c r="I2084" i="1"/>
  <c r="I2085" i="1"/>
  <c r="I2086" i="1"/>
  <c r="I2087" i="1"/>
  <c r="I2076" i="1"/>
  <c r="I2031" i="1"/>
  <c r="I2030" i="1"/>
  <c r="F2031" i="1"/>
  <c r="G2031" i="1" s="1"/>
  <c r="H2031" i="1" s="1"/>
  <c r="I1986" i="1"/>
  <c r="I1985" i="1"/>
  <c r="F1986" i="1"/>
  <c r="G1986" i="1" s="1"/>
  <c r="H1986" i="1" s="1"/>
  <c r="H2332" i="1"/>
  <c r="H2333" i="1" s="1"/>
  <c r="I2310" i="1"/>
  <c r="I2309" i="1"/>
  <c r="F2309" i="1"/>
  <c r="G2309" i="1" s="1"/>
  <c r="H2309" i="1" s="1"/>
  <c r="F2310" i="1"/>
  <c r="G2310" i="1" s="1"/>
  <c r="H2310" i="1" s="1"/>
  <c r="B2336" i="1"/>
  <c r="B2289" i="1"/>
  <c r="H2285" i="1"/>
  <c r="D2289" i="1" s="1"/>
  <c r="F2262" i="1"/>
  <c r="G2262" i="1" s="1"/>
  <c r="H2262" i="1" s="1"/>
  <c r="B2242" i="1"/>
  <c r="H2238" i="1"/>
  <c r="C2242" i="1" s="1"/>
  <c r="F2215" i="1"/>
  <c r="G2215" i="1" s="1"/>
  <c r="H2215" i="1" s="1"/>
  <c r="B2195" i="1"/>
  <c r="H2191" i="1"/>
  <c r="C2195" i="1" s="1"/>
  <c r="F2168" i="1"/>
  <c r="G2168" i="1" s="1"/>
  <c r="H2168" i="1" s="1"/>
  <c r="B2149" i="1"/>
  <c r="H2145" i="1"/>
  <c r="C2149" i="1" s="1"/>
  <c r="F2122" i="1"/>
  <c r="G2122" i="1" s="1"/>
  <c r="H2122" i="1" s="1"/>
  <c r="B2103" i="1"/>
  <c r="H2099" i="1"/>
  <c r="C2103" i="1" s="1"/>
  <c r="F2076" i="1"/>
  <c r="G2076" i="1" s="1"/>
  <c r="H2076" i="1" s="1"/>
  <c r="B2057" i="1"/>
  <c r="H2053" i="1"/>
  <c r="C2057" i="1" s="1"/>
  <c r="F2030" i="1"/>
  <c r="G2030" i="1" s="1"/>
  <c r="H2030" i="1" s="1"/>
  <c r="B2006" i="1"/>
  <c r="H2002" i="1"/>
  <c r="C2006" i="1" s="1"/>
  <c r="F1985" i="1"/>
  <c r="G1985" i="1" s="1"/>
  <c r="H1985" i="1" s="1"/>
  <c r="I1943" i="1"/>
  <c r="I1944" i="1"/>
  <c r="I1945" i="1"/>
  <c r="I1942" i="1"/>
  <c r="H1959" i="1"/>
  <c r="B1965" i="1" s="1"/>
  <c r="F1945" i="1"/>
  <c r="G1945" i="1" s="1"/>
  <c r="H1945" i="1" s="1"/>
  <c r="F1944" i="1"/>
  <c r="G1944" i="1" s="1"/>
  <c r="H1944" i="1" s="1"/>
  <c r="F1943" i="1"/>
  <c r="G1943" i="1" s="1"/>
  <c r="H1943" i="1" s="1"/>
  <c r="F1942" i="1"/>
  <c r="G1942" i="1" s="1"/>
  <c r="H1942" i="1" s="1"/>
  <c r="E2477" i="1" l="1"/>
  <c r="D2242" i="1"/>
  <c r="E2242" i="1" s="1"/>
  <c r="H2286" i="1"/>
  <c r="H2287" i="1" s="1"/>
  <c r="H2239" i="1"/>
  <c r="H2240" i="1" s="1"/>
  <c r="H2192" i="1"/>
  <c r="H2193" i="1" s="1"/>
  <c r="H2100" i="1"/>
  <c r="H2101" i="1" s="1"/>
  <c r="D2103" i="1"/>
  <c r="E2103" i="1" s="1"/>
  <c r="H2334" i="1"/>
  <c r="D2336" i="1"/>
  <c r="C2336" i="1"/>
  <c r="C2289" i="1"/>
  <c r="E2289" i="1" s="1"/>
  <c r="D2195" i="1"/>
  <c r="E2195" i="1" s="1"/>
  <c r="H2146" i="1"/>
  <c r="H2147" i="1" s="1"/>
  <c r="D2149" i="1"/>
  <c r="E2149" i="1" s="1"/>
  <c r="H2054" i="1"/>
  <c r="H2055" i="1" s="1"/>
  <c r="D2057" i="1"/>
  <c r="E2057" i="1" s="1"/>
  <c r="H2003" i="1"/>
  <c r="H2004" i="1" s="1"/>
  <c r="D2006" i="1"/>
  <c r="E2006" i="1" s="1"/>
  <c r="H1960" i="1"/>
  <c r="E2336" i="1" l="1"/>
  <c r="H1961" i="1"/>
  <c r="D1965" i="1" s="1"/>
  <c r="C1965" i="1"/>
  <c r="E1965" i="1" l="1"/>
  <c r="H1962" i="1"/>
  <c r="B1922" i="1" l="1"/>
  <c r="H1918" i="1"/>
  <c r="C1922" i="1" s="1"/>
  <c r="F1899" i="1"/>
  <c r="G1899" i="1" s="1"/>
  <c r="H1899" i="1" s="1"/>
  <c r="F1898" i="1"/>
  <c r="G1898" i="1" s="1"/>
  <c r="H1898" i="1" s="1"/>
  <c r="D1922" i="1" l="1"/>
  <c r="E1922" i="1" s="1"/>
  <c r="H1919" i="1"/>
  <c r="H1920" i="1" s="1"/>
  <c r="F1809" i="1"/>
  <c r="G1809" i="1" s="1"/>
  <c r="H1809" i="1" s="1"/>
  <c r="I1809" i="1"/>
  <c r="I1806" i="1" l="1"/>
  <c r="I1807" i="1"/>
  <c r="I1808" i="1"/>
  <c r="I1805" i="1"/>
  <c r="F1807" i="1"/>
  <c r="G1807" i="1" s="1"/>
  <c r="H1807" i="1" s="1"/>
  <c r="F1808" i="1"/>
  <c r="G1808" i="1" s="1"/>
  <c r="H1808" i="1" s="1"/>
  <c r="G1851" i="1"/>
  <c r="G1852" i="1"/>
  <c r="G1853" i="1"/>
  <c r="F1851" i="1"/>
  <c r="F1852" i="1"/>
  <c r="F1853" i="1"/>
  <c r="H1873" i="1"/>
  <c r="B1878" i="1" s="1"/>
  <c r="G1850" i="1"/>
  <c r="F1850" i="1"/>
  <c r="H1851" i="1" l="1"/>
  <c r="H1850" i="1"/>
  <c r="H1853" i="1"/>
  <c r="H1852" i="1"/>
  <c r="H1875" i="1"/>
  <c r="H1874" i="1"/>
  <c r="C1878" i="1" s="1"/>
  <c r="H1876" i="1" l="1"/>
  <c r="D1878" i="1"/>
  <c r="E1878" i="1" s="1"/>
  <c r="B1828" i="1"/>
  <c r="F1806" i="1"/>
  <c r="G1806" i="1" s="1"/>
  <c r="H1806" i="1" s="1"/>
  <c r="F1805" i="1"/>
  <c r="G1805" i="1" s="1"/>
  <c r="H1805" i="1" s="1"/>
  <c r="I1760" i="1"/>
  <c r="F1760" i="1"/>
  <c r="G1760" i="1" s="1"/>
  <c r="H1760" i="1" s="1"/>
  <c r="I1759" i="1"/>
  <c r="H1780" i="1"/>
  <c r="H1781" i="1" s="1"/>
  <c r="H1782" i="1" s="1"/>
  <c r="D1786" i="1" s="1"/>
  <c r="F1759" i="1"/>
  <c r="G1759" i="1" s="1"/>
  <c r="H1759" i="1" s="1"/>
  <c r="I1713" i="1"/>
  <c r="H1734" i="1"/>
  <c r="B1740" i="1" s="1"/>
  <c r="H1713" i="1"/>
  <c r="H1688" i="1"/>
  <c r="B1694" i="1" s="1"/>
  <c r="F1667" i="1"/>
  <c r="G1667" i="1" s="1"/>
  <c r="H1667" i="1" s="1"/>
  <c r="H1689" i="1" l="1"/>
  <c r="C1694" i="1" s="1"/>
  <c r="H1824" i="1"/>
  <c r="H1783" i="1"/>
  <c r="C1786" i="1"/>
  <c r="E1786" i="1" s="1"/>
  <c r="B1786" i="1"/>
  <c r="H1690" i="1" l="1"/>
  <c r="D1694" i="1" s="1"/>
  <c r="E1694" i="1" s="1"/>
  <c r="C1828" i="1"/>
  <c r="D1828" i="1"/>
  <c r="H1825" i="1"/>
  <c r="H1826" i="1" s="1"/>
  <c r="I1621" i="1"/>
  <c r="F1621" i="1"/>
  <c r="G1621" i="1" s="1"/>
  <c r="H1621" i="1" s="1"/>
  <c r="I1620" i="1"/>
  <c r="B1648" i="1"/>
  <c r="H1643" i="1"/>
  <c r="H1644" i="1" s="1"/>
  <c r="D1648" i="1" s="1"/>
  <c r="F1620" i="1"/>
  <c r="G1620" i="1" s="1"/>
  <c r="H1620" i="1" s="1"/>
  <c r="D1595" i="1"/>
  <c r="C1595" i="1"/>
  <c r="B1595" i="1"/>
  <c r="F1574" i="1"/>
  <c r="G1574" i="1" s="1"/>
  <c r="H1574" i="1" s="1"/>
  <c r="D1548" i="1"/>
  <c r="C1548" i="1"/>
  <c r="B1548" i="1"/>
  <c r="F1527" i="1"/>
  <c r="G1527" i="1" s="1"/>
  <c r="H1527" i="1" s="1"/>
  <c r="B1507" i="1"/>
  <c r="H1504" i="1"/>
  <c r="H1503" i="1"/>
  <c r="D1507" i="1" s="1"/>
  <c r="F1480" i="1"/>
  <c r="G1480" i="1" s="1"/>
  <c r="H1480" i="1" s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388" i="1"/>
  <c r="F1391" i="1"/>
  <c r="G1391" i="1" s="1"/>
  <c r="H1391" i="1" s="1"/>
  <c r="F1392" i="1"/>
  <c r="G1392" i="1" s="1"/>
  <c r="H1392" i="1" s="1"/>
  <c r="F1393" i="1"/>
  <c r="G1393" i="1" s="1"/>
  <c r="H1393" i="1" s="1"/>
  <c r="F1394" i="1"/>
  <c r="G1394" i="1" s="1"/>
  <c r="H1394" i="1" s="1"/>
  <c r="F1395" i="1"/>
  <c r="G1395" i="1" s="1"/>
  <c r="H1395" i="1" s="1"/>
  <c r="F1396" i="1"/>
  <c r="G1396" i="1" s="1"/>
  <c r="H1396" i="1" s="1"/>
  <c r="F1397" i="1"/>
  <c r="G1397" i="1" s="1"/>
  <c r="H1397" i="1" s="1"/>
  <c r="F1398" i="1"/>
  <c r="G1398" i="1" s="1"/>
  <c r="H1398" i="1" s="1"/>
  <c r="F1399" i="1"/>
  <c r="G1399" i="1" s="1"/>
  <c r="H1399" i="1" s="1"/>
  <c r="F1400" i="1"/>
  <c r="G1400" i="1" s="1"/>
  <c r="H1400" i="1" s="1"/>
  <c r="F1401" i="1"/>
  <c r="G1401" i="1" s="1"/>
  <c r="H1401" i="1" s="1"/>
  <c r="F1402" i="1"/>
  <c r="G1402" i="1" s="1"/>
  <c r="H1402" i="1" s="1"/>
  <c r="B1415" i="1"/>
  <c r="H1412" i="1"/>
  <c r="H1411" i="1"/>
  <c r="C1415" i="1" s="1"/>
  <c r="F1390" i="1"/>
  <c r="G1390" i="1" s="1"/>
  <c r="H1390" i="1" s="1"/>
  <c r="F1389" i="1"/>
  <c r="G1389" i="1" s="1"/>
  <c r="H1389" i="1" s="1"/>
  <c r="F1388" i="1"/>
  <c r="G1388" i="1" s="1"/>
  <c r="H1388" i="1" s="1"/>
  <c r="E1595" i="1" l="1"/>
  <c r="H1691" i="1"/>
  <c r="E1828" i="1"/>
  <c r="D1740" i="1"/>
  <c r="E1740" i="1" s="1"/>
  <c r="H1737" i="1"/>
  <c r="E1548" i="1"/>
  <c r="C1648" i="1"/>
  <c r="E1648" i="1" s="1"/>
  <c r="H1645" i="1"/>
  <c r="C1507" i="1"/>
  <c r="E1507" i="1" s="1"/>
  <c r="H1505" i="1"/>
  <c r="H1413" i="1"/>
  <c r="D1415" i="1"/>
  <c r="E1415" i="1" s="1"/>
  <c r="I1435" i="1"/>
  <c r="I1436" i="1"/>
  <c r="I1434" i="1"/>
  <c r="F1435" i="1"/>
  <c r="G1435" i="1" s="1"/>
  <c r="H1435" i="1" s="1"/>
  <c r="F1436" i="1"/>
  <c r="G1436" i="1" s="1"/>
  <c r="H1436" i="1" s="1"/>
  <c r="B1461" i="1"/>
  <c r="H1458" i="1"/>
  <c r="H1457" i="1"/>
  <c r="F1434" i="1"/>
  <c r="G1434" i="1" s="1"/>
  <c r="H1434" i="1" s="1"/>
  <c r="B1366" i="1"/>
  <c r="H1363" i="1"/>
  <c r="H1362" i="1"/>
  <c r="C1366" i="1" s="1"/>
  <c r="F1344" i="1"/>
  <c r="G1344" i="1" s="1"/>
  <c r="H1344" i="1" s="1"/>
  <c r="H1459" i="1" l="1"/>
  <c r="D1461" i="1"/>
  <c r="C1461" i="1"/>
  <c r="D1366" i="1"/>
  <c r="E1366" i="1" s="1"/>
  <c r="H1364" i="1"/>
  <c r="E1461" i="1" l="1"/>
  <c r="I279" i="1"/>
  <c r="I280" i="1"/>
  <c r="I278" i="1"/>
  <c r="F279" i="1"/>
  <c r="G279" i="1" s="1"/>
  <c r="F280" i="1"/>
  <c r="G280" i="1" s="1"/>
  <c r="B304" i="1"/>
  <c r="H299" i="1"/>
  <c r="C304" i="1" s="1"/>
  <c r="F278" i="1"/>
  <c r="I1299" i="1"/>
  <c r="I1300" i="1"/>
  <c r="I1301" i="1"/>
  <c r="I1298" i="1"/>
  <c r="B1325" i="1"/>
  <c r="H1321" i="1"/>
  <c r="C1325" i="1" s="1"/>
  <c r="F1301" i="1"/>
  <c r="G1301" i="1" s="1"/>
  <c r="H1301" i="1" s="1"/>
  <c r="F1300" i="1"/>
  <c r="G1300" i="1" s="1"/>
  <c r="H1300" i="1" s="1"/>
  <c r="F1299" i="1"/>
  <c r="G1299" i="1" s="1"/>
  <c r="H1299" i="1" s="1"/>
  <c r="F1298" i="1"/>
  <c r="G1298" i="1" s="1"/>
  <c r="H1298" i="1" s="1"/>
  <c r="I1252" i="1"/>
  <c r="I1253" i="1"/>
  <c r="I1254" i="1"/>
  <c r="I1251" i="1"/>
  <c r="F1254" i="1"/>
  <c r="G1254" i="1" s="1"/>
  <c r="H1254" i="1" s="1"/>
  <c r="B1278" i="1"/>
  <c r="H1274" i="1"/>
  <c r="D1278" i="1" s="1"/>
  <c r="F1253" i="1"/>
  <c r="G1253" i="1" s="1"/>
  <c r="H1253" i="1" s="1"/>
  <c r="F1252" i="1"/>
  <c r="G1252" i="1" s="1"/>
  <c r="H1252" i="1" s="1"/>
  <c r="F1251" i="1"/>
  <c r="G1251" i="1" s="1"/>
  <c r="H1251" i="1" s="1"/>
  <c r="I1205" i="1"/>
  <c r="I1206" i="1"/>
  <c r="I1204" i="1"/>
  <c r="H1227" i="1"/>
  <c r="C1231" i="1" s="1"/>
  <c r="F1206" i="1"/>
  <c r="G1206" i="1" s="1"/>
  <c r="H1206" i="1" s="1"/>
  <c r="F1205" i="1"/>
  <c r="G1205" i="1" s="1"/>
  <c r="H1205" i="1" s="1"/>
  <c r="F1204" i="1"/>
  <c r="G1204" i="1" s="1"/>
  <c r="H1204" i="1" s="1"/>
  <c r="H300" i="1" l="1"/>
  <c r="D304" i="1" s="1"/>
  <c r="E304" i="1" s="1"/>
  <c r="H279" i="1"/>
  <c r="H280" i="1"/>
  <c r="G278" i="1"/>
  <c r="H278" i="1" s="1"/>
  <c r="H1322" i="1"/>
  <c r="D1325" i="1"/>
  <c r="E1325" i="1" s="1"/>
  <c r="H1275" i="1"/>
  <c r="C1278" i="1"/>
  <c r="E1278" i="1" s="1"/>
  <c r="B1231" i="1"/>
  <c r="H1228" i="1"/>
  <c r="D1231" i="1"/>
  <c r="E1231" i="1" s="1"/>
  <c r="H301" i="1" l="1"/>
  <c r="D1183" i="1"/>
  <c r="C1183" i="1"/>
  <c r="B1183" i="1"/>
  <c r="F1162" i="1"/>
  <c r="G1162" i="1" s="1"/>
  <c r="H1162" i="1" s="1"/>
  <c r="E1183" i="1" l="1"/>
  <c r="F613" i="1" l="1"/>
  <c r="G613" i="1" s="1"/>
  <c r="H613" i="1" s="1"/>
  <c r="I613" i="1"/>
  <c r="I607" i="1"/>
  <c r="I608" i="1"/>
  <c r="I609" i="1"/>
  <c r="I610" i="1"/>
  <c r="I611" i="1"/>
  <c r="I612" i="1"/>
  <c r="I606" i="1"/>
  <c r="F609" i="1"/>
  <c r="G609" i="1" s="1"/>
  <c r="H609" i="1" s="1"/>
  <c r="F610" i="1"/>
  <c r="G610" i="1" s="1"/>
  <c r="H610" i="1" s="1"/>
  <c r="F611" i="1"/>
  <c r="G611" i="1" s="1"/>
  <c r="H611" i="1" s="1"/>
  <c r="F612" i="1"/>
  <c r="G612" i="1" s="1"/>
  <c r="H612" i="1" s="1"/>
  <c r="Q622" i="1" l="1"/>
  <c r="K627" i="1" s="1"/>
  <c r="O608" i="1"/>
  <c r="P608" i="1" s="1"/>
  <c r="Q608" i="1" s="1"/>
  <c r="O607" i="1"/>
  <c r="P607" i="1" s="1"/>
  <c r="Q607" i="1" s="1"/>
  <c r="O606" i="1"/>
  <c r="P606" i="1" s="1"/>
  <c r="Q606" i="1" s="1"/>
  <c r="F1116" i="1"/>
  <c r="B1142" i="1"/>
  <c r="H1137" i="1"/>
  <c r="C1142" i="1" s="1"/>
  <c r="F1115" i="1"/>
  <c r="G1115" i="1" s="1"/>
  <c r="B1093" i="1"/>
  <c r="H1088" i="1"/>
  <c r="H1089" i="1" s="1"/>
  <c r="D1093" i="1" s="1"/>
  <c r="F1070" i="1"/>
  <c r="G1070" i="1" s="1"/>
  <c r="H1138" i="1" l="1"/>
  <c r="D1142" i="1" s="1"/>
  <c r="E1142" i="1" s="1"/>
  <c r="G1116" i="1"/>
  <c r="H1116" i="1" s="1"/>
  <c r="Q624" i="1"/>
  <c r="Q623" i="1"/>
  <c r="H1115" i="1"/>
  <c r="H1090" i="1"/>
  <c r="C1093" i="1"/>
  <c r="E1093" i="1" s="1"/>
  <c r="H1070" i="1"/>
  <c r="H1139" i="1" l="1"/>
  <c r="Q625" i="1"/>
  <c r="L627" i="1"/>
  <c r="M627" i="1"/>
  <c r="I1022" i="1"/>
  <c r="H1045" i="1"/>
  <c r="B1050" i="1" s="1"/>
  <c r="G1022" i="1"/>
  <c r="F1022" i="1"/>
  <c r="N627" i="1" l="1"/>
  <c r="H1022" i="1"/>
  <c r="H1047" i="1"/>
  <c r="D1050" i="1" s="1"/>
  <c r="H1046" i="1"/>
  <c r="C1050" i="1" s="1"/>
  <c r="H998" i="1" l="1"/>
  <c r="B1003" i="1" s="1"/>
  <c r="G975" i="1"/>
  <c r="F975" i="1"/>
  <c r="I929" i="1"/>
  <c r="I930" i="1"/>
  <c r="I928" i="1"/>
  <c r="F930" i="1"/>
  <c r="G930" i="1" s="1"/>
  <c r="H930" i="1" s="1"/>
  <c r="B955" i="1"/>
  <c r="H952" i="1"/>
  <c r="H951" i="1"/>
  <c r="C955" i="1" s="1"/>
  <c r="F929" i="1"/>
  <c r="G929" i="1" s="1"/>
  <c r="H929" i="1" s="1"/>
  <c r="F928" i="1"/>
  <c r="G928" i="1" s="1"/>
  <c r="H928" i="1" s="1"/>
  <c r="H953" i="1" l="1"/>
  <c r="H975" i="1"/>
  <c r="H1000" i="1"/>
  <c r="D1003" i="1" s="1"/>
  <c r="H999" i="1"/>
  <c r="D955" i="1"/>
  <c r="E955" i="1" s="1"/>
  <c r="H764" i="1"/>
  <c r="I882" i="1"/>
  <c r="I883" i="1"/>
  <c r="I881" i="1"/>
  <c r="G882" i="1"/>
  <c r="G883" i="1"/>
  <c r="F882" i="1"/>
  <c r="F883" i="1"/>
  <c r="H903" i="1"/>
  <c r="H904" i="1" s="1"/>
  <c r="C908" i="1" s="1"/>
  <c r="G881" i="1"/>
  <c r="F881" i="1"/>
  <c r="H882" i="1" l="1"/>
  <c r="C1003" i="1"/>
  <c r="E1003" i="1" s="1"/>
  <c r="H1001" i="1"/>
  <c r="H881" i="1"/>
  <c r="H883" i="1"/>
  <c r="B908" i="1"/>
  <c r="H905" i="1"/>
  <c r="D908" i="1" s="1"/>
  <c r="E908" i="1" s="1"/>
  <c r="H858" i="1" l="1"/>
  <c r="B863" i="1" s="1"/>
  <c r="G836" i="1"/>
  <c r="F836" i="1"/>
  <c r="I789" i="1"/>
  <c r="I790" i="1"/>
  <c r="H812" i="1"/>
  <c r="B817" i="1" s="1"/>
  <c r="G790" i="1"/>
  <c r="F790" i="1"/>
  <c r="G789" i="1"/>
  <c r="F789" i="1"/>
  <c r="G742" i="1"/>
  <c r="I742" i="1"/>
  <c r="F742" i="1"/>
  <c r="I741" i="1"/>
  <c r="H765" i="1"/>
  <c r="C769" i="1" s="1"/>
  <c r="G741" i="1"/>
  <c r="F741" i="1"/>
  <c r="H718" i="1"/>
  <c r="H719" i="1" s="1"/>
  <c r="C723" i="1" s="1"/>
  <c r="G695" i="1"/>
  <c r="F695" i="1"/>
  <c r="I647" i="1"/>
  <c r="H670" i="1"/>
  <c r="B675" i="1" s="1"/>
  <c r="G647" i="1"/>
  <c r="F647" i="1"/>
  <c r="H695" i="1" l="1"/>
  <c r="H813" i="1"/>
  <c r="C817" i="1" s="1"/>
  <c r="H742" i="1"/>
  <c r="H860" i="1"/>
  <c r="D863" i="1" s="1"/>
  <c r="H836" i="1"/>
  <c r="H859" i="1"/>
  <c r="C863" i="1" s="1"/>
  <c r="H789" i="1"/>
  <c r="H790" i="1"/>
  <c r="H814" i="1"/>
  <c r="H741" i="1"/>
  <c r="B769" i="1"/>
  <c r="H766" i="1"/>
  <c r="B723" i="1"/>
  <c r="H720" i="1"/>
  <c r="D723" i="1" s="1"/>
  <c r="E723" i="1" s="1"/>
  <c r="H647" i="1"/>
  <c r="H671" i="1"/>
  <c r="C675" i="1" s="1"/>
  <c r="H672" i="1"/>
  <c r="E863" i="1" l="1"/>
  <c r="D817" i="1"/>
  <c r="E817" i="1" s="1"/>
  <c r="D769" i="1"/>
  <c r="E769" i="1" s="1"/>
  <c r="H767" i="1"/>
  <c r="D675" i="1"/>
  <c r="E675" i="1" s="1"/>
  <c r="B627" i="1" l="1"/>
  <c r="F608" i="1"/>
  <c r="G608" i="1" s="1"/>
  <c r="H608" i="1" s="1"/>
  <c r="F607" i="1"/>
  <c r="G607" i="1" s="1"/>
  <c r="H607" i="1" s="1"/>
  <c r="F606" i="1"/>
  <c r="G606" i="1" s="1"/>
  <c r="H606" i="1" s="1"/>
  <c r="H624" i="1" l="1"/>
  <c r="H623" i="1"/>
  <c r="H625" i="1" l="1"/>
  <c r="C627" i="1"/>
  <c r="D627" i="1"/>
  <c r="E627" i="1" l="1"/>
  <c r="I559" i="1"/>
  <c r="I560" i="1"/>
  <c r="I561" i="1"/>
  <c r="I558" i="1"/>
  <c r="F559" i="1"/>
  <c r="G559" i="1" s="1"/>
  <c r="H559" i="1" s="1"/>
  <c r="F560" i="1"/>
  <c r="G560" i="1" s="1"/>
  <c r="H560" i="1" s="1"/>
  <c r="F561" i="1"/>
  <c r="G561" i="1" s="1"/>
  <c r="H561" i="1" s="1"/>
  <c r="B587" i="1"/>
  <c r="H584" i="1"/>
  <c r="H583" i="1"/>
  <c r="C587" i="1" s="1"/>
  <c r="F558" i="1"/>
  <c r="G558" i="1" s="1"/>
  <c r="H558" i="1" s="1"/>
  <c r="B540" i="1"/>
  <c r="H537" i="1"/>
  <c r="D540" i="1" s="1"/>
  <c r="H536" i="1"/>
  <c r="C540" i="1" s="1"/>
  <c r="F513" i="1"/>
  <c r="G513" i="1" s="1"/>
  <c r="H513" i="1" s="1"/>
  <c r="D587" i="1" l="1"/>
  <c r="E587" i="1" s="1"/>
  <c r="H585" i="1"/>
  <c r="E540" i="1"/>
  <c r="B493" i="1" l="1"/>
  <c r="H490" i="1"/>
  <c r="H489" i="1"/>
  <c r="C493" i="1" s="1"/>
  <c r="F466" i="1"/>
  <c r="G466" i="1" s="1"/>
  <c r="H466" i="1" s="1"/>
  <c r="H439" i="1"/>
  <c r="B444" i="1" s="1"/>
  <c r="F420" i="1"/>
  <c r="G420" i="1" s="1"/>
  <c r="H420" i="1" s="1"/>
  <c r="H440" i="1" l="1"/>
  <c r="C444" i="1" s="1"/>
  <c r="D493" i="1"/>
  <c r="E493" i="1" s="1"/>
  <c r="H491" i="1"/>
  <c r="H441" i="1"/>
  <c r="H442" i="1" l="1"/>
  <c r="D444" i="1"/>
  <c r="E444" i="1" s="1"/>
  <c r="F372" i="1"/>
  <c r="G372" i="1" s="1"/>
  <c r="H372" i="1" s="1"/>
  <c r="B400" i="1"/>
  <c r="H396" i="1"/>
  <c r="H397" i="1" s="1"/>
  <c r="D400" i="1" s="1"/>
  <c r="F371" i="1"/>
  <c r="G371" i="1" s="1"/>
  <c r="H371" i="1" s="1"/>
  <c r="B353" i="1"/>
  <c r="H350" i="1"/>
  <c r="H349" i="1" s="1"/>
  <c r="F328" i="1"/>
  <c r="G328" i="1" s="1"/>
  <c r="H328" i="1" s="1"/>
  <c r="I233" i="1"/>
  <c r="I232" i="1"/>
  <c r="B256" i="1"/>
  <c r="H253" i="1"/>
  <c r="H252" i="1" s="1"/>
  <c r="F233" i="1"/>
  <c r="G233" i="1" s="1"/>
  <c r="H233" i="1" s="1"/>
  <c r="F232" i="1"/>
  <c r="G232" i="1" s="1"/>
  <c r="H232" i="1" s="1"/>
  <c r="C400" i="1" l="1"/>
  <c r="E400" i="1" s="1"/>
  <c r="H398" i="1"/>
  <c r="C353" i="1"/>
  <c r="H351" i="1"/>
  <c r="D353" i="1"/>
  <c r="H254" i="1"/>
  <c r="C256" i="1"/>
  <c r="D256" i="1"/>
  <c r="E353" i="1" l="1"/>
  <c r="E256" i="1"/>
  <c r="F189" i="1" l="1"/>
  <c r="G189" i="1" s="1"/>
  <c r="H189" i="1" s="1"/>
  <c r="B212" i="1"/>
  <c r="H209" i="1"/>
  <c r="H208" i="1" s="1"/>
  <c r="F188" i="1"/>
  <c r="G188" i="1" s="1"/>
  <c r="H188" i="1" s="1"/>
  <c r="C212" i="1" l="1"/>
  <c r="H210" i="1"/>
  <c r="D212" i="1"/>
  <c r="E212" i="1" l="1"/>
  <c r="H164" i="1"/>
  <c r="I142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10" i="1"/>
  <c r="I143" i="1"/>
  <c r="I144" i="1"/>
  <c r="H165" i="1"/>
  <c r="D168" i="1" s="1"/>
  <c r="F144" i="1"/>
  <c r="G144" i="1" s="1"/>
  <c r="H144" i="1" s="1"/>
  <c r="F143" i="1"/>
  <c r="G143" i="1" s="1"/>
  <c r="H143" i="1" s="1"/>
  <c r="F142" i="1"/>
  <c r="G142" i="1" s="1"/>
  <c r="H142" i="1" s="1"/>
  <c r="H115" i="1"/>
  <c r="H116" i="1" s="1"/>
  <c r="C120" i="1" s="1"/>
  <c r="F98" i="1"/>
  <c r="G98" i="1" s="1"/>
  <c r="H98" i="1" s="1"/>
  <c r="F97" i="1"/>
  <c r="G97" i="1" s="1"/>
  <c r="H97" i="1" s="1"/>
  <c r="H71" i="1"/>
  <c r="H72" i="1" s="1"/>
  <c r="C76" i="1" s="1"/>
  <c r="G52" i="1"/>
  <c r="F52" i="1"/>
  <c r="B34" i="1"/>
  <c r="H30" i="1"/>
  <c r="C34" i="1" s="1"/>
  <c r="F28" i="1"/>
  <c r="G28" i="1" s="1"/>
  <c r="H28" i="1" s="1"/>
  <c r="F27" i="1"/>
  <c r="G27" i="1" s="1"/>
  <c r="H27" i="1" s="1"/>
  <c r="F26" i="1"/>
  <c r="G26" i="1" s="1"/>
  <c r="H26" i="1" s="1"/>
  <c r="F25" i="1"/>
  <c r="G25" i="1" s="1"/>
  <c r="H25" i="1" s="1"/>
  <c r="F24" i="1"/>
  <c r="G24" i="1" s="1"/>
  <c r="H24" i="1" s="1"/>
  <c r="F23" i="1"/>
  <c r="G23" i="1" s="1"/>
  <c r="H23" i="1" s="1"/>
  <c r="F22" i="1"/>
  <c r="G22" i="1" s="1"/>
  <c r="H22" i="1" s="1"/>
  <c r="F21" i="1"/>
  <c r="G21" i="1" s="1"/>
  <c r="H21" i="1" s="1"/>
  <c r="F20" i="1"/>
  <c r="G20" i="1" s="1"/>
  <c r="H20" i="1" s="1"/>
  <c r="F19" i="1"/>
  <c r="G19" i="1" s="1"/>
  <c r="H19" i="1" s="1"/>
  <c r="F18" i="1"/>
  <c r="G18" i="1" s="1"/>
  <c r="H18" i="1" s="1"/>
  <c r="F17" i="1"/>
  <c r="G17" i="1" s="1"/>
  <c r="H17" i="1" s="1"/>
  <c r="F16" i="1"/>
  <c r="G16" i="1" s="1"/>
  <c r="H16" i="1" s="1"/>
  <c r="F15" i="1"/>
  <c r="G15" i="1" s="1"/>
  <c r="H15" i="1" s="1"/>
  <c r="F14" i="1"/>
  <c r="G14" i="1" s="1"/>
  <c r="H14" i="1" s="1"/>
  <c r="F13" i="1"/>
  <c r="G13" i="1" s="1"/>
  <c r="H13" i="1" s="1"/>
  <c r="F12" i="1"/>
  <c r="G12" i="1" s="1"/>
  <c r="H12" i="1" s="1"/>
  <c r="F11" i="1"/>
  <c r="G11" i="1" s="1"/>
  <c r="H11" i="1" s="1"/>
  <c r="F10" i="1"/>
  <c r="G10" i="1" s="1"/>
  <c r="H10" i="1" s="1"/>
  <c r="H52" i="1" l="1"/>
  <c r="D120" i="1"/>
  <c r="E120" i="1" s="1"/>
  <c r="H117" i="1"/>
  <c r="H118" i="1" s="1"/>
  <c r="B76" i="1"/>
  <c r="H73" i="1"/>
  <c r="D76" i="1" s="1"/>
  <c r="E76" i="1" s="1"/>
  <c r="C168" i="1"/>
  <c r="E168" i="1" s="1"/>
  <c r="B120" i="1"/>
  <c r="H31" i="1"/>
  <c r="H74" i="1" l="1"/>
  <c r="D34" i="1"/>
  <c r="E34" i="1" s="1"/>
  <c r="H32" i="1"/>
</calcChain>
</file>

<file path=xl/sharedStrings.xml><?xml version="1.0" encoding="utf-8"?>
<sst xmlns="http://schemas.openxmlformats.org/spreadsheetml/2006/main" count="13555" uniqueCount="1926">
  <si>
    <t xml:space="preserve">JAY JALARAM </t>
  </si>
  <si>
    <t>Juna Jeen Hanuman Tekri,
Opp. Ramji Mandir, Rander, Surat - 5
Mo. No.:- 9687609642
Email Id:- jayjalaramelectricals@gmail.com</t>
  </si>
  <si>
    <t xml:space="preserve">                                  Electricals</t>
  </si>
  <si>
    <t>GSTIN NO: 24CUOPS3532H1ZD</t>
  </si>
  <si>
    <t>TAX INVOICE</t>
  </si>
  <si>
    <t>MSME NO:UDYAM-GJ-22-0000271</t>
  </si>
  <si>
    <t>To.</t>
  </si>
  <si>
    <t>Invoice No.:</t>
  </si>
  <si>
    <t>Date :</t>
  </si>
  <si>
    <t>Everest Electricals</t>
  </si>
  <si>
    <t>Challan No.:</t>
  </si>
  <si>
    <t>Laldarvaja ,Surat</t>
  </si>
  <si>
    <t>Order No.:</t>
  </si>
  <si>
    <t xml:space="preserve">Site : </t>
  </si>
  <si>
    <t>Surat</t>
  </si>
  <si>
    <t>Party GST No.:</t>
  </si>
  <si>
    <t>24AAKFT8719R2Z7</t>
  </si>
  <si>
    <t>Sr. No.</t>
  </si>
  <si>
    <t>Particular</t>
  </si>
  <si>
    <t>Qty</t>
  </si>
  <si>
    <t>HSN</t>
  </si>
  <si>
    <t>Rate</t>
  </si>
  <si>
    <t>GST%</t>
  </si>
  <si>
    <t>Basic Amount</t>
  </si>
  <si>
    <t>CGST
9%</t>
  </si>
  <si>
    <t>SGST
9%</t>
  </si>
  <si>
    <t>Servicing and maintenance of VCB  at kiran gems</t>
  </si>
  <si>
    <t>Servicing and maintenance of ACB at kiran gems</t>
  </si>
  <si>
    <t>Servicing and maintenance of ACB at kiran gems vaishali</t>
  </si>
  <si>
    <t>Servicing and maintenance of VCB at kiran gems vaishali</t>
  </si>
  <si>
    <t>Servicing and maintenance of ACB at Asian  star</t>
  </si>
  <si>
    <t>Servicing and maintenance of VCB at Asian star</t>
  </si>
  <si>
    <t>Servicing and maintenance of ACB at jewels</t>
  </si>
  <si>
    <t>Servicing and maintenance of VCB at jewels</t>
  </si>
  <si>
    <t>Servicing and maintenance of ACB at Dharmanandan</t>
  </si>
  <si>
    <t>Servicing and maintenance of VCB at Dharmanandan</t>
  </si>
  <si>
    <t>Servicing and maintenance of ACB at kakadiya diamonds</t>
  </si>
  <si>
    <t>Servicing and maintenance of VCB at kakadiya diamonds</t>
  </si>
  <si>
    <t>Simens make Relay Testing  at kakadiya diamonds</t>
  </si>
  <si>
    <t>Servicing and maintenance of ACB at Vaibhav gems</t>
  </si>
  <si>
    <t>Servicing and maintenance of VCB at Vaibhav gems</t>
  </si>
  <si>
    <t>Servicing and maintenance of ACB at Finester diamonds</t>
  </si>
  <si>
    <t>Servicing and maintenance of VCB at Finester diamonds</t>
  </si>
  <si>
    <t xml:space="preserve">Servicing and maintenance of ACB at Suprime Dimond </t>
  </si>
  <si>
    <t xml:space="preserve">Servicing and maintenance of VCB at Suprime Dimond </t>
  </si>
  <si>
    <t xml:space="preserve">Total GST </t>
  </si>
  <si>
    <t>Net Amt.    :</t>
  </si>
  <si>
    <t>CGST Amt. :</t>
  </si>
  <si>
    <t>SGST Amt. :</t>
  </si>
  <si>
    <t>GST Summary :</t>
  </si>
  <si>
    <t>G. Total      :</t>
  </si>
  <si>
    <t>Taxable Value</t>
  </si>
  <si>
    <t>Total Tax</t>
  </si>
  <si>
    <t>AC NO : 10142001000604</t>
  </si>
  <si>
    <t>For,Jay Jalaram Electricals</t>
  </si>
  <si>
    <t>Bank name : Prime Co-Op. Bank LTD,          Pincode:395009</t>
  </si>
  <si>
    <t>Branch : Palanpur Patiya          IFSC Code : PMEC0101414</t>
  </si>
  <si>
    <t>PAN NO : CUOPS3532H</t>
  </si>
  <si>
    <t>→All disputes will be subject to surat jurisdiction only</t>
  </si>
  <si>
    <t>Authorised Signatory</t>
  </si>
  <si>
    <t>TO.</t>
  </si>
  <si>
    <t>Divine Engineering Service Pvt Ltd</t>
  </si>
  <si>
    <t>Block no.  345/B/5/C,Near West Coast Food plant,</t>
  </si>
  <si>
    <t>Orma Village,olpad Taluka,Surat,Gujarat-394540</t>
  </si>
  <si>
    <t>24AAHCD3246K1ZN</t>
  </si>
  <si>
    <t>Site: Olpad,Surat</t>
  </si>
  <si>
    <t xml:space="preserve">LBS fuse replacement and cable testing </t>
  </si>
  <si>
    <t>Four Hundren Fifty Only</t>
  </si>
  <si>
    <t>Total Amt:Two Thousand Nine Hundred Fifty Only</t>
  </si>
  <si>
    <t xml:space="preserve">   For,Jay Jalaram Electricals</t>
  </si>
  <si>
    <t xml:space="preserve">     Authorised Signatory</t>
  </si>
  <si>
    <t xml:space="preserve">Radiant Color Yarn Pvt LTD </t>
  </si>
  <si>
    <t>P.no:277,Naxt to Sachine Dying mill</t>
  </si>
  <si>
    <t>Kheteswar hotel,gali Road no 2</t>
  </si>
  <si>
    <t>24AAMCR5747E1Z7</t>
  </si>
  <si>
    <t xml:space="preserve">Site: Sachine GIDC </t>
  </si>
  <si>
    <t>Supply Of 16 Steps APFC Relay</t>
  </si>
  <si>
    <t>Installation and Testing Wrining of APFC Reley</t>
  </si>
  <si>
    <t>ThreeThousand One  Hundered Fifty Seven Only</t>
  </si>
  <si>
    <t xml:space="preserve">Avichal Weaves P.LTD </t>
  </si>
  <si>
    <t xml:space="preserve">Plot no.176/A Jinwala Compound </t>
  </si>
  <si>
    <t xml:space="preserve">Near mansi dying ,Kadodra </t>
  </si>
  <si>
    <t>24AAECA5572C1Z1</t>
  </si>
  <si>
    <t>Site: Kadodra Surat</t>
  </si>
  <si>
    <t xml:space="preserve">Supply of 25 KVAR capacitor duty contactor </t>
  </si>
  <si>
    <t>Installation and Testing Wrining of Contactor</t>
  </si>
  <si>
    <t>Tranfermer,GOAB,Earthing Work,</t>
  </si>
  <si>
    <t>Total Amt: Twenty Thousand Six Hundered Ninety Seven Only</t>
  </si>
  <si>
    <t>Two Thousand Five Hundred Eighty Three only</t>
  </si>
  <si>
    <t xml:space="preserve">Total Amt: Sixty Thousand Nine Hundred Thirty Three only </t>
  </si>
  <si>
    <t>Thirty Six Thousand Ninety  Only</t>
  </si>
  <si>
    <t>Total Amt:Two Lac Thirty Six  Thousand Five Hundered ninety  Only</t>
  </si>
  <si>
    <t>Juna Jeen Hanuman Tekri,
Opp. Ramji Mandir, Rander, Surat - 5
Mo. No.:- 7016388853
Email Id:- jayjalaramelectricals@gmail.com</t>
  </si>
  <si>
    <t>VALENTINE CINE VISION LIMITED</t>
  </si>
  <si>
    <t xml:space="preserve">Magdalla,Surat </t>
  </si>
  <si>
    <t>24AAACV3889R1ZH</t>
  </si>
  <si>
    <t>Site:Valantine Cinema Surat</t>
  </si>
  <si>
    <t>Total GST :</t>
  </si>
  <si>
    <t>16/04/2025</t>
  </si>
  <si>
    <t xml:space="preserve">Remove Service Transformer ,cable And Earthing and installation of your old  Transformer </t>
  </si>
  <si>
    <t xml:space="preserve">Remove old Transformer ,cable And Earthing and installation of service Transformer and GOAB switch Service </t>
  </si>
  <si>
    <t xml:space="preserve">Three Thousand Six Hundred only </t>
  </si>
  <si>
    <t xml:space="preserve">Total Amt:Twenty Three  Thousand six Hundred only  </t>
  </si>
  <si>
    <t>Radha Raman Tex.Mkt.com.Co.op Service Soc.LTD</t>
  </si>
  <si>
    <t>RRTM Ground Floor A wing ShopNo.16-21</t>
  </si>
  <si>
    <t>Behind Bharat Cancer Hospital,Saroli,Surat</t>
  </si>
  <si>
    <t>24AAFAR2700J1ZS</t>
  </si>
  <si>
    <t>Site:RRTM,Saroli Surat</t>
  </si>
  <si>
    <t>17/04/2025</t>
  </si>
  <si>
    <t xml:space="preserve">Supply of 22 KV 150/1 CT </t>
  </si>
  <si>
    <t xml:space="preserve">Installation,Testing setting of CT </t>
  </si>
  <si>
    <t xml:space="preserve">Ten Thousand Eight Hundred only </t>
  </si>
  <si>
    <t xml:space="preserve">Total Amt:Sevanty Thousand Eight Hundred only  </t>
  </si>
  <si>
    <t xml:space="preserve">Northern Star Engineering </t>
  </si>
  <si>
    <t>24ALQPD0899P1ZD</t>
  </si>
  <si>
    <t xml:space="preserve">522,western Business park,B/H J.H ambani School </t>
  </si>
  <si>
    <t xml:space="preserve">Vesu,surat </t>
  </si>
  <si>
    <t xml:space="preserve">Site:Casa rivera </t>
  </si>
  <si>
    <t xml:space="preserve">SITC of 4x70 sq mm Copper cable joint kit </t>
  </si>
  <si>
    <t xml:space="preserve">One  Thousand Eighty only </t>
  </si>
  <si>
    <t xml:space="preserve">Total Amt:Sevan Thousand Eighty  only  </t>
  </si>
  <si>
    <t>17/4/2025</t>
  </si>
  <si>
    <t xml:space="preserve">Supply of 3x95 sq mm HT End Termiantion kit   </t>
  </si>
  <si>
    <t xml:space="preserve">Installation,Testing of 95 sq mm Cable joint kit </t>
  </si>
  <si>
    <t>Total Amt:Four Thousand Sevan Hundered twenty Only</t>
  </si>
  <si>
    <t>Sevan Hundred Twenty Only</t>
  </si>
  <si>
    <t xml:space="preserve">Rahul Raj mall </t>
  </si>
  <si>
    <t xml:space="preserve">Dumas Road,surat </t>
  </si>
  <si>
    <t>24AAACL2937J1ZK</t>
  </si>
  <si>
    <t>Site:Surat</t>
  </si>
  <si>
    <t>LIFESTYLE INTERNATIONAL PRIVATE LIMITED</t>
  </si>
  <si>
    <t xml:space="preserve">Testing of ACB relay SR 18 G </t>
  </si>
  <si>
    <t>Three Hundred Sixty Only</t>
  </si>
  <si>
    <t>Total Amt:Two Thousand Three Hundred Sixty Only</t>
  </si>
  <si>
    <t>Original/Duplicate</t>
  </si>
  <si>
    <t>Parekh Electricals</t>
  </si>
  <si>
    <t>2,Singapri wadi Complex,Nr.Rushbh Petrol pump</t>
  </si>
  <si>
    <t>Ring Road ,Salabat pura,Surat</t>
  </si>
  <si>
    <t>24AAVPP8452E1Z9</t>
  </si>
  <si>
    <t xml:space="preserve">Site:Karanj-Kim </t>
  </si>
  <si>
    <t xml:space="preserve">Testing and chacking of LBS </t>
  </si>
  <si>
    <t>Three  Hundred Ninety Six Only</t>
  </si>
  <si>
    <t>Total Amt:Two Thousand five Hundred  Ninety Six Only</t>
  </si>
  <si>
    <t>Juna Jeen Hanuman Tekri,
Opp. Ramji Mandir, Rander, Surat - 5
Mo. No.:-7016388853
Email Id:- jayjalaramelectricals@gmail.com</t>
  </si>
  <si>
    <t xml:space="preserve">Lakhani Engineers &amp; Organisation </t>
  </si>
  <si>
    <t>H.No-7/4588,4853 Dangi seri,Delhi gate</t>
  </si>
  <si>
    <t>24AAGFL2510A2Z5</t>
  </si>
  <si>
    <t>Site:Gaviyur SPS Surat</t>
  </si>
  <si>
    <t>Control wiring Checking and relay Setting at Gaviyur pumping (1 incomming 2 Out going fedder)</t>
  </si>
  <si>
    <t xml:space="preserve">Three Hundred Sixty only </t>
  </si>
  <si>
    <t xml:space="preserve">Total Amt: Two Thousand Three Hundred Sixty only  </t>
  </si>
  <si>
    <t xml:space="preserve">Orange Megastrucure LLP </t>
  </si>
  <si>
    <t xml:space="preserve">Magdalla Circle,Dumas Road </t>
  </si>
  <si>
    <t xml:space="preserve">Surat </t>
  </si>
  <si>
    <t>24AAEFO0624Q1Z5</t>
  </si>
  <si>
    <t xml:space="preserve">Site:TGB Hotel </t>
  </si>
  <si>
    <t xml:space="preserve">SITC of 11 KV GOAB switch ,DO Fuse etc </t>
  </si>
  <si>
    <t xml:space="preserve">Silver Color work </t>
  </si>
  <si>
    <t xml:space="preserve">Termination  of Power cable </t>
  </si>
  <si>
    <t xml:space="preserve">Remove and Installation charge </t>
  </si>
  <si>
    <t xml:space="preserve">Eight Thousand Eight Hundred Ninety Two Only  </t>
  </si>
  <si>
    <t>Total Amt: Fifty Eight Thousand Two Hundred Ninety two Only</t>
  </si>
  <si>
    <t>Sunny electricals</t>
  </si>
  <si>
    <t xml:space="preserve">201,SNS Saigon Commercial Bulding </t>
  </si>
  <si>
    <t>B/H Jani farshan,City Light Road,Surat</t>
  </si>
  <si>
    <t>24ABPFS1451D2ZB</t>
  </si>
  <si>
    <t xml:space="preserve">End termination with IRV Test </t>
  </si>
  <si>
    <t>Four Thousand Five Hundred Seventy Two Only</t>
  </si>
  <si>
    <t>Total Amt:Twenty Nine Thousand Nine Hundred Seventy two Only</t>
  </si>
  <si>
    <t>18/04/2025</t>
  </si>
  <si>
    <t xml:space="preserve">Installlation and Testing of 3.5x400 sq mm cable joint kit  </t>
  </si>
  <si>
    <t xml:space="preserve">Installlation and Testing of 3.5x95 sq mm cable joint kit  </t>
  </si>
  <si>
    <t xml:space="preserve">Supply and Installlation and Testing of 3.5x400 sq mm cable joint kit  </t>
  </si>
  <si>
    <t xml:space="preserve">Supply and Installlation and Testing of 3.5x300 sq mm cable joint kit  </t>
  </si>
  <si>
    <t xml:space="preserve">SITC of 400 sq mm WRSM  cable kit </t>
  </si>
  <si>
    <t xml:space="preserve">SITC of 5 core 2.5 Copper cable joint kit </t>
  </si>
  <si>
    <t>18/3/2025</t>
  </si>
  <si>
    <t xml:space="preserve">Shrirang Sales Corporation </t>
  </si>
  <si>
    <t>UG-3&amp;4 Nirman Bhavan,Near Krushi Mangal hall</t>
  </si>
  <si>
    <t xml:space="preserve">Majura gate,Ring road,Surat </t>
  </si>
  <si>
    <t>24AAKFS8216Q1ZJ</t>
  </si>
  <si>
    <t>19/4/2025</t>
  </si>
  <si>
    <t>Site:</t>
  </si>
  <si>
    <t>Two Thousand Three Hundred Nineteen Only</t>
  </si>
  <si>
    <t xml:space="preserve">Total Amt:Fifteen Thousand two Hundred Eight Only </t>
  </si>
  <si>
    <t xml:space="preserve">Supply  of 70 sqmm copper Flaxible cable </t>
  </si>
  <si>
    <t xml:space="preserve">HT panel Repairing and HV test </t>
  </si>
  <si>
    <t>Two Thousand One Hundred Sixty  Only</t>
  </si>
  <si>
    <t xml:space="preserve">Total Amt:Forteen Thousand one Hundred Sixty Only </t>
  </si>
  <si>
    <t xml:space="preserve">Site:Kinarry WDS </t>
  </si>
  <si>
    <t xml:space="preserve">Site: Valakh Pumping </t>
  </si>
  <si>
    <t>27/11/2024</t>
  </si>
  <si>
    <t xml:space="preserve">SITC of HT PT and Fuse Relay Retrofitting </t>
  </si>
  <si>
    <t xml:space="preserve">Retrofitting of relay and other works </t>
  </si>
  <si>
    <t>20/4/2025</t>
  </si>
  <si>
    <t>STP SURAT o&amp;m MECH/0543</t>
  </si>
  <si>
    <t xml:space="preserve">Singanpor Swage Tretment plant </t>
  </si>
  <si>
    <t xml:space="preserve">VCB enblock </t>
  </si>
  <si>
    <t xml:space="preserve">Drive Insulator </t>
  </si>
  <si>
    <t>Seventeen Thousand Three  Hundred Fifty six  Only</t>
  </si>
  <si>
    <t xml:space="preserve">Total Amt:one lac Thirteen Thousand Sevan Hundred Eighty Two Only </t>
  </si>
  <si>
    <t>STP SURAT o&amp;m MECH/W/520</t>
  </si>
  <si>
    <t xml:space="preserve">Installation,Testing and HV test of VCB </t>
  </si>
  <si>
    <t>Five Thousand one Hundred Thirty Only</t>
  </si>
  <si>
    <t xml:space="preserve">Total Amt:Thirty Three Thousand Six Hundred Thirty Only </t>
  </si>
  <si>
    <t xml:space="preserve">Vasudev Electroproject PVT LTD </t>
  </si>
  <si>
    <t xml:space="preserve">P no.16&amp;17,JB Compound Opp.BRC </t>
  </si>
  <si>
    <t xml:space="preserve">Opp.Laxminarayan Temple ,Surat </t>
  </si>
  <si>
    <t xml:space="preserve">Landmark surat </t>
  </si>
  <si>
    <t xml:space="preserve">Maintence of LBS </t>
  </si>
  <si>
    <t xml:space="preserve">Cotting of Insualator and bus bar </t>
  </si>
  <si>
    <t xml:space="preserve">Supply and installation of 22 KV Insulator </t>
  </si>
  <si>
    <t>24AAGCV5726R1ZN</t>
  </si>
  <si>
    <t>Two Thousand Four Hundred Fourty Eight Only</t>
  </si>
  <si>
    <t xml:space="preserve">Total Amt:Sixteen Thousand Fourty Eight Only </t>
  </si>
  <si>
    <t>Six Thousand One Hundred Twenty   Only</t>
  </si>
  <si>
    <t xml:space="preserve">Total Amt:Forty Thousand One Hundred Twenty   Only </t>
  </si>
  <si>
    <t xml:space="preserve">Vatsal Enterprise </t>
  </si>
  <si>
    <t xml:space="preserve">Kawas ,Hazira </t>
  </si>
  <si>
    <t xml:space="preserve">surat </t>
  </si>
  <si>
    <t>24ASKPP3187H1ZF</t>
  </si>
  <si>
    <t>22/4/2025</t>
  </si>
  <si>
    <t>Site:BPCL , Hazira</t>
  </si>
  <si>
    <t xml:space="preserve">Servicing and relay testing of ACB </t>
  </si>
  <si>
    <t xml:space="preserve">Relay Testing </t>
  </si>
  <si>
    <t xml:space="preserve">Tharmografy </t>
  </si>
  <si>
    <t xml:space="preserve">Ten Thousand Two Hundred fifteen  Only  </t>
  </si>
  <si>
    <t>Total Amt:Sixty Six Thousand Nien Hundred Sixty Five Only</t>
  </si>
  <si>
    <t xml:space="preserve">Cotting Spray </t>
  </si>
  <si>
    <t>Six Hundred One  Only</t>
  </si>
  <si>
    <t xml:space="preserve">Total Amt:Three Thousand Nine Hundred Fourty One Only </t>
  </si>
  <si>
    <t xml:space="preserve">BEIL Infrastucture LTD </t>
  </si>
  <si>
    <t>P.no:9701 to 16 GIDC Ankleswer Industrial Estate</t>
  </si>
  <si>
    <t xml:space="preserve">Bharuch,Gujrat </t>
  </si>
  <si>
    <t>24AAACB8075F1ZU</t>
  </si>
  <si>
    <t xml:space="preserve">Flaxible cable </t>
  </si>
  <si>
    <t xml:space="preserve">Supply of Silica jell </t>
  </si>
  <si>
    <t>Four Hundred Sevanty Nine  Only</t>
  </si>
  <si>
    <t xml:space="preserve">Total Amt:Three  Thousand One Hundred Thirty Nine Only </t>
  </si>
  <si>
    <t xml:space="preserve">Ecom Express LTD </t>
  </si>
  <si>
    <t xml:space="preserve">FP-334,TP 67 Ground Floor,Sachin,Hajira Highway </t>
  </si>
  <si>
    <t xml:space="preserve">NH 48 Sonari Village ,Suat </t>
  </si>
  <si>
    <t>24AADCE1344F1Z6</t>
  </si>
  <si>
    <t>24/04/2025</t>
  </si>
  <si>
    <t xml:space="preserve">Servicing and maintenance of L&amp;T make ACB </t>
  </si>
  <si>
    <t>Five Hundred Fourty Only</t>
  </si>
  <si>
    <t>Total Amt: Three Thousand Five Hundred Fourty Only</t>
  </si>
  <si>
    <t>24AAFCK0390R1Z5</t>
  </si>
  <si>
    <t xml:space="preserve">kessi Fabrics  Private  LTD </t>
  </si>
  <si>
    <t>Fifth Floor A/4001-4004 RRTM,</t>
  </si>
  <si>
    <t xml:space="preserve">Nr.Bharat Cancer hospital,Saroli </t>
  </si>
  <si>
    <t xml:space="preserve">SITC of Havells make ATS controller </t>
  </si>
  <si>
    <t xml:space="preserve">Installation ,setting of ATS controller </t>
  </si>
  <si>
    <t>Three Thousand Five Hundred Ten Only</t>
  </si>
  <si>
    <t>Total Amt: Twenty Three Thousand Ten Only</t>
  </si>
  <si>
    <t xml:space="preserve">Supply and Installlation and Testing of 3.5x240 sq mm cable joint kit  </t>
  </si>
  <si>
    <t xml:space="preserve">Installation,testing of HT End Termiantion kit </t>
  </si>
  <si>
    <r>
      <t xml:space="preserve">SITC of Reusable boots </t>
    </r>
    <r>
      <rPr>
        <sz val="11"/>
        <color theme="1"/>
        <rFont val="Calibri"/>
        <family val="2"/>
        <scheme val="minor"/>
      </rPr>
      <t xml:space="preserve"> and HT Tep</t>
    </r>
  </si>
  <si>
    <t xml:space="preserve">RMU Commissioning of Rander Buster house </t>
  </si>
  <si>
    <t xml:space="preserve">Earting Testing </t>
  </si>
  <si>
    <t>HT panel  Commissioning of  Marshling box wiring ,Relay setting,Closing Tripping etc (1 IC/2 OG)</t>
  </si>
  <si>
    <t xml:space="preserve">Installation of 3.5x400 sq mm Cable joint kit at bhatar plant </t>
  </si>
  <si>
    <t>Total Amt:Eighty nine Thousand Five Hundred Sixty two Only</t>
  </si>
  <si>
    <t>Site:Rander buster  ,Surat</t>
  </si>
  <si>
    <t>Thirteen  Thousand six Hundred sixty Two Only</t>
  </si>
  <si>
    <t>Vendor Code</t>
  </si>
  <si>
    <t>SJA0518</t>
  </si>
  <si>
    <t>Bank Name</t>
  </si>
  <si>
    <t>Prime Co-op. Bank Ltd</t>
  </si>
  <si>
    <t>A/c No</t>
  </si>
  <si>
    <t>Branch</t>
  </si>
  <si>
    <t>PalanPur Patia,Surat</t>
  </si>
  <si>
    <t>IFSC Code</t>
  </si>
  <si>
    <t>PMEC0101414</t>
  </si>
  <si>
    <t>29/4/2025</t>
  </si>
  <si>
    <t>HAVELLS INDIA LIMITED</t>
  </si>
  <si>
    <t xml:space="preserve">PO NO </t>
  </si>
  <si>
    <t xml:space="preserve">1001,10TH FLOOR,VENUS AMADEUS,JODHPUR CROSS RD. </t>
  </si>
  <si>
    <t>JODHPUR CROSS RD.SETELITE,A'BAD</t>
  </si>
  <si>
    <t>24AAACH0351E1ZB</t>
  </si>
  <si>
    <t>Service for the Month of April 25</t>
  </si>
  <si>
    <t>One Thousand Sevan Hundred Thirty eight  Only</t>
  </si>
  <si>
    <t>Total Amt:Eleone Thousand Three  Hundred Eighty sevan Only</t>
  </si>
  <si>
    <t>Chek no 660</t>
  </si>
  <si>
    <t>date 3/5/2025</t>
  </si>
  <si>
    <t>Amount 23600</t>
  </si>
  <si>
    <t xml:space="preserve">bob  piplod </t>
  </si>
  <si>
    <t xml:space="preserve">VR Surat Pvt.LTD </t>
  </si>
  <si>
    <t xml:space="preserve">Dumas road,Magdalla surat </t>
  </si>
  <si>
    <t>24AACCD5578R1ZZ</t>
  </si>
  <si>
    <t xml:space="preserve">Site : VR MALL </t>
  </si>
  <si>
    <t>DIPL/VRS/PO-23963</t>
  </si>
  <si>
    <t>14/4/2025</t>
  </si>
  <si>
    <t xml:space="preserve">Supply of silica Gel breather  500 gm </t>
  </si>
  <si>
    <t>Supply of silica Gel breather  1 kg</t>
  </si>
  <si>
    <t xml:space="preserve">Supply of silica Gel  </t>
  </si>
  <si>
    <t>One Thousand Sevan  Hundred Ninety one Only</t>
  </si>
  <si>
    <t>Total Amt:Eleone Thousand Seven Hundred Fourty one Only</t>
  </si>
  <si>
    <t>DIPL/VRS/PO-23959</t>
  </si>
  <si>
    <t>13/4/2025</t>
  </si>
  <si>
    <t>30/4/2025</t>
  </si>
  <si>
    <t xml:space="preserve">Supply of 3.5x300 sq mm armed cable </t>
  </si>
  <si>
    <t xml:space="preserve">laying  of 3.5x300 sq mm armed cable </t>
  </si>
  <si>
    <t xml:space="preserve">Termination of   of 3.5x300 sq mm armed cable </t>
  </si>
  <si>
    <t xml:space="preserve">transporation </t>
  </si>
  <si>
    <t>Twelve  Thousand ninety six Only</t>
  </si>
  <si>
    <t>Total Amt:Sevanty nine Thousand two Hundred Ninety six Only</t>
  </si>
  <si>
    <t>DIPL/VRS/PO-23960</t>
  </si>
  <si>
    <t>Thirteen  Thousand Five Hundred Fifteen Only</t>
  </si>
  <si>
    <t>Total Amt:Eighty eight Thousand Six Hundred only Only</t>
  </si>
  <si>
    <t>Raj Electricals</t>
  </si>
  <si>
    <t xml:space="preserve">7/1691-b,Near kamal dalal masjid sayad pura </t>
  </si>
  <si>
    <t>24ACQPJ6155P1ZX</t>
  </si>
  <si>
    <t xml:space="preserve">PVR rahul raj mall </t>
  </si>
  <si>
    <t xml:space="preserve">HT braker SF 6 Servicing </t>
  </si>
  <si>
    <t xml:space="preserve">LT braker Servicing </t>
  </si>
  <si>
    <t xml:space="preserve">HT braker RMU servicing </t>
  </si>
  <si>
    <t>Four Thousand Five Hundred Ninety Only</t>
  </si>
  <si>
    <t xml:space="preserve">Total Amt: Thirty  Thousand ninety only </t>
  </si>
  <si>
    <t xml:space="preserve">Vasu Automation and  electricals </t>
  </si>
  <si>
    <t xml:space="preserve">P.no:A/4/25 B/S.maxican plaza </t>
  </si>
  <si>
    <t>Road no 4,Udhyognagar,Udhna, surat-394210</t>
  </si>
  <si>
    <t>24AAOFV3265C1Z6</t>
  </si>
  <si>
    <t>Servicing and maintenance of ACB at pandesara</t>
  </si>
  <si>
    <t>19/5/2025</t>
  </si>
  <si>
    <t>Sevan  Hundred ninety two  Only</t>
  </si>
  <si>
    <t>Total Amt: Five Thousand One Hundred Ninety two Only</t>
  </si>
  <si>
    <t xml:space="preserve">Site:Mahadev Silk mills,Kadodra </t>
  </si>
  <si>
    <t xml:space="preserve">Parth Electricals </t>
  </si>
  <si>
    <t>Shop no.4Rayka Estate, Gate No.4</t>
  </si>
  <si>
    <t xml:space="preserve">Nr.rayka circle,Opp.Mahalaxmi Ind.Sosiety </t>
  </si>
  <si>
    <t xml:space="preserve">Site:Civil Hospital ,Navsari </t>
  </si>
  <si>
    <t>24AAYPA0639D1ZY</t>
  </si>
  <si>
    <t>Servicing and maintenance of ACB</t>
  </si>
  <si>
    <t xml:space="preserve">Panel maintence </t>
  </si>
  <si>
    <t xml:space="preserve">Cable termination </t>
  </si>
  <si>
    <t>Two Thousand Sevanty Nine Only</t>
  </si>
  <si>
    <t>Total Amt: Thirteen Thousand Six Hundred Twenty nine Only</t>
  </si>
  <si>
    <t>SHARPY LIGHT (MOVING)</t>
  </si>
  <si>
    <t>PAR LIGHT STAND Q7</t>
  </si>
  <si>
    <t>BATTLE LIGHT</t>
  </si>
  <si>
    <t xml:space="preserve"> TRUSS (STAND) </t>
  </si>
  <si>
    <t xml:space="preserve"> WIRING SET</t>
  </si>
  <si>
    <t xml:space="preserve"> LED PANNEL (OUTDOOR SCREEN)</t>
  </si>
  <si>
    <t xml:space="preserve"> MIXER (PILOT)</t>
  </si>
  <si>
    <t>POWER AMPLIFIER Z8/Z7</t>
  </si>
  <si>
    <t>MIXER</t>
  </si>
  <si>
    <t>SPEKER 18-21 INCH WITH CABINET</t>
  </si>
  <si>
    <t>CROSSOVER DIGITAL</t>
  </si>
  <si>
    <t>SPEKER LINE ARRAY</t>
  </si>
  <si>
    <t>ELECTRCAL PANEL BOARD</t>
  </si>
  <si>
    <t>POWERAMPLIFIER CA4/X5/X7</t>
  </si>
  <si>
    <t>BLINDER LIGHT</t>
  </si>
  <si>
    <t xml:space="preserve"> TotalAmt: Twenty eight lakh fifteen thousand four hundred eighty rupees only</t>
  </si>
  <si>
    <t xml:space="preserve">Note : Above Equipments HP with BARODA        </t>
  </si>
  <si>
    <t xml:space="preserve">      GUJARAT GRAMIN BANK, HANSOT BRANCH</t>
  </si>
  <si>
    <t>Jignal Dineshlal Patel</t>
  </si>
  <si>
    <t>Patel Faliyu, Pandavai village</t>
  </si>
  <si>
    <t>Ta Hansot, Di Bharuch 393030</t>
  </si>
  <si>
    <t>Mob No : 9726078575/9979730518</t>
  </si>
  <si>
    <t>Total Amt: Twenty Eight Lac  Fifteen Thousand Four Hundred Eighty Only</t>
  </si>
  <si>
    <t xml:space="preserve">Four lac Twenty Nine Thousand Four Hundred Eighty </t>
  </si>
  <si>
    <t>28/5/2025</t>
  </si>
  <si>
    <t>SDB Diamond Bourse</t>
  </si>
  <si>
    <t xml:space="preserve">Site:Khajod Chowkdi,Surat </t>
  </si>
  <si>
    <t xml:space="preserve">Dream City,B/H Surat International Exhibition and  </t>
  </si>
  <si>
    <t>Convention centre ,Khajod ,Surat</t>
  </si>
  <si>
    <t>24AAVCS2416E1ZD</t>
  </si>
  <si>
    <t xml:space="preserve">SITC of Silec make Phase sequnce relay </t>
  </si>
  <si>
    <t xml:space="preserve">One Thousand Five Hundred Thirty only </t>
  </si>
  <si>
    <t xml:space="preserve">Total Amt:Ten Thousand Thirty only </t>
  </si>
  <si>
    <t xml:space="preserve">New bill banvyu che </t>
  </si>
  <si>
    <t>31/5/2025</t>
  </si>
  <si>
    <t>Service for the Month of may 25</t>
  </si>
  <si>
    <t>One Thousand Three Hundred Twenty  eight  Only</t>
  </si>
  <si>
    <t>Total Amt:Eight Thousand Seven Hundred Three  Only</t>
  </si>
  <si>
    <t xml:space="preserve">Star bazar </t>
  </si>
  <si>
    <t xml:space="preserve">HT braker Servicing </t>
  </si>
  <si>
    <t>Four Thousand Nine Hundred Sixty eight Only</t>
  </si>
  <si>
    <t xml:space="preserve">Total Amt:Thirty two Thousand Five hundred Sixty eight only </t>
  </si>
  <si>
    <t xml:space="preserve">HI tech Marketing </t>
  </si>
  <si>
    <t xml:space="preserve">Shop no.209 SNS Interio Bhatar Althan road </t>
  </si>
  <si>
    <t>Surat -395007</t>
  </si>
  <si>
    <t>24AABFH5705N1ZD</t>
  </si>
  <si>
    <t>Six  Hundred Thirty Only</t>
  </si>
  <si>
    <t>Total Amt:Four Thousand One Hundered Thirty Only</t>
  </si>
  <si>
    <t xml:space="preserve">Anabh jems -Varacha </t>
  </si>
  <si>
    <t xml:space="preserve">Testing and Commissioning of HT VCB and termination of marshling box cable and wiring  ,Relay Setting </t>
  </si>
  <si>
    <t>16/6/2025</t>
  </si>
  <si>
    <t xml:space="preserve">Snowmex Engineers Limited </t>
  </si>
  <si>
    <t>SEL/AAI-Surat/24-25/189</t>
  </si>
  <si>
    <t>Street ,New Delhi 110001</t>
  </si>
  <si>
    <t xml:space="preserve">Surat Airport </t>
  </si>
  <si>
    <t>07AAMCS8717P1ZF</t>
  </si>
  <si>
    <t>Sevan Thousand Two Hundred Only</t>
  </si>
  <si>
    <t>Total Amt:Fourty Sevan Thousand  Two Hundered Only</t>
  </si>
  <si>
    <t>IGST Amt. :</t>
  </si>
  <si>
    <t>IGST
9%</t>
  </si>
  <si>
    <t>IGST
18%</t>
  </si>
  <si>
    <t xml:space="preserve">Servicing and mintenace of ACB </t>
  </si>
  <si>
    <t xml:space="preserve">Savitri Weaving </t>
  </si>
  <si>
    <t>Doctorwadi,B/H Krishna Petrol pump</t>
  </si>
  <si>
    <t xml:space="preserve">Khatodra, Udhna </t>
  </si>
  <si>
    <t xml:space="preserve">Pandesara -Surat </t>
  </si>
  <si>
    <t>24ABNPA1390H1ZX</t>
  </si>
  <si>
    <t xml:space="preserve">Supply of  Re usabl boots  and HT tep </t>
  </si>
  <si>
    <t xml:space="preserve">Servicing and Testing of RMU </t>
  </si>
  <si>
    <t>Two Thousand Four Hundred Thirty Only</t>
  </si>
  <si>
    <t>Total Amt:Fifteen Thousand Nine Hundered Thirty Only</t>
  </si>
  <si>
    <t xml:space="preserve">Supply of MOC 50 Contactor </t>
  </si>
  <si>
    <t xml:space="preserve">Simens make Contector  Coil </t>
  </si>
  <si>
    <t xml:space="preserve">new bill banvyu che </t>
  </si>
  <si>
    <t xml:space="preserve">cradit note lidhi  che </t>
  </si>
  <si>
    <t xml:space="preserve">Tata Teleservices  Limited </t>
  </si>
  <si>
    <t xml:space="preserve">User </t>
  </si>
  <si>
    <t>Block B, 22 th floor,west gate,</t>
  </si>
  <si>
    <t>Ahemedabad,Gujrat -380015</t>
  </si>
  <si>
    <t>24AAACT2438A1ZZ</t>
  </si>
  <si>
    <t>17/6/2025</t>
  </si>
  <si>
    <t>7105111305</t>
  </si>
  <si>
    <t>25/3/2025</t>
  </si>
  <si>
    <t>Site: Ahemdabad /Surat</t>
  </si>
  <si>
    <t xml:space="preserve">Transformer Oil Filteration at City gold </t>
  </si>
  <si>
    <t xml:space="preserve">ACB/VCB servicing at City gold </t>
  </si>
  <si>
    <t xml:space="preserve">Transformer Oil Filteration at Surat </t>
  </si>
  <si>
    <t xml:space="preserve">ACB/VCB servicing at Surat </t>
  </si>
  <si>
    <t xml:space="preserve">Twenty Three Thousand Three Hundred Eighty two only </t>
  </si>
  <si>
    <t>Total Amt:One Lac Fifty Three  Thousand Two Hundred Eighty two only</t>
  </si>
  <si>
    <t>Kalpesh sojitra</t>
  </si>
  <si>
    <t xml:space="preserve">Copper lugs with termination </t>
  </si>
  <si>
    <t xml:space="preserve">16 sq mm Copper wire </t>
  </si>
  <si>
    <t xml:space="preserve">Labour work Installtion charge </t>
  </si>
  <si>
    <t>Sevan  Thousand one Hundered one Only</t>
  </si>
  <si>
    <t>Total Amt: Fourty Six Thousand Five  Hundered Fifty one Only</t>
  </si>
  <si>
    <t xml:space="preserve">Prakhar Estates P.LTD  </t>
  </si>
  <si>
    <t>P.no 821 Road No 8</t>
  </si>
  <si>
    <t xml:space="preserve">GIDC, sachin </t>
  </si>
  <si>
    <t>24AAECP1775C1ZP</t>
  </si>
  <si>
    <t xml:space="preserve">Site: Sachin-Surat </t>
  </si>
  <si>
    <t>22/06/2025</t>
  </si>
  <si>
    <t xml:space="preserve">Supply of Breather with Silica  jell </t>
  </si>
  <si>
    <t xml:space="preserve">Xmer Oil Teting </t>
  </si>
  <si>
    <t>Five  Hundred Fourty   Only</t>
  </si>
  <si>
    <t>Total Amt:Three Thousand Five Hundred Fourty  Only</t>
  </si>
  <si>
    <t xml:space="preserve">The Surat-Tapi  District Co op milk Producers Union LTD </t>
  </si>
  <si>
    <t>Bhajipura</t>
  </si>
  <si>
    <t xml:space="preserve">Sumul Dairy </t>
  </si>
  <si>
    <t>24AAAAS3450M1ZH</t>
  </si>
  <si>
    <t>bhajipura,Surat</t>
  </si>
  <si>
    <t xml:space="preserve">Servicing /Maintenance of  L.T 800 A To 2500  ACB With Relay Testing  </t>
  </si>
  <si>
    <t xml:space="preserve">Servicing /Maintenance of  L.T 3200 A To 4000  ACB With Relay Testing  </t>
  </si>
  <si>
    <t xml:space="preserve">Servicing  of CG make 200/400 A HT breaker with Relay Testing </t>
  </si>
  <si>
    <t xml:space="preserve">Tripping and Closing Time test and Contact Resistance test  for HT VCB </t>
  </si>
  <si>
    <t>Sixteen Thousand one Hundred Fourty Six Only</t>
  </si>
  <si>
    <t>Total Amt:One Lakh Five Thousand Eight Hundred Fourty Six Only</t>
  </si>
  <si>
    <t>13/6/2025</t>
  </si>
  <si>
    <t>28/02/2025</t>
  </si>
  <si>
    <t>U430014204</t>
  </si>
  <si>
    <t xml:space="preserve">Enviro  Control Private LTD </t>
  </si>
  <si>
    <t xml:space="preserve">Enviro House , Nr.Titan Show room </t>
  </si>
  <si>
    <t>Ghod dod Road,Surat</t>
  </si>
  <si>
    <t>24AAACE8700C1Z9</t>
  </si>
  <si>
    <t xml:space="preserve">Site:211 MLD ,karanj </t>
  </si>
  <si>
    <t>23/6/2025</t>
  </si>
  <si>
    <t>23/5/2025</t>
  </si>
  <si>
    <t>16/4/2025</t>
  </si>
  <si>
    <t>ECPL/JJE-ARC-STP-TSTP-WTP/25-26</t>
  </si>
  <si>
    <t xml:space="preserve">Termination of 3.5x3 core Co.Cable </t>
  </si>
  <si>
    <t xml:space="preserve">New Control Fedeer wiring with Nessesory Wiring matirial </t>
  </si>
  <si>
    <t xml:space="preserve">Site:Bamroli Plant </t>
  </si>
  <si>
    <t xml:space="preserve">Termination of 4x150 sq mm  Cop.Cable </t>
  </si>
  <si>
    <t xml:space="preserve">Remove ACB of Bhatar palnt and Installation bamroli plant </t>
  </si>
  <si>
    <t>14/6/2025</t>
  </si>
  <si>
    <t>150 sq mm Bus bar Connector</t>
  </si>
  <si>
    <t xml:space="preserve">120 sq mm AL lugs </t>
  </si>
  <si>
    <t xml:space="preserve">Laying of 3.5x120 sq mm Cable </t>
  </si>
  <si>
    <t xml:space="preserve">Termianation of 3.5x120 sq mm Cable </t>
  </si>
  <si>
    <t xml:space="preserve">Dubble Compressor 63 mm Gland </t>
  </si>
  <si>
    <t xml:space="preserve">PG Gand </t>
  </si>
  <si>
    <t xml:space="preserve">Dubble Compressor 19 mm Gland </t>
  </si>
  <si>
    <t xml:space="preserve">Termianation of 35  sq mm Cop.Cable </t>
  </si>
  <si>
    <t xml:space="preserve">Panel Installation </t>
  </si>
  <si>
    <t xml:space="preserve">35 sq mm Copper luga </t>
  </si>
  <si>
    <t xml:space="preserve">70 sq mm AL. luga </t>
  </si>
  <si>
    <t xml:space="preserve">Site:Bhatar  Plant </t>
  </si>
  <si>
    <t xml:space="preserve">Cable Foult Finding </t>
  </si>
  <si>
    <t xml:space="preserve">Supply of Transfomer oil </t>
  </si>
  <si>
    <t>26/6/2025</t>
  </si>
  <si>
    <t xml:space="preserve">GMDC LTD </t>
  </si>
  <si>
    <t xml:space="preserve">Tadkeswer Lighnite plant </t>
  </si>
  <si>
    <t xml:space="preserve">Mandvi,Surat </t>
  </si>
  <si>
    <t xml:space="preserve">SITC of  120X3 core 11 KV HT End Termination kit </t>
  </si>
  <si>
    <t xml:space="preserve">Five Thousand Four Hundred only </t>
  </si>
  <si>
    <t>Total Amt:Thirty Five Thousand Four Hundred  Only</t>
  </si>
  <si>
    <t>GMDC/TAD/ELE/131/25-26</t>
  </si>
  <si>
    <t>24AAACG7987P1ZT</t>
  </si>
  <si>
    <t>Ananta Electricls</t>
  </si>
  <si>
    <t>Block no.791,Tp no 17,bajarang campus</t>
  </si>
  <si>
    <t xml:space="preserve">puna canalroad,surat </t>
  </si>
  <si>
    <t>Site:Itchapor GIDC</t>
  </si>
  <si>
    <t>24ACDFA3654R1Z2</t>
  </si>
  <si>
    <t xml:space="preserve">Servicing of VCB and Insulator Replacement </t>
  </si>
  <si>
    <t xml:space="preserve">VCB Commissioing at Civil hospital </t>
  </si>
  <si>
    <t xml:space="preserve">One Thousand Three  Hundred Fifty only </t>
  </si>
  <si>
    <t>Total Amt:Eight Thousand Eight Hudred Fifty Only</t>
  </si>
  <si>
    <t xml:space="preserve">Four Hundred Fourty only </t>
  </si>
  <si>
    <t>Total Amt: Two Thousand Sevan Hundred Fourteen Only</t>
  </si>
  <si>
    <t xml:space="preserve">Four Hundred Sixty Eight only </t>
  </si>
  <si>
    <t xml:space="preserve">Total Amt: Three Thousand Sixty Eight Only </t>
  </si>
  <si>
    <t>SITC of 25x3 mm GI Steep</t>
  </si>
  <si>
    <t xml:space="preserve">Ten Thousand Two Hundred Twenty two only </t>
  </si>
  <si>
    <t>Total Amt: Sixty Seven Thousand Twelve Only</t>
  </si>
  <si>
    <t xml:space="preserve">Four Thousand Three Hundred Twenty only </t>
  </si>
  <si>
    <t>Total Amt: Twenty Eight Thousand Three Hundred Twenty Only</t>
  </si>
  <si>
    <t>ECPL/JJE-TO/STP/24-25</t>
  </si>
  <si>
    <t>13/9/2025</t>
  </si>
  <si>
    <t xml:space="preserve">Four  Thousand Four Hundred Thirty nine only </t>
  </si>
  <si>
    <t>Total Amt: Twenty Nine  Thousand one Hundred One Only</t>
  </si>
  <si>
    <t>20/2/2025</t>
  </si>
  <si>
    <t>ECPL/JJE/STP-BH/314/24-25</t>
  </si>
  <si>
    <t xml:space="preserve">Site:Bhesan plant   </t>
  </si>
  <si>
    <t xml:space="preserve">SITC of 100 A C/O Switch With Controller </t>
  </si>
  <si>
    <t xml:space="preserve">Twelve Thousand Sevan Hundred eighty only </t>
  </si>
  <si>
    <t>Total Amt:Eighty Three Thousand Seven Hundred Eighty Only</t>
  </si>
  <si>
    <t>Service for the Month of june -25</t>
  </si>
  <si>
    <t>Two Thousand Fourty four Only</t>
  </si>
  <si>
    <t>Total Amt:Thirteen  Thousand Four Hundred Five Only</t>
  </si>
  <si>
    <t>27/6/2025</t>
  </si>
  <si>
    <t xml:space="preserve">SITC of   11 KV /3Cx120 sqmm  HT Straight Through   Cable joint kit </t>
  </si>
  <si>
    <t>GMDC/TAD/ELE/  453/25-26</t>
  </si>
  <si>
    <t xml:space="preserve">Two Thousand Four Hundred Eighty Four only </t>
  </si>
  <si>
    <t>Total Amt:Sixteen  Thousand Two Hundred Eighty four  Only</t>
  </si>
  <si>
    <t>GMDC/TAD/ELE/  455/25-26</t>
  </si>
  <si>
    <t>24AAACZ3674J1Z2</t>
  </si>
  <si>
    <t xml:space="preserve">Installation charge </t>
  </si>
  <si>
    <t xml:space="preserve">Total Amt:Two Thousand Two Hundred Foury two Only </t>
  </si>
  <si>
    <t>Three Hundred Fourty Two Only</t>
  </si>
  <si>
    <t xml:space="preserve">Repairing and maintenance of HT panle Bas bar Thightness </t>
  </si>
  <si>
    <t>Nine  Hundred Only</t>
  </si>
  <si>
    <t xml:space="preserve">Total Amt:Five  Thousand Nine Hundred Only </t>
  </si>
  <si>
    <t>Destiny Developers</t>
  </si>
  <si>
    <t>Star bazar,Adajan Surat</t>
  </si>
  <si>
    <t>24AAFFD8561N2Z0</t>
  </si>
  <si>
    <r>
      <rPr>
        <b/>
        <sz val="11"/>
        <color rgb="FF000000"/>
        <rFont val="Cambria"/>
        <family val="1"/>
        <scheme val="major"/>
      </rPr>
      <t>GSTIN NO   :</t>
    </r>
    <r>
      <rPr>
        <sz val="11"/>
        <color rgb="FF000000"/>
        <rFont val="Cambria"/>
        <family val="1"/>
        <scheme val="major"/>
      </rPr>
      <t xml:space="preserve"> 24CUOPS3532H1ZD     </t>
    </r>
  </si>
  <si>
    <r>
      <rPr>
        <b/>
        <sz val="11"/>
        <color rgb="FF000000"/>
        <rFont val="Cambria"/>
        <family val="1"/>
        <scheme val="major"/>
      </rPr>
      <t>PAN NO :</t>
    </r>
    <r>
      <rPr>
        <sz val="11"/>
        <color rgb="FF000000"/>
        <rFont val="Cambria"/>
        <family val="1"/>
        <scheme val="major"/>
      </rPr>
      <t xml:space="preserve"> CUOPS3532H</t>
    </r>
  </si>
  <si>
    <r>
      <t>→</t>
    </r>
    <r>
      <rPr>
        <sz val="9"/>
        <color rgb="FF000000"/>
        <rFont val="Cambria"/>
        <family val="1"/>
        <scheme val="major"/>
      </rPr>
      <t>All disputes will be subject to surat jurisdiction only</t>
    </r>
  </si>
  <si>
    <t xml:space="preserve"> </t>
  </si>
  <si>
    <t xml:space="preserve">Supply of Reusable boots </t>
  </si>
  <si>
    <t xml:space="preserve">IRV  Test and Cotting of Bussing </t>
  </si>
  <si>
    <t xml:space="preserve">IRV  Test of Transforemr ,Cable  etc </t>
  </si>
  <si>
    <t xml:space="preserve">Maintence of 11 KV Lucy </t>
  </si>
  <si>
    <t>Three Thousand Four Hundred Twenty Only</t>
  </si>
  <si>
    <t>Total Amt: Twenty Two Thousand Four Hundered Twenty Only</t>
  </si>
  <si>
    <t>24AABAI3336H1Z0</t>
  </si>
  <si>
    <t>ISCON MALL SHOP OWNERS ASSOCIATION</t>
  </si>
  <si>
    <t>Dumas Road ,Surat</t>
  </si>
  <si>
    <t xml:space="preserve">Servicng of RMU </t>
  </si>
  <si>
    <t xml:space="preserve">Emergency Brackdown Visit </t>
  </si>
  <si>
    <t>One Thousand Sevan Hundred Ten Only</t>
  </si>
  <si>
    <t>Total Amt: Eleone  Thousand Two Hundered Ten Only</t>
  </si>
  <si>
    <t xml:space="preserve">SITC of Havells make ATS pole </t>
  </si>
  <si>
    <t xml:space="preserve">Mayur Electric works </t>
  </si>
  <si>
    <t xml:space="preserve">61,71 Sandhya Darshan Apprtment </t>
  </si>
  <si>
    <t xml:space="preserve">Opp.Bulka Bhavan ,adajan Surat </t>
  </si>
  <si>
    <t>24AAOFM4021D1ZP</t>
  </si>
  <si>
    <t xml:space="preserve">One Thousand Two  Hundred sixty only </t>
  </si>
  <si>
    <t>Total Amt: Eight Thousand Two Hundered Sixty  Only</t>
  </si>
  <si>
    <t xml:space="preserve"> Original/Duplicate</t>
  </si>
  <si>
    <t>To,</t>
  </si>
  <si>
    <t>PVR INOX LTD</t>
  </si>
  <si>
    <t>24AAACP4526D1ZW</t>
  </si>
  <si>
    <t>4800273212</t>
  </si>
  <si>
    <t>30/5/2025</t>
  </si>
  <si>
    <t>4800273238</t>
  </si>
  <si>
    <r>
      <t xml:space="preserve">MFM Meter Wiring work  at </t>
    </r>
    <r>
      <rPr>
        <b/>
        <sz val="10"/>
        <color theme="1"/>
        <rFont val="Calibri"/>
        <family val="2"/>
        <scheme val="minor"/>
      </rPr>
      <t>(Inox Surat Vr mall)</t>
    </r>
  </si>
  <si>
    <r>
      <t>CT Replacement</t>
    </r>
    <r>
      <rPr>
        <b/>
        <sz val="10"/>
        <color theme="1"/>
        <rFont val="Calibri"/>
        <family val="2"/>
        <scheme val="minor"/>
      </rPr>
      <t xml:space="preserve"> (PVR Surat Rahulraj mall)</t>
    </r>
  </si>
  <si>
    <t xml:space="preserve">Tapaswini Electricals </t>
  </si>
  <si>
    <t>First Floor,Shop no 126,Gala no .43 P.no-99</t>
  </si>
  <si>
    <t>Vapi silvasa road,Vapi,GIDC</t>
  </si>
  <si>
    <t>24BCXPP5752L1ZQ</t>
  </si>
  <si>
    <t xml:space="preserve">Site: Alok ,Selvasa </t>
  </si>
  <si>
    <t xml:space="preserve">Fifteen Thousand Three Hundred only </t>
  </si>
  <si>
    <t xml:space="preserve">Total Amt:One Lac Three Hundred Only  </t>
  </si>
  <si>
    <t>Servicing and maintenance of Bracker Alok</t>
  </si>
  <si>
    <t>Servicing and maintenance of HT Bhilosa</t>
  </si>
  <si>
    <t xml:space="preserve">63bill no </t>
  </si>
  <si>
    <t>DIPL/VRS/PO-24274</t>
  </si>
  <si>
    <t xml:space="preserve">Supply of Exhaust fan </t>
  </si>
  <si>
    <t xml:space="preserve">Supply of Air filter </t>
  </si>
  <si>
    <t>Five Thousand Eight Hundred Thirty two Only</t>
  </si>
  <si>
    <t>Total Amt:Thirty Eight Thousand Two Hundred Thirty two Only</t>
  </si>
  <si>
    <t>26/5/2025</t>
  </si>
  <si>
    <t>DIPL/VRS/PO-24174</t>
  </si>
  <si>
    <t>Servicing and maintenace of ABB make ACB</t>
  </si>
  <si>
    <t>Sevan Thousand Five Hundred Seventy Eight Only</t>
  </si>
  <si>
    <t>Total Amt:Fourty Nine  Thousand Six Hundred Seventy Eight Only</t>
  </si>
  <si>
    <t>28/04/2025</t>
  </si>
  <si>
    <t>DIPL/VRS/PO-24137</t>
  </si>
  <si>
    <t xml:space="preserve">Supply of 3.5x300 sq mm Al.Armed cable </t>
  </si>
  <si>
    <t xml:space="preserve">Laying of 3.5x300 sq mm Al.Armed cable </t>
  </si>
  <si>
    <t xml:space="preserve">Termiantion of 3.5x300 sq mm cable </t>
  </si>
  <si>
    <t>Twenty Seven Thousand Eight Hundred Fifteen Only</t>
  </si>
  <si>
    <t>Total Amt:One Lac Eighty Two Thousand Three Hundred Fourty five Only</t>
  </si>
  <si>
    <t>Five hundred Fourty only</t>
  </si>
  <si>
    <t xml:space="preserve">Total Amt: Three Thousand Five Hundred Fourty only </t>
  </si>
  <si>
    <t>Nine hundred Fifteen only</t>
  </si>
  <si>
    <t xml:space="preserve">Total Amt: Six  Thousand only </t>
  </si>
  <si>
    <t>shalby Multi Speciality  Hospital</t>
  </si>
  <si>
    <t xml:space="preserve">Shalby Ltd,near,Navyug Collge </t>
  </si>
  <si>
    <t>24AAICS5593B1ZC</t>
  </si>
  <si>
    <t xml:space="preserve">DG Set Controller </t>
  </si>
  <si>
    <t xml:space="preserve">Five Thousand Seven Hundred Sixty only </t>
  </si>
  <si>
    <t xml:space="preserve">Total Amt: Thirty Seven Thousand Seven Hundred Sixty only  </t>
  </si>
  <si>
    <t xml:space="preserve">Surat VR </t>
  </si>
  <si>
    <t>VR Mall surat ,Dumas Road ,Magdalla ,Surat</t>
  </si>
  <si>
    <t>19/7/2025</t>
  </si>
  <si>
    <t xml:space="preserve">Site:Roshnai mill ,Kadodra </t>
  </si>
  <si>
    <t>Servicing and maintenance of ACB and Lock to trip P.B Replacement  at pandesara</t>
  </si>
  <si>
    <t>Nine  Hundred  Only</t>
  </si>
  <si>
    <t>Total Amt: Five Thousand Nine  Hundred Only</t>
  </si>
  <si>
    <t>24AAGPL9593H1ZA</t>
  </si>
  <si>
    <t>Ambica Electricals</t>
  </si>
  <si>
    <t xml:space="preserve">2/110 ,GF Shop no-3,Chandra mahal Apartment </t>
  </si>
  <si>
    <t>Chhowala ni sheri,sagrampura,surat</t>
  </si>
  <si>
    <t>Site:Itchapor tex.park</t>
  </si>
  <si>
    <t xml:space="preserve">Transformer Radiator,box etc.Installation </t>
  </si>
  <si>
    <t>One Thousand Four  Hundred Fourty  Only</t>
  </si>
  <si>
    <t>Total Amt:Nine Thousand Four Hundred  Fourty  Only</t>
  </si>
  <si>
    <t>Juna Jeen Hanuman Tekri,
Opp. Ramji Mandir, Rander, Surat - 5
Mo. No.:- 7016388853.
Email Id:- jayjalaramelectricals@gmail.com</t>
  </si>
  <si>
    <t>Dhananjay Techno-Logics</t>
  </si>
  <si>
    <t xml:space="preserve">265,Laxman nagar,Society </t>
  </si>
  <si>
    <t xml:space="preserve">Puna gam,Surat </t>
  </si>
  <si>
    <t>24AHUPM8847J1ZH</t>
  </si>
  <si>
    <t xml:space="preserve">Site:kim </t>
  </si>
  <si>
    <t xml:space="preserve">Five  Thousand Sevan Hundred Sixty only </t>
  </si>
  <si>
    <t xml:space="preserve">Total Amt:Thierty Sevan Thousand Sevan Hundred Sixty Only  </t>
  </si>
  <si>
    <t>Testing of L&amp;T make ACB ,Relay,CRM etc</t>
  </si>
  <si>
    <t>DR Engineering</t>
  </si>
  <si>
    <t>21/C,Keshav Nagar</t>
  </si>
  <si>
    <t>Bhestan ,Surat</t>
  </si>
  <si>
    <t>24AQDPR3721J1ZV</t>
  </si>
  <si>
    <t>Supply of master relay 110 DC</t>
  </si>
  <si>
    <t xml:space="preserve">Nine Hundred Eighteen  only </t>
  </si>
  <si>
    <t xml:space="preserve">Total Amt:Six Thousand Eighteen  Only  </t>
  </si>
  <si>
    <t>20/7/2025</t>
  </si>
  <si>
    <t>Site:212 MLD New kosad WW</t>
  </si>
  <si>
    <t>SITC of 11 KV re usable Boots</t>
  </si>
  <si>
    <t>SITC of  HT tep</t>
  </si>
  <si>
    <t xml:space="preserve">Servicing and Maintenace of 11 KV GOAB Switch </t>
  </si>
  <si>
    <t xml:space="preserve">Three Thousand Fourty Two only </t>
  </si>
  <si>
    <t>Total Amt:Nineteen  Thousand Nine Hundred Fourty Two Only</t>
  </si>
  <si>
    <t xml:space="preserve">Site:212 MLD Bhatar plant </t>
  </si>
  <si>
    <t xml:space="preserve">laying of 10x4 Al Armed cable </t>
  </si>
  <si>
    <t xml:space="preserve">Digging and Filling of Cable Tranch </t>
  </si>
  <si>
    <t xml:space="preserve">Supply of 16x4 core Al Armed cable joint kit </t>
  </si>
  <si>
    <t xml:space="preserve">Supply of 10x4 core Al Armed cable joint kit </t>
  </si>
  <si>
    <t xml:space="preserve">Installation of 16/10 Sq mm Cable joint kit </t>
  </si>
  <si>
    <t xml:space="preserve">Eight Thousand One only </t>
  </si>
  <si>
    <t>Total Amt:Fifty Two Thousand Four Hundred Fifty One Only</t>
  </si>
  <si>
    <t xml:space="preserve">Site:New office Piplod </t>
  </si>
  <si>
    <t>20/5/2025</t>
  </si>
  <si>
    <t>ECPL/JJE/NEW-office/136/0025-26/25-26</t>
  </si>
  <si>
    <t>Supply of  76 mm 3 mtr Cop. Electrod 250M</t>
  </si>
  <si>
    <t>Supply of  48 mm 2 mtr Cop. Electrod 250M</t>
  </si>
  <si>
    <t>Supply of  48 mm 2 mtr Cop. Electrod 100M</t>
  </si>
  <si>
    <t>Supply of  48 mm 3 mtr Cop. Electrod 100M</t>
  </si>
  <si>
    <t xml:space="preserve">Back Filling Compound </t>
  </si>
  <si>
    <t xml:space="preserve">Installation Work  </t>
  </si>
  <si>
    <t>CGST
2.5%</t>
  </si>
  <si>
    <t>CGST Amt.9% :</t>
  </si>
  <si>
    <t>SGST Amt.9% :</t>
  </si>
  <si>
    <t>CGST Amt.2.5% :</t>
  </si>
  <si>
    <t>SGST Amt.2.5% :</t>
  </si>
  <si>
    <t xml:space="preserve">CGST
</t>
  </si>
  <si>
    <t xml:space="preserve">SGST
</t>
  </si>
  <si>
    <t>Total Amt:Seventy Eight  Thousand Sixty Eight  Only</t>
  </si>
  <si>
    <t xml:space="preserve">Eleone Thousand Seventy One Only </t>
  </si>
  <si>
    <t xml:space="preserve">Site:Bamroli  plant </t>
  </si>
  <si>
    <t xml:space="preserve">Servicng and mintenance  of  1600 A ACB </t>
  </si>
  <si>
    <t>Five Hunred Fourty only</t>
  </si>
  <si>
    <t>Total Amt:Three Thousand Five Hundred Fourty Only</t>
  </si>
  <si>
    <t>28/6/2025</t>
  </si>
  <si>
    <t xml:space="preserve">Site:277 Bhatar  plant </t>
  </si>
  <si>
    <t xml:space="preserve">Supply of 2.5x4 core Copper cable joint kit </t>
  </si>
  <si>
    <t xml:space="preserve">Installation of 25x4 core Cable joint kit </t>
  </si>
  <si>
    <t>Two Thousand Four Hunred Eighty Four only</t>
  </si>
  <si>
    <t>Total Amt:Sixteen  Thousand Two Hundred Eighty Four  Only</t>
  </si>
  <si>
    <t xml:space="preserve">  </t>
  </si>
  <si>
    <t xml:space="preserve">Site:51.12 MLD Vracha plant </t>
  </si>
  <si>
    <t>Servicing and Maintenance of ACB 1600 A</t>
  </si>
  <si>
    <t>Servicing and Maintenance of ACB 2000 A</t>
  </si>
  <si>
    <t>Servicing and Maintenance of ACB 2500 A</t>
  </si>
  <si>
    <t xml:space="preserve">Servicing and Maintenance of VCB </t>
  </si>
  <si>
    <t xml:space="preserve">Supply and making/Installation of 11 KV GOD buas bar modification </t>
  </si>
  <si>
    <t xml:space="preserve">Servicing of 11 KV GOAB Switch </t>
  </si>
  <si>
    <t>Seven Thousand Four Fifty Two only</t>
  </si>
  <si>
    <t>Total Amt:Fourty Eight Thousand Eight Hundred Fifty Two Only</t>
  </si>
  <si>
    <t xml:space="preserve">Site:Dindoli  plant </t>
  </si>
  <si>
    <t xml:space="preserve">SITC of 11 KV PT </t>
  </si>
  <si>
    <t xml:space="preserve">SITC of 11 KV Fuse </t>
  </si>
  <si>
    <t>ECPL/JJE/STP-DIN/511/24-25</t>
  </si>
  <si>
    <t>Six Thousand Four Hundred Sixty Seven only</t>
  </si>
  <si>
    <t>Total Amt:Fourty  Two Thousand Three Hundred Ninety Seven  Only</t>
  </si>
  <si>
    <t>Aqua O&amp;M Services P.LTD</t>
  </si>
  <si>
    <t>Shop.no 710 SNS Platina Beside 
Someshwer enclave</t>
  </si>
  <si>
    <t xml:space="preserve">Near Relince market,Vesu,surat </t>
  </si>
  <si>
    <t>24AASCA4260F1ZQ</t>
  </si>
  <si>
    <t>21/7/2025</t>
  </si>
  <si>
    <t>19/2/2025</t>
  </si>
  <si>
    <t>18/1/2025</t>
  </si>
  <si>
    <t xml:space="preserve">Site:  Bamroli   plant </t>
  </si>
  <si>
    <t>Aqua/JJE//BAM/    601/24-25</t>
  </si>
  <si>
    <t>Supply of 3200 A 4 pole EDO ACB with Cradel as per PO</t>
  </si>
  <si>
    <t xml:space="preserve">Retrofitting Of ACB </t>
  </si>
  <si>
    <t xml:space="preserve">Transporation charge </t>
  </si>
  <si>
    <t>One Lac Ninety Two Thousand Nine Hundred Eighty Only</t>
  </si>
  <si>
    <t>Total Amt: Twelve Lac Sixty five Thousand Ninety two Only</t>
  </si>
  <si>
    <t>25/7/2025</t>
  </si>
  <si>
    <t>24AAAFE6146M1ZE</t>
  </si>
  <si>
    <t xml:space="preserve">Electro Traders </t>
  </si>
  <si>
    <t xml:space="preserve">P no.B 204Road no 6F Udhna Udhyog nagar </t>
  </si>
  <si>
    <t xml:space="preserve">Udhna Surat </t>
  </si>
  <si>
    <t>Two Thousand Four Hundred Ninety four  Only</t>
  </si>
  <si>
    <t>Total Amt: Sixtten  Thousand Three Hundred Fifty five Only</t>
  </si>
  <si>
    <t xml:space="preserve">Installation of  RCCB </t>
  </si>
  <si>
    <t>17/18/19</t>
  </si>
  <si>
    <t>29/7/2025</t>
  </si>
  <si>
    <t xml:space="preserve">Installation,Testing of 240 sq mm joint kit </t>
  </si>
  <si>
    <t xml:space="preserve">Total Amt:Sevan Thousand Four Hundred Thirty four only  </t>
  </si>
  <si>
    <t xml:space="preserve">One Thousand One Hundred Thirty four only </t>
  </si>
  <si>
    <t xml:space="preserve">Supply of 240 Sq  mm cable joint kit </t>
  </si>
  <si>
    <t>30/7/2025</t>
  </si>
  <si>
    <t xml:space="preserve"> 24SRTG04408F1DL</t>
  </si>
  <si>
    <t xml:space="preserve">Gram Panchayat Hajira </t>
  </si>
  <si>
    <t xml:space="preserve">Hazira ,surat </t>
  </si>
  <si>
    <t xml:space="preserve">Surat ,Gujrat </t>
  </si>
  <si>
    <t xml:space="preserve">Repairing of VFD Control panel </t>
  </si>
  <si>
    <t xml:space="preserve">Total GST :Three Hundred Sixty Only </t>
  </si>
  <si>
    <t xml:space="preserve">Total Amt:Two Thousand Three Hundred Sixty only  </t>
  </si>
  <si>
    <t>31/7/2025</t>
  </si>
  <si>
    <t>Service for the Month of july  25</t>
  </si>
  <si>
    <t xml:space="preserve">Laying of 3.5x95 sq mm Al Armed cable </t>
  </si>
  <si>
    <t xml:space="preserve">Termination o 3.5x95 sq mm Al Armed cable </t>
  </si>
  <si>
    <t xml:space="preserve">HT cable termination and modification </t>
  </si>
  <si>
    <t xml:space="preserve">Core Cutting </t>
  </si>
  <si>
    <t>Three  Thousand Nine Hundred Sevanty Eight Only</t>
  </si>
  <si>
    <t>Total Amt:Twenty Six Thousand Sevanty Eight Only</t>
  </si>
  <si>
    <t xml:space="preserve">Prakhr Estatet  P ltd </t>
  </si>
  <si>
    <t>P no 821,GIDC sachin</t>
  </si>
  <si>
    <t xml:space="preserve">Sachin-Surat </t>
  </si>
  <si>
    <t>JULY-271</t>
  </si>
  <si>
    <t xml:space="preserve">Servicing and maintenace of ACB </t>
  </si>
  <si>
    <t xml:space="preserve">Servicing and maintenace /Testing of ACB </t>
  </si>
  <si>
    <t xml:space="preserve">1600 KVA Tr. Oil Filter </t>
  </si>
  <si>
    <t>Four Thousand Eight Hundred Sixty Only</t>
  </si>
  <si>
    <t>Total Amt:Thirty one Thousand Eight  Hundred Sixty Only</t>
  </si>
  <si>
    <t xml:space="preserve">Relay Testing  Micropossesor </t>
  </si>
  <si>
    <t xml:space="preserve">Relay Testing Electromagnatic </t>
  </si>
  <si>
    <t>APMC,surat</t>
  </si>
  <si>
    <t>surat</t>
  </si>
  <si>
    <t xml:space="preserve">Servicing of 11KV VCB </t>
  </si>
  <si>
    <t xml:space="preserve">1000 KVA Tr. Oil Filter </t>
  </si>
  <si>
    <t>five Thousand twenty two Only</t>
  </si>
  <si>
    <t>Total Amt:Thirty two Thousand nine  Hundred twenty two Only</t>
  </si>
  <si>
    <t xml:space="preserve">krushi bazzar </t>
  </si>
  <si>
    <t>Yash petroleum</t>
  </si>
  <si>
    <t>jahangirpura,surat</t>
  </si>
  <si>
    <t>supply of 50w Led light</t>
  </si>
  <si>
    <t xml:space="preserve">emergenency hooter wrining </t>
  </si>
  <si>
    <t>supply of 150w Led light</t>
  </si>
  <si>
    <t>supply of 20w Led light</t>
  </si>
  <si>
    <t xml:space="preserve">earthing testing </t>
  </si>
  <si>
    <t>24AACFY5352R1ZK</t>
  </si>
  <si>
    <t>Total Amt:Twenty three thousand seven Hundred Eight Nine only</t>
  </si>
  <si>
    <t>Thirty Thousand Six hundred twenty Eight Only</t>
  </si>
  <si>
    <t xml:space="preserve">Cinepolis India P LTD </t>
  </si>
  <si>
    <t xml:space="preserve">Imperial Square  Mall </t>
  </si>
  <si>
    <t xml:space="preserve">Hazira Road,surat </t>
  </si>
  <si>
    <t>24AADCC2076J1ZS</t>
  </si>
  <si>
    <t>IN003-0000463570</t>
  </si>
  <si>
    <t>Site:Adajan ,Surat</t>
  </si>
  <si>
    <t>Supply of 48 mm 2 mtrGI Earthing Electrode</t>
  </si>
  <si>
    <t>Supply and Laying of GI
25x3 mm Strep</t>
  </si>
  <si>
    <t>RCC Earthing Chambers</t>
  </si>
  <si>
    <t xml:space="preserve"> supply of 48 mm 3 mtr copper
Coated Earthing Electrode</t>
  </si>
  <si>
    <t>Back filling Compound</t>
  </si>
  <si>
    <t>Installation, Digging and Filling work</t>
  </si>
  <si>
    <t>Supply and laying of copper 25x1 core copper cable</t>
  </si>
  <si>
    <t>CGST Amt. 2.5%:</t>
  </si>
  <si>
    <t>SGST Amt. 2.5%:</t>
  </si>
  <si>
    <t>Net Amt.   :</t>
  </si>
  <si>
    <t>CGST Amt. 9% :</t>
  </si>
  <si>
    <t>SGST Amt. 9%:</t>
  </si>
  <si>
    <t>SGST
2.5%</t>
  </si>
  <si>
    <t>Total Amt:seventy two Thousand five Hundred sixteen Only</t>
  </si>
  <si>
    <t>19/6/25</t>
  </si>
  <si>
    <t>IN003-0000462551</t>
  </si>
  <si>
    <t>Electrical-Testing of OLTC Panel</t>
  </si>
  <si>
    <t>Transformer checking of LT and HT Termination</t>
  </si>
  <si>
    <t>Electrical-Transformer oil</t>
  </si>
  <si>
    <t>Total Amt: seventy six  Thousand four Hundred five  Only</t>
  </si>
  <si>
    <t>Supply, Installation, Testing of Copper Coated 3 mtr Earthing Electrode.</t>
  </si>
  <si>
    <t>Supply,Installation of Back filling
Compound (BFC)</t>
  </si>
  <si>
    <t>Supply and Fixing of RCC chamber</t>
  </si>
  <si>
    <t>Supply,Laying,Termination of
Earthing 25 sq mm Copper Flx wire</t>
  </si>
  <si>
    <t xml:space="preserve"> Six Hundred thirty Only</t>
  </si>
  <si>
    <t xml:space="preserve">Total Amt:four Thousand one Hundred thirty Only </t>
  </si>
  <si>
    <t>P no 06,Bansal House ,Doctorwadi,</t>
  </si>
  <si>
    <t xml:space="preserve">B/H Krishna Petrol pump,Khatodra, Udhna </t>
  </si>
  <si>
    <t>Testing of HT Panel and coating</t>
  </si>
  <si>
    <t>24AAALA0057F1ZU</t>
  </si>
  <si>
    <t>Total Amt:Eighty seven Thousand seven Hundred ninety two Only</t>
  </si>
  <si>
    <t>Thriteen Thousand three hundred ninety two Only</t>
  </si>
  <si>
    <t xml:space="preserve">Agricultural Produce market committee surat </t>
  </si>
  <si>
    <t>Ten Thousand Six Hundred Sixty six Only</t>
  </si>
  <si>
    <t>Total GST :   10666</t>
  </si>
  <si>
    <t>Eleven Thousand six hundred fifty five only</t>
  </si>
  <si>
    <t xml:space="preserve">DB corp LTd Redio Divison </t>
  </si>
  <si>
    <t xml:space="preserve"> M-43,Second Floor,VIP Plaza,Near Khatu </t>
  </si>
  <si>
    <t>shyam Mandir,VIP Road,Althan ,Surat-395007</t>
  </si>
  <si>
    <t>Site:PSS bhatar  , Surat</t>
  </si>
  <si>
    <t> 24AACCM5772G2ZG</t>
  </si>
  <si>
    <t>24AACCM5772G2ZG</t>
  </si>
  <si>
    <t>Site:Kawas  ,Surat</t>
  </si>
  <si>
    <t xml:space="preserve">Infiniti Gases PVT.  LTD </t>
  </si>
  <si>
    <t xml:space="preserve">Hazira RS no 261-1 Hazira Road,surat </t>
  </si>
  <si>
    <t xml:space="preserve">Moar </t>
  </si>
  <si>
    <t>24AABCI2979J1ZC</t>
  </si>
  <si>
    <t>Site:Chikuwadi WW</t>
  </si>
  <si>
    <t>27ALSPP1335N1ZG</t>
  </si>
  <si>
    <t xml:space="preserve">Bharat Electricals </t>
  </si>
  <si>
    <t>Sindhi Colony .P.NO :113 HN 3054</t>
  </si>
  <si>
    <t xml:space="preserve">Nr.GurusangatDarbar,Khamala,Nagur,Maharashtra </t>
  </si>
  <si>
    <t>Site:Air port  ,Surat</t>
  </si>
  <si>
    <t>IGST%</t>
  </si>
  <si>
    <t>CGST
18%</t>
  </si>
  <si>
    <t>Three Thousand  Eight hundred Eighty Eight only</t>
  </si>
  <si>
    <t>Total Amt: Twenty Five Thousand Four Hundred Eighty Eight Only</t>
  </si>
  <si>
    <t>One Thousand Two Hundred Sixty Only</t>
  </si>
  <si>
    <t>Total Amt: Eight Thousand Two Hundred Sixty Only</t>
  </si>
  <si>
    <t>24AAZCS0586K1ZL</t>
  </si>
  <si>
    <t xml:space="preserve">Sids Helth Care  P.lTD </t>
  </si>
  <si>
    <t xml:space="preserve">Majura Khatodra ,Bamroli Road </t>
  </si>
  <si>
    <t xml:space="preserve">NR,Shell Pertol  PUMP,Surat </t>
  </si>
  <si>
    <t xml:space="preserve">DG set Heating problem Checking </t>
  </si>
  <si>
    <t>Sevan Hundred Sevanty Four Only</t>
  </si>
  <si>
    <t>Total Amt: Five  Thousand Sevanty  four Only</t>
  </si>
  <si>
    <t xml:space="preserve">Earthing Testing </t>
  </si>
  <si>
    <t xml:space="preserve">NLS El -Tech Services </t>
  </si>
  <si>
    <t>Shed no.26,Road no-6,TV compoud ,</t>
  </si>
  <si>
    <t xml:space="preserve">Udhna Udhyog nagar ,Surat </t>
  </si>
  <si>
    <t xml:space="preserve">Servicing and maintenace of ACB/VCB at Various Site </t>
  </si>
  <si>
    <t>24ADRPS1068A1ZM</t>
  </si>
  <si>
    <t>Two Thousand Seven Hundred Only</t>
  </si>
  <si>
    <t xml:space="preserve">Total Amt: Seventeen Thousand Sevan Hudred Only </t>
  </si>
  <si>
    <t>Site:Merrout Hotel,Surat</t>
  </si>
  <si>
    <t xml:space="preserve">Aum Electric Engineering P.LTD </t>
  </si>
  <si>
    <t>P.NO:7 Kadiwala Street,</t>
  </si>
  <si>
    <t xml:space="preserve">Opp.Shivram rocessors,Behind Kiran Motors,Khatodra </t>
  </si>
  <si>
    <t>24AAFCA2743N1ZM</t>
  </si>
  <si>
    <t xml:space="preserve">Installation of End Termination kit </t>
  </si>
  <si>
    <t xml:space="preserve">Total Amt: Six Thousand Three Hudred Sevanty two Only </t>
  </si>
  <si>
    <t>Nine Hundred Sevanty Two Only</t>
  </si>
  <si>
    <t xml:space="preserve"> HP Electricals</t>
  </si>
  <si>
    <t>A/11/6 Udhyog nagar,road no. 4</t>
  </si>
  <si>
    <t>Udhna ,Surat</t>
  </si>
  <si>
    <t>24ACHPG7325B1Z4</t>
  </si>
  <si>
    <t xml:space="preserve">Site: Office </t>
  </si>
  <si>
    <t xml:space="preserve">Servicing /Maintenance of ACB and main Pole and michanisam setting at your office </t>
  </si>
  <si>
    <t xml:space="preserve">AFPC  Relay Installation and wiring </t>
  </si>
  <si>
    <t xml:space="preserve">Eight Hundred Ten only </t>
  </si>
  <si>
    <t xml:space="preserve">Total Amt:Five Thousand Three hundred Ten Only </t>
  </si>
  <si>
    <t xml:space="preserve">                                             Electricals</t>
  </si>
  <si>
    <t>RAHULRAJ MALL CO OP SERVICE SOCIETY LTD.</t>
  </si>
  <si>
    <t>Mall Management Office, Basement 1,</t>
  </si>
  <si>
    <t>Rahulraj mall,opp.govardhan haveli,</t>
  </si>
  <si>
    <t>24AADAR6698D1ZA</t>
  </si>
  <si>
    <t>dumas road,Surat, Gujarat</t>
  </si>
  <si>
    <t xml:space="preserve">GST% </t>
  </si>
  <si>
    <t>Servicing/Maintenance of 3/4 pole Mod/EDO L.T 800A TO 2500 ACB</t>
  </si>
  <si>
    <t>Work Comalted 15/3/2025</t>
  </si>
  <si>
    <t xml:space="preserve">Eight Thousand Two Hundred Eight Only </t>
  </si>
  <si>
    <t xml:space="preserve">Total Amt:Fifty Three Thousand Eight Hundred Eight Only </t>
  </si>
  <si>
    <t>Total Amt:fourty three Thousand Five Hundred Ninety  Only</t>
  </si>
  <si>
    <t>Six Thousand Six Hundred Fifty  Only</t>
  </si>
  <si>
    <t>Site: Alok ,vapi</t>
  </si>
  <si>
    <t xml:space="preserve">Servicing and maintenance of Bracker 
Alok vapi,Velson polimer dadra, Selvas </t>
  </si>
  <si>
    <t xml:space="preserve">Nine Thousand Three Hundred Sixty only </t>
  </si>
  <si>
    <t xml:space="preserve">Total Amt:Sixty One Thousand Three Hundred Sixty Only  </t>
  </si>
  <si>
    <t>16/08/2025</t>
  </si>
  <si>
    <t>Nutanvij electricals</t>
  </si>
  <si>
    <t>67A Navjivan Industrial Co.Service Soc.</t>
  </si>
  <si>
    <t xml:space="preserve">BRTS  canal road,Khatodra,Surat </t>
  </si>
  <si>
    <t>24ANLPD9940Q1ZC</t>
  </si>
  <si>
    <t>16/8/2025</t>
  </si>
  <si>
    <t>Site:karanj -kim</t>
  </si>
  <si>
    <r>
      <t xml:space="preserve">Servicing and maintenance of </t>
    </r>
    <r>
      <rPr>
        <b/>
        <sz val="11"/>
        <color theme="1"/>
        <rFont val="Cambria"/>
        <family val="1"/>
        <scheme val="major"/>
      </rPr>
      <t xml:space="preserve"> </t>
    </r>
    <r>
      <rPr>
        <sz val="11"/>
        <color theme="1"/>
        <rFont val="Cambria"/>
        <family val="1"/>
        <scheme val="major"/>
      </rPr>
      <t>ACB</t>
    </r>
  </si>
  <si>
    <t>One Thousand  Eight Hudred  Only</t>
  </si>
  <si>
    <t>Total Amt:Eleone Thousand Eight Hundred Only</t>
  </si>
  <si>
    <t>17/08/2025</t>
  </si>
  <si>
    <t>13/6/2024</t>
  </si>
  <si>
    <t xml:space="preserve">Retrofitting of 2000 A ACB Including old removed </t>
  </si>
  <si>
    <t xml:space="preserve">Retrofitting of 630  A ACB  Including old removed </t>
  </si>
  <si>
    <t xml:space="preserve">Retrofitting of 400  A MCCB   Including old removed </t>
  </si>
  <si>
    <t xml:space="preserve">Retrofitting of 250  A MCCB   Including old removed </t>
  </si>
  <si>
    <t xml:space="preserve">Retrofitting of 125  A MCCB   Including old removed </t>
  </si>
  <si>
    <t>Thirty Three Thousand Six Hundred Fourty two Only</t>
  </si>
  <si>
    <t xml:space="preserve">Total Amt:Two Lac Twenty Thousand Five Hundred Fourty Two Only </t>
  </si>
  <si>
    <t xml:space="preserve">Site:Rander Buster House </t>
  </si>
  <si>
    <t>24/08/2025</t>
  </si>
  <si>
    <t>Kratos Lifestyle</t>
  </si>
  <si>
    <t>14th Floor,1404 Flat no,Rio Emire</t>
  </si>
  <si>
    <t>Adajan Hajira Road,Surat</t>
  </si>
  <si>
    <t>24ABCFK7185K1ZZ</t>
  </si>
  <si>
    <t>Site:kratos club</t>
  </si>
  <si>
    <t>ABB Make 11KV Outdoor RMU</t>
  </si>
  <si>
    <t>Fifty Eight Thousand Five Hundred Only</t>
  </si>
  <si>
    <t xml:space="preserve">Total Amt:Three Lac Eight Three Thousand Five Hundred Only </t>
  </si>
  <si>
    <t>Mail</t>
  </si>
  <si>
    <t>Zeal Aqua Limited</t>
  </si>
  <si>
    <t>Block No 347,Village Orma</t>
  </si>
  <si>
    <t>Olad Dist,Surat,394540</t>
  </si>
  <si>
    <t>Site:zeal aqua</t>
  </si>
  <si>
    <t>24/6/25</t>
  </si>
  <si>
    <t>Omega Product Under Voltage Relases 230V AC</t>
  </si>
  <si>
    <t>Supply,Installation of 11 KV Fuse &amp; Clamp</t>
  </si>
  <si>
    <t>Installation And Wrining charges</t>
  </si>
  <si>
    <t>Rasing Cast Voltage Transformer 11KV</t>
  </si>
  <si>
    <t xml:space="preserve">Total Amt:Thirty One Thousand Two  Hundred Fourty Six Only </t>
  </si>
  <si>
    <t>Four Thousand Seven Hundred Sixty six Only</t>
  </si>
  <si>
    <t>12/2025-26</t>
  </si>
  <si>
    <t>26/8/2025</t>
  </si>
  <si>
    <t>Service for the Month of August   25</t>
  </si>
  <si>
    <t>One Thousand Six  Hundred Ninety Four Only</t>
  </si>
  <si>
    <t>Total Amt:Eleone Thousand One Hundred Ten Only</t>
  </si>
  <si>
    <t xml:space="preserve">Metro Cash &amp; Carry India LTD </t>
  </si>
  <si>
    <t>Plot No.33 Block no 188</t>
  </si>
  <si>
    <t>Surat,Gujrat</t>
  </si>
  <si>
    <t>24AACCM4684P1ZX</t>
  </si>
  <si>
    <t>Site: metro mall,Surat</t>
  </si>
  <si>
    <t xml:space="preserve">ACB servicing </t>
  </si>
  <si>
    <t xml:space="preserve">VCB servicing </t>
  </si>
  <si>
    <t xml:space="preserve">U/V realy </t>
  </si>
  <si>
    <t xml:space="preserve">Space heater </t>
  </si>
  <si>
    <t xml:space="preserve">Oil Filteration </t>
  </si>
  <si>
    <t>Transformer oil</t>
  </si>
  <si>
    <t>Total Amt:Fifty Six Thousand Three Hundred Thirty one Only</t>
  </si>
  <si>
    <t>Eight Thousand Five Hundred Ninety Two Only</t>
  </si>
  <si>
    <t>14/9/2025</t>
  </si>
  <si>
    <t>24AAKFR3513K1Z6</t>
  </si>
  <si>
    <t xml:space="preserve">Raj Enterprise </t>
  </si>
  <si>
    <t>119,heena Arcade,</t>
  </si>
  <si>
    <t xml:space="preserve">GIDC Char Rasta,Vapi </t>
  </si>
  <si>
    <t>Site:L&amp;T ELECTROLYSERS LIMITED (LTEL),Surat</t>
  </si>
  <si>
    <t>Six Hundred Thirty  Only</t>
  </si>
  <si>
    <t>Total Amt:Four Thousand One Hundred Thirty  Only</t>
  </si>
  <si>
    <t>14/5/2025</t>
  </si>
  <si>
    <t>Site:MADELIN ENTERPRISES PRIVATE LIMITED</t>
  </si>
  <si>
    <t xml:space="preserve">ACB Sevicing </t>
  </si>
  <si>
    <t xml:space="preserve">Relay Retrofitting </t>
  </si>
  <si>
    <t>Eleone Thousand Six Hundred Twenty Eight Only</t>
  </si>
  <si>
    <t>Total Amt:Seventy Six Thousand Two Hundred Twenty Eight Only</t>
  </si>
  <si>
    <t xml:space="preserve">Deepak Electricals </t>
  </si>
  <si>
    <t>22/A,Ganga jamna Appt.</t>
  </si>
  <si>
    <t xml:space="preserve">Adajan Patia </t>
  </si>
  <si>
    <t>24AACFD5647C1ZU</t>
  </si>
  <si>
    <t xml:space="preserve">Site: </t>
  </si>
  <si>
    <t>ACB Servicing at Smimmer hospital 28/12/2024</t>
  </si>
  <si>
    <t xml:space="preserve">GOAB Color work at sanjiv  kumar auditorum </t>
  </si>
  <si>
    <t>VCB  Servicing at Smimmer hospital 28/12/2024</t>
  </si>
  <si>
    <t xml:space="preserve">APFC Committioning and connection </t>
  </si>
  <si>
    <t xml:space="preserve">Four Thousand Fifty Only </t>
  </si>
  <si>
    <t xml:space="preserve">Total Amt:Twenty Six Thousand Five Hundred Fifty only </t>
  </si>
  <si>
    <t>14/09/2025</t>
  </si>
  <si>
    <t xml:space="preserve">Transformer Leakage attanding </t>
  </si>
  <si>
    <t xml:space="preserve">Transformer Oil Top up </t>
  </si>
  <si>
    <t xml:space="preserve">Sevan Hundren Two only </t>
  </si>
  <si>
    <t>Total Amt:Four Thousand Six Hundred Two Only</t>
  </si>
  <si>
    <t>WEST COAST FROZEN FOODS PRIVATE LIMITED</t>
  </si>
  <si>
    <t>PLOT NO. 322,323 - VILLAGE ORMA, TALUKA OLPAD,</t>
  </si>
  <si>
    <t>24AABCH5456R1Z3</t>
  </si>
  <si>
    <t>Site : Olpad</t>
  </si>
  <si>
    <t xml:space="preserve"> Checking of Control wiring and Tripping problem Rectification </t>
  </si>
  <si>
    <t>Total Amt:Three  Thousand Five Hundred Fourty Only</t>
  </si>
  <si>
    <t>Synergy Power</t>
  </si>
  <si>
    <t>12D V Park</t>
  </si>
  <si>
    <t xml:space="preserve">Kadodra Road Dumbhal,Surat </t>
  </si>
  <si>
    <t xml:space="preserve">Site : Palsana </t>
  </si>
  <si>
    <t>24ADUFS2943K1ZH</t>
  </si>
  <si>
    <t xml:space="preserve">Supply of 95 sq mm End termintion kit </t>
  </si>
  <si>
    <t>One Thousand Six hundred Ninety Two Only</t>
  </si>
  <si>
    <t>Total Amt:Eleone Thousand Ninety Two Only</t>
  </si>
  <si>
    <t>19/9/2025</t>
  </si>
  <si>
    <t>16/09/2025</t>
  </si>
  <si>
    <t xml:space="preserve">Supply of ACB motor </t>
  </si>
  <si>
    <t xml:space="preserve">Minilek relay </t>
  </si>
  <si>
    <t>Six Thousand Two Hundred Fourty six Only</t>
  </si>
  <si>
    <t>Total Amt:Fourty Thousand Nine Hundred Fifty  Only</t>
  </si>
  <si>
    <t>23/9/2025</t>
  </si>
  <si>
    <t xml:space="preserve">Vasudev Power P lTD </t>
  </si>
  <si>
    <t>28/8/2025</t>
  </si>
  <si>
    <t>VPPL/25-26-000012</t>
  </si>
  <si>
    <t>Site: Vaniya Corporation P.LTd,Surat</t>
  </si>
  <si>
    <t>24AADCV3360L1Z8</t>
  </si>
  <si>
    <t>Two Thousand Eight Hundred Eighty Only</t>
  </si>
  <si>
    <t>Total Amt:Eighteen Thousand Eight Hundred Eighty Only</t>
  </si>
  <si>
    <t>Divya Electricals</t>
  </si>
  <si>
    <t xml:space="preserve">405-406, 4th Floor,Sankalp Buld.Nr.Police chpwki </t>
  </si>
  <si>
    <t xml:space="preserve">Nanpura </t>
  </si>
  <si>
    <t>24ASMPS9279D1Z5</t>
  </si>
  <si>
    <t xml:space="preserve">Site:surat </t>
  </si>
  <si>
    <t>FIRST FLOOR, 01, UMIYA NIWAS,NR. RESHAM BHAVAN</t>
  </si>
  <si>
    <t>LAL DARWAJA, STATION ROAD,</t>
  </si>
  <si>
    <t>Testing of Relay ,Transformer etc</t>
  </si>
  <si>
    <t>24/9/2025</t>
  </si>
  <si>
    <t>DIPL/VRS/PO-25062</t>
  </si>
  <si>
    <t xml:space="preserve">Supply of 3.5x50 sq mm armed cable </t>
  </si>
  <si>
    <t xml:space="preserve">Laying of 3.5x50 sq mm armed cable </t>
  </si>
  <si>
    <t xml:space="preserve">100 A MCCB </t>
  </si>
  <si>
    <t xml:space="preserve">Termination work </t>
  </si>
  <si>
    <t xml:space="preserve">Transportation </t>
  </si>
  <si>
    <t xml:space="preserve">Wiring of KWH meter </t>
  </si>
  <si>
    <t>Ten  Thousand Sixty two Only</t>
  </si>
  <si>
    <t>Total Amt:Sixty five Thousand nine Hundred Sixty Sevan Only</t>
  </si>
  <si>
    <t xml:space="preserve">Servicing of ACB at palsana </t>
  </si>
  <si>
    <t xml:space="preserve">VCB Commissioing and marshling wiring at mota varach </t>
  </si>
  <si>
    <t xml:space="preserve">Relay programing at kasanagar </t>
  </si>
  <si>
    <t xml:space="preserve">Nine Hundred Ninety only </t>
  </si>
  <si>
    <t xml:space="preserve">ACB Servicng at Fourseeson </t>
  </si>
  <si>
    <t>ACB Tripping problem at maruti mill</t>
  </si>
  <si>
    <t>Total Amt: Five Thousand Three Hundred Ten Only</t>
  </si>
  <si>
    <t xml:space="preserve">Eight Hundred Ten Only  </t>
  </si>
  <si>
    <t>Total Amt:Sixty Thousand Four Hudred Ninety Only</t>
  </si>
  <si>
    <t>28/9/2025</t>
  </si>
  <si>
    <t>Service for the Month of September    25</t>
  </si>
  <si>
    <t>Two Thousand Five Hundred  Two Only</t>
  </si>
  <si>
    <t>.</t>
  </si>
  <si>
    <t>GMDC/TAD/ELE/1450/24-25</t>
  </si>
  <si>
    <t>12.12.2024</t>
  </si>
  <si>
    <t xml:space="preserve">Servicing and testing of VCB </t>
  </si>
  <si>
    <t xml:space="preserve">Servicing and testing of ACB </t>
  </si>
  <si>
    <t xml:space="preserve">Testing of MCCB  </t>
  </si>
  <si>
    <t xml:space="preserve">Testing of ELR </t>
  </si>
  <si>
    <t>Fourty Five Thousand Ninty Seven Only</t>
  </si>
  <si>
    <t>Total Amt:Two Lac Ninty Five Thousand Six Hundred Thirty Seven Only</t>
  </si>
  <si>
    <t xml:space="preserve">Supply of  12 stage APFC relay </t>
  </si>
  <si>
    <t>Heavy duty capacitor box type</t>
  </si>
  <si>
    <t xml:space="preserve">lugs and wire </t>
  </si>
  <si>
    <t xml:space="preserve">Wiring and Labour work </t>
  </si>
  <si>
    <t xml:space="preserve">63 A 10 KA MCB 3 pole </t>
  </si>
  <si>
    <t xml:space="preserve">Auto manuall Switch </t>
  </si>
  <si>
    <t>Six Thousand Two  Hundred Thirty Five  only</t>
  </si>
  <si>
    <t xml:space="preserve">Total Amt: Fourty  Thousand Eight  hundred Sevanty Eight only </t>
  </si>
  <si>
    <t xml:space="preserve">Site: Karanj  plant </t>
  </si>
  <si>
    <t>Servicing and Maintenance of ACB 630 A</t>
  </si>
  <si>
    <t>Servicing and Maintenance of ACB 800 A</t>
  </si>
  <si>
    <t>Servicing and Maintenance of ACB 1000 A</t>
  </si>
  <si>
    <t>Servicing and Maintenance of ACB 1250 A</t>
  </si>
  <si>
    <t>Servicing and Maintenance of ACB 5000 A</t>
  </si>
  <si>
    <t xml:space="preserve">PCC/MCC maintence </t>
  </si>
  <si>
    <t xml:space="preserve">VCB HT panel Maintenance </t>
  </si>
  <si>
    <t xml:space="preserve">400 sq mm Cable Foult Finding </t>
  </si>
  <si>
    <t>13/14</t>
  </si>
  <si>
    <t>Fourty Eight Thousand Sevan Hundred  Eight only</t>
  </si>
  <si>
    <t>Total Amt:Three Lac Nineteen  Thousand Three Hundred Eight Only</t>
  </si>
  <si>
    <t xml:space="preserve">Site: Bhatar  plant </t>
  </si>
  <si>
    <t xml:space="preserve">Emergency Visit Fedder problem </t>
  </si>
  <si>
    <t>Ninety  only</t>
  </si>
  <si>
    <t>Total Amt:Five Hundred Ninety Only</t>
  </si>
  <si>
    <t>22/8/2025</t>
  </si>
  <si>
    <t xml:space="preserve">Site: Anjana  plant </t>
  </si>
  <si>
    <t xml:space="preserve">Remove KWH meter </t>
  </si>
  <si>
    <t>52/17</t>
  </si>
  <si>
    <t>One Hundred Eighty  only</t>
  </si>
  <si>
    <t>Total Amt:One Thousand One Hundred Eighty Only</t>
  </si>
  <si>
    <t xml:space="preserve">11 KV VCB Panel Maintence </t>
  </si>
  <si>
    <t>Four  Thousand Fourty Three only</t>
  </si>
  <si>
    <t>Total Amt:Twenty Six  Thousand Five Hunded Nine Only</t>
  </si>
  <si>
    <t xml:space="preserve">VFD Fedder Cheking </t>
  </si>
  <si>
    <t xml:space="preserve">Supply of  3.5x400 sq mm Cable joint kit </t>
  </si>
  <si>
    <t xml:space="preserve">Installation,Testing  of 3.5x400 sq mm Cable joint kit </t>
  </si>
  <si>
    <t xml:space="preserve">Cable fault finding </t>
  </si>
  <si>
    <t xml:space="preserve">Digging and Filling work </t>
  </si>
  <si>
    <t xml:space="preserve">Site: Khajod plant </t>
  </si>
  <si>
    <t xml:space="preserve">Site: Bhatar   plant </t>
  </si>
  <si>
    <t xml:space="preserve">Site: Valakh   plant </t>
  </si>
  <si>
    <t xml:space="preserve">Site: Dindoli  plant </t>
  </si>
  <si>
    <t>15/17</t>
  </si>
  <si>
    <t>Five Thousand Two Hundred Ninety Two only</t>
  </si>
  <si>
    <t>Total Amt:Thirty Four Thousand Six Hundred Ninety Two  Only</t>
  </si>
  <si>
    <t xml:space="preserve">Transformer Maintenance </t>
  </si>
  <si>
    <t xml:space="preserve">Transformer Testing  and Coatting </t>
  </si>
  <si>
    <t>Sevan Hundred Twenty  only</t>
  </si>
  <si>
    <t>Total Amt:Four Thousand Sevan Hundred Twenty Only</t>
  </si>
  <si>
    <t>STP SURAT o&amp;m MECH/W/518</t>
  </si>
  <si>
    <t>26/11/2025</t>
  </si>
  <si>
    <t>255 MLD Singanpor Swage Tretment plant -SMC</t>
  </si>
  <si>
    <t>Servicing  and maintenace of ACB 800 to 2500  A</t>
  </si>
  <si>
    <t xml:space="preserve">Servicing and maintenance of VCB with all relay testing </t>
  </si>
  <si>
    <t>Twenty Eight Thousand Nine Hundred Thirty Three Only</t>
  </si>
  <si>
    <t xml:space="preserve">Total Amt:one Lac Eighty Nine Thousand Six Hundred Sevanty Three Only </t>
  </si>
  <si>
    <t xml:space="preserve">Kiran Medical College </t>
  </si>
  <si>
    <t>24AAMTS5310F1ZM</t>
  </si>
  <si>
    <t>At.Vadod ,Dist.Surat</t>
  </si>
  <si>
    <t>SO/KMC/MNT/2025/020</t>
  </si>
  <si>
    <t xml:space="preserve">Site:Vadod gam ,Olpad </t>
  </si>
  <si>
    <t xml:space="preserve">Servicing and and maintence of 11KV RMU </t>
  </si>
  <si>
    <t>Servicing and and maintence of ACB</t>
  </si>
  <si>
    <t xml:space="preserve">Servicing and and maintence of PCC panel </t>
  </si>
  <si>
    <t>Five Thousnd Six Hundred Sevanty   only</t>
  </si>
  <si>
    <t>Total Amt:Thirty sevan Thousand One Hundred Sevanty Only</t>
  </si>
  <si>
    <t xml:space="preserve">Dhriti Fashion </t>
  </si>
  <si>
    <t xml:space="preserve">F-3151,3rd flore   RRTM market </t>
  </si>
  <si>
    <t xml:space="preserve">Site:Surat </t>
  </si>
  <si>
    <t>24AATFD6263B1ZH</t>
  </si>
  <si>
    <t xml:space="preserve">Supply of 25x4 core Alu.armed cable </t>
  </si>
  <si>
    <t>Lying of 25x4 core Alu.armed cable</t>
  </si>
  <si>
    <t xml:space="preserve">Termination of Cable </t>
  </si>
  <si>
    <t xml:space="preserve">SITC of 100  A MCCB with Encloser </t>
  </si>
  <si>
    <t>SITC of 100 A MCCB with ELR</t>
  </si>
  <si>
    <t>Ten Thousnd Four Hundred Twenty only</t>
  </si>
  <si>
    <t>Total Amt:Sixty Eight  Thousand Three  Hundred Ten Only</t>
  </si>
  <si>
    <t xml:space="preserve">Universal Electricals </t>
  </si>
  <si>
    <t>4/4286 Danapith,Near Moti cinema</t>
  </si>
  <si>
    <t xml:space="preserve">Begampura,Surat </t>
  </si>
  <si>
    <t xml:space="preserve">Site:Itchapor GIDC, Surat </t>
  </si>
  <si>
    <t xml:space="preserve">Supply of 95 sq mm 11KV ID End termination kit </t>
  </si>
  <si>
    <t xml:space="preserve">Supply of 95 sq mm 11KV OD End termination kit </t>
  </si>
  <si>
    <t>One  Thousnd Eight Hundred Twenty Nine only</t>
  </si>
  <si>
    <t>Total Amt:Eleone  Thousand Nine Hundred Ninety Four Only</t>
  </si>
  <si>
    <t xml:space="preserve">Zapa bazar </t>
  </si>
  <si>
    <t>One Thousand Four  Hundred Fourty Only</t>
  </si>
  <si>
    <t>Total Amt:Nine Thousand Four  Hundred Fourty Only</t>
  </si>
  <si>
    <t>14/10/2025</t>
  </si>
  <si>
    <t>Bipendu Fabricators</t>
  </si>
  <si>
    <t xml:space="preserve">1St Floor,Royal Plaza,Opp. Akhand Anand Collage </t>
  </si>
  <si>
    <t>Ved Road, Surat</t>
  </si>
  <si>
    <t xml:space="preserve">Mota Varacha WDS </t>
  </si>
  <si>
    <t>24AASFB5594Q1ZH</t>
  </si>
  <si>
    <t>Labour Work for Transformer Remove ,Installation,Cable laying,Termination,Oil Filter ,Testing work ,Earthing work etc.</t>
  </si>
  <si>
    <t xml:space="preserve">Supply of 11 KV HT 185 sq mm End Termination kit </t>
  </si>
  <si>
    <t xml:space="preserve">Insatllation,Testing of End termintion kit </t>
  </si>
  <si>
    <t>SITC of Control cable Joint kit at Variyav WW</t>
  </si>
  <si>
    <t>Thirteen Thousand Eight  Hundred Sevanty Only</t>
  </si>
  <si>
    <t>Total Amt:Ninety Thousand Nine Hundred Thirty one Only</t>
  </si>
  <si>
    <t xml:space="preserve">VCB Maintenance and Relay Testing at Zapa bazar </t>
  </si>
  <si>
    <t>Ginza industries limited</t>
  </si>
  <si>
    <t xml:space="preserve">Plot No. B1,B2, Gujrat Eco Textile Park Palsana </t>
  </si>
  <si>
    <t>Surat,394315</t>
  </si>
  <si>
    <t>24AABCG0675P1ZD</t>
  </si>
  <si>
    <t>GSTIN NO:  24CUOPS3532H1ZD</t>
  </si>
  <si>
    <t>Rajhans Hospitality Private Limited</t>
  </si>
  <si>
    <t>Surat,395007</t>
  </si>
  <si>
    <t>Vesu Magdalla,dumas Road</t>
  </si>
  <si>
    <t>Rajhans Montessa</t>
  </si>
  <si>
    <t xml:space="preserve">Servicing, Maintenance  of  LBS With IRV Test </t>
  </si>
  <si>
    <t xml:space="preserve">HT panel maintenance and Tightness Checking  with IRV test </t>
  </si>
  <si>
    <t xml:space="preserve">Supply, Installation ,Wiring of TNC switch </t>
  </si>
  <si>
    <t xml:space="preserve">Servicing, Maintenance and Over hauling of VCB With Microprocessor and Transformer Protection Relay Testing </t>
  </si>
  <si>
    <t>DIPL/VRS/PO-25592</t>
  </si>
  <si>
    <t>Two Thousand Five Hundred Twenty Only</t>
  </si>
  <si>
    <t>Total Amt: sixteen Thousand Five Hundred Twenty  Only</t>
  </si>
  <si>
    <t>24AAFCR2059G1ZJ</t>
  </si>
  <si>
    <t xml:space="preserve">Sevan Thousand Twenty Only </t>
  </si>
  <si>
    <t xml:space="preserve">Total Amt:Fourty Six Thusand Twenty Only </t>
  </si>
  <si>
    <t xml:space="preserve">Site : VR MALL -Tira Shop </t>
  </si>
  <si>
    <t>Supply and laying of 4x16 sq. mm aluminum Armed cable in Tira shop</t>
  </si>
  <si>
    <t xml:space="preserve">Cable laying </t>
  </si>
  <si>
    <t xml:space="preserve">Tearmination </t>
  </si>
  <si>
    <t xml:space="preserve">Jay Matadi Fashions P.LTD </t>
  </si>
  <si>
    <t>Surat Bardoli road ,Plot no:36-37-38</t>
  </si>
  <si>
    <t>Tatithya ,Kadodra Surat</t>
  </si>
  <si>
    <t>24AABCA9842L1ZG</t>
  </si>
  <si>
    <t xml:space="preserve">Servicing and mintence of LT ACB </t>
  </si>
  <si>
    <t xml:space="preserve">Nine Hundred Only </t>
  </si>
  <si>
    <t xml:space="preserve">Total Amt:Five Thousand Nine Hundred Only </t>
  </si>
  <si>
    <t xml:space="preserve">Servicing and maintence of ACB </t>
  </si>
  <si>
    <t xml:space="preserve">Servicing and maintence of VCB </t>
  </si>
  <si>
    <t xml:space="preserve">Site: Hojiwala </t>
  </si>
  <si>
    <t>Servicing and maintenance of ACB at Hojiwala</t>
  </si>
  <si>
    <t>Three  Hundred ninety Six Only</t>
  </si>
  <si>
    <t>Total Amt: Two Thousand Five Hundred Ninety Six Only</t>
  </si>
  <si>
    <t>24AAUFP8136A1Z6</t>
  </si>
  <si>
    <t xml:space="preserve">Power tech Electricals </t>
  </si>
  <si>
    <t xml:space="preserve">Site: Warri solar </t>
  </si>
  <si>
    <t xml:space="preserve">Transformer Testing </t>
  </si>
  <si>
    <t>One Thousand Nine Hundred Eighty Only</t>
  </si>
  <si>
    <t>Total Amt: Twalve Thousand Nine Hundred Eighty Only</t>
  </si>
  <si>
    <t>13/11/2025</t>
  </si>
  <si>
    <t xml:space="preserve">Site: Chakradhar Industris ,palsana </t>
  </si>
  <si>
    <t>Nine Hundred Only</t>
  </si>
  <si>
    <t>Total Amt: Five  Thousand Nine Hundred Only</t>
  </si>
  <si>
    <t>19/11/2025</t>
  </si>
  <si>
    <t>ELIPL/GTXN/A Civil/W022/NOA12/43</t>
  </si>
  <si>
    <t xml:space="preserve">SITC of GI Earting Electrod </t>
  </si>
  <si>
    <t xml:space="preserve">Supply of earthing Streep </t>
  </si>
  <si>
    <t xml:space="preserve">50x3.5 sq mm Al.Armed cable </t>
  </si>
  <si>
    <t xml:space="preserve">1.5x4  core Copper .Armed cable </t>
  </si>
  <si>
    <t xml:space="preserve">Termiantion of 50x3.5 sq mm cable </t>
  </si>
  <si>
    <t xml:space="preserve">Termiantion of 4x1.5 sq mm cable </t>
  </si>
  <si>
    <t xml:space="preserve">16 mm Copper cable </t>
  </si>
  <si>
    <t xml:space="preserve">Labour Charge </t>
  </si>
  <si>
    <t>Six Thousand Sevan Hundred Sevanty Eight Only</t>
  </si>
  <si>
    <t>18/11/2025</t>
  </si>
  <si>
    <t xml:space="preserve">Supply  of Shunt Trip Realases </t>
  </si>
  <si>
    <t xml:space="preserve">Installation and wiring of Realases </t>
  </si>
  <si>
    <t>Total Amt: Fourty Four Thousand Four Hundred Thirty Eight Only</t>
  </si>
  <si>
    <t xml:space="preserve">Six Hundred Ninety Five  Only </t>
  </si>
  <si>
    <t xml:space="preserve">Total Amt:Four Thousand Five Hundred Fifty Eighty  Only </t>
  </si>
  <si>
    <t>DFCCIL New Gothangam Gati Shakti cargo Terminals,</t>
  </si>
  <si>
    <t xml:space="preserve">New Gothangam Railway Station,Gothan,surat </t>
  </si>
  <si>
    <t xml:space="preserve">Emirates Logistic India  P. LTD </t>
  </si>
  <si>
    <t>24AAOCS0189F2Z7</t>
  </si>
  <si>
    <t xml:space="preserve">Supply  of Under voltage  Realases </t>
  </si>
  <si>
    <t xml:space="preserve">IRV test of Power   185 sq mm cable </t>
  </si>
  <si>
    <t xml:space="preserve">Modification of Control wiring </t>
  </si>
  <si>
    <t>60/61</t>
  </si>
  <si>
    <t>One Thousand Three  Hundred Eighty Nine Only</t>
  </si>
  <si>
    <t>Total Amt:Nine Thousand One Hundred Sevan Only</t>
  </si>
  <si>
    <t>21/11/2025</t>
  </si>
  <si>
    <t>20/11/2025</t>
  </si>
  <si>
    <t xml:space="preserve">Site:Piplod, New Office </t>
  </si>
  <si>
    <t xml:space="preserve">Supply of 2.5x4 core copper cable </t>
  </si>
  <si>
    <t xml:space="preserve">Laying and connection of cable </t>
  </si>
  <si>
    <t xml:space="preserve">Site:Bhatar  plant </t>
  </si>
  <si>
    <t xml:space="preserve">Servicing and maintenece of 630 A ACB </t>
  </si>
  <si>
    <t xml:space="preserve">Servicing and maintenece of 1250 A ACB </t>
  </si>
  <si>
    <t xml:space="preserve">Servicing and maintenece of 2000 A ACB </t>
  </si>
  <si>
    <t xml:space="preserve">Servicing and maintenece of 3200 A ACB </t>
  </si>
  <si>
    <t xml:space="preserve">Servicing and maintenece of 4000 A ACB </t>
  </si>
  <si>
    <t xml:space="preserve">Servicing and maintenece of 11 KV VCB </t>
  </si>
  <si>
    <t>Total Amt:One Lac Ten Thousand Ninety Four  Only</t>
  </si>
  <si>
    <t xml:space="preserve">Sixteen Thousand Sevan Hundred Ninety Four only </t>
  </si>
  <si>
    <t xml:space="preserve">Site:Bamroli   plant </t>
  </si>
  <si>
    <t xml:space="preserve">SITC of 8" Exsust fan </t>
  </si>
  <si>
    <t xml:space="preserve">SITC of 8" Exsust fan Filter </t>
  </si>
  <si>
    <t>Supply of 63/75 mm DWC Pipe</t>
  </si>
  <si>
    <t xml:space="preserve">Termination of 3.5x300 sq mm cable </t>
  </si>
  <si>
    <t xml:space="preserve">Three  Hundred Sixty Sevan only </t>
  </si>
  <si>
    <t>Total Amt: Two Thousand Four Hundred Sevan Only</t>
  </si>
  <si>
    <t>24/09/2025</t>
  </si>
  <si>
    <t>22/08/2025</t>
  </si>
  <si>
    <t xml:space="preserve">Laying of 300 sq mm cable </t>
  </si>
  <si>
    <t xml:space="preserve">Loading and Installation of PCC panel </t>
  </si>
  <si>
    <t xml:space="preserve">Remove 3 mtr Old earthing  Electrod </t>
  </si>
  <si>
    <t xml:space="preserve">Installation of  3 mtr  earthing  Electod </t>
  </si>
  <si>
    <t xml:space="preserve">Termination of 3.5x300 sq mm Cable with matirial </t>
  </si>
  <si>
    <t xml:space="preserve">Supply of 63 mm Dubble Compreson Gland </t>
  </si>
  <si>
    <t xml:space="preserve">150 sq mm Coppper cable Termiantion with gland and lugs </t>
  </si>
  <si>
    <t xml:space="preserve">SITC of 16 mm Copper Single core  cable </t>
  </si>
  <si>
    <t xml:space="preserve">SITC of  35 mm Copper Single core  cable </t>
  </si>
  <si>
    <t>PVC gland 28 mm</t>
  </si>
  <si>
    <t xml:space="preserve">MCCB box Installation </t>
  </si>
  <si>
    <t xml:space="preserve">SITC of 2 mtr Copper Earthing Electrod with BFC and RCC Chembers </t>
  </si>
  <si>
    <t>201/121</t>
  </si>
  <si>
    <t xml:space="preserve">SITC of 3 mtr Copper Earthing Electrod with BFC </t>
  </si>
  <si>
    <t xml:space="preserve">Chemical Bag </t>
  </si>
  <si>
    <t xml:space="preserve">Site:Valakh   plant </t>
  </si>
  <si>
    <t xml:space="preserve">SITC of 48 mm Coppper earthing Electrod with RCC chembers </t>
  </si>
  <si>
    <t xml:space="preserve">SITC of 16 sq mm 1 core copper cable </t>
  </si>
  <si>
    <t xml:space="preserve">Site:Karanj   plant </t>
  </si>
  <si>
    <t xml:space="preserve">SITC of 40x6 GI Earthing Streep </t>
  </si>
  <si>
    <t xml:space="preserve">LT panel Testing </t>
  </si>
  <si>
    <t>24/21</t>
  </si>
  <si>
    <t xml:space="preserve">Cable Foult Finding with Foult Finding Machine </t>
  </si>
  <si>
    <t xml:space="preserve">Cable joint kit 2.5x3 core  Copper </t>
  </si>
  <si>
    <t xml:space="preserve">Cable joint kit 2.5x5 core  Copper </t>
  </si>
  <si>
    <t xml:space="preserve">Cable joint kit 1.5x2 core  Copper </t>
  </si>
  <si>
    <t xml:space="preserve">Installation ,testing of Cable joint kit </t>
  </si>
  <si>
    <t xml:space="preserve">earthing Testing </t>
  </si>
  <si>
    <t xml:space="preserve">Site:Bamroli plant </t>
  </si>
  <si>
    <t>180/181</t>
  </si>
  <si>
    <t xml:space="preserve">Supply of Siemens make 1600 A ACB Jow Contact </t>
  </si>
  <si>
    <t>24ABOFA4210B1Z4</t>
  </si>
  <si>
    <t xml:space="preserve">Adarsh Electric works </t>
  </si>
  <si>
    <t xml:space="preserve">C-Block,805 Manubhai Tower </t>
  </si>
  <si>
    <t>Opp. MS University Sayajigunj.</t>
  </si>
  <si>
    <t xml:space="preserve">Site:Vadodra </t>
  </si>
  <si>
    <t xml:space="preserve">Servicing and Maintenance of VCB and relay Testing </t>
  </si>
  <si>
    <t xml:space="preserve">Testing of Thermal Relay </t>
  </si>
  <si>
    <t xml:space="preserve">Two Thousand One Hundred Fourty Two only </t>
  </si>
  <si>
    <t>Total Amt:Fourty Thousand Fourty Two Only</t>
  </si>
  <si>
    <t>hjk</t>
  </si>
  <si>
    <t>Cuttiing and Installation/ testing of  fan</t>
  </si>
  <si>
    <t xml:space="preserve">Cuttiing and Installation  of  fan Filter </t>
  </si>
  <si>
    <t xml:space="preserve">Four Thousand Sevan Hundred Eight only </t>
  </si>
  <si>
    <t>Total Amt:Thirty Thousand Eight Hundred Sixty Nine  Only</t>
  </si>
  <si>
    <t xml:space="preserve">Three Thousand Eight Hundred Sevanty Nine only </t>
  </si>
  <si>
    <t>Total Amt:Twenty Five Thousand Four  Hundred Twenty nine  Only</t>
  </si>
  <si>
    <t>24/11/2025</t>
  </si>
  <si>
    <t xml:space="preserve">Eight  Hundred Twenty Nine only </t>
  </si>
  <si>
    <t>Total Amt:Five Thousand Four Hundred Fourty  Only</t>
  </si>
  <si>
    <t xml:space="preserve">Twenty Five Thousand Five Hundred Only </t>
  </si>
  <si>
    <t>Total Amt:One Lac Sixty Sevan  Thousand One Hundred Sixty Nine Only</t>
  </si>
  <si>
    <t xml:space="preserve">Twelve Thousand Two Hundred Sixty One only </t>
  </si>
  <si>
    <t>Total Amt:Eighty Thousand  Three Hundred Sevanty One  Only</t>
  </si>
  <si>
    <t xml:space="preserve">Supply of DO  wire Copper </t>
  </si>
  <si>
    <t xml:space="preserve">Two Hundred Eighty Eight only </t>
  </si>
  <si>
    <t>Total Amt:One  Thousand Eight Hundred Eighty Eight  Only</t>
  </si>
  <si>
    <t xml:space="preserve">Two Thousand Three Hundred Four only </t>
  </si>
  <si>
    <t>Total Amt:Fifteen  Thousand One Hundred Four Only</t>
  </si>
  <si>
    <t>18/9/2025</t>
  </si>
  <si>
    <t xml:space="preserve">Site:Piplod New Office </t>
  </si>
  <si>
    <t xml:space="preserve">Supply of 70 mm Single core  Copper  cable </t>
  </si>
  <si>
    <t xml:space="preserve">Three Thousand Sevan Hundred Sixty Two  only </t>
  </si>
  <si>
    <t>Total Amt:Twenty Four Thousand Six Hundred Sixty Two Only</t>
  </si>
  <si>
    <t>Service for the Month of Nov  25</t>
  </si>
  <si>
    <t>Six Hundred Eighty Six Only</t>
  </si>
  <si>
    <t xml:space="preserve">Total Amt: Four Thousand Four Hundred Ninety Six only </t>
  </si>
  <si>
    <t xml:space="preserve">Total Amt: Twelve Thousand Nine Hundred Eighty Only </t>
  </si>
  <si>
    <t>One Thousand Nine  Hundred Eighty Only</t>
  </si>
  <si>
    <t>Juna Jeen Hanuman Tekri,
Opp. Ramji Mandir, Rander, Surat - 5
Email Id:- jayjalaramelectricals@gmail.com</t>
  </si>
  <si>
    <t>DIPL/VRS/PO-24179</t>
  </si>
  <si>
    <t xml:space="preserve">Supply  of AVR </t>
  </si>
  <si>
    <t xml:space="preserve">Installation,Wiring of AVR </t>
  </si>
  <si>
    <t xml:space="preserve">Six Thousand Four Hundred Eighty only </t>
  </si>
  <si>
    <t>Total Amt:Fourty Two Thousand Four Hundred Eighty Only</t>
  </si>
  <si>
    <t xml:space="preserve">Servicing and maintenance of Bracker 
Alok Selvasa </t>
  </si>
  <si>
    <t xml:space="preserve">Four Thousand Five Hundred only </t>
  </si>
  <si>
    <t xml:space="preserve">Total Amt:Twenty Nine Thousand Five Hundred  Only  </t>
  </si>
  <si>
    <t>14/12/2025</t>
  </si>
  <si>
    <t xml:space="preserve">Super Chemicals </t>
  </si>
  <si>
    <t xml:space="preserve">P no:440/3 road no -6,Sachine GIDC </t>
  </si>
  <si>
    <t>24ACUPM8146K2ZW</t>
  </si>
  <si>
    <t xml:space="preserve">Supply of Stick Logger </t>
  </si>
  <si>
    <t xml:space="preserve">Seven Hundred  Twenty only </t>
  </si>
  <si>
    <t xml:space="preserve">Total Amt:Four Thousand Sevan Hundred Twenty   Only  </t>
  </si>
  <si>
    <t xml:space="preserve">Reliance Broadcast  network LTD </t>
  </si>
  <si>
    <t>24AADCR1885L1Z2</t>
  </si>
  <si>
    <t>Total :</t>
  </si>
  <si>
    <t xml:space="preserve">Ele.panel maintenance </t>
  </si>
  <si>
    <t>706 ,7th Floor ,21 st Century Bulding,</t>
  </si>
  <si>
    <t xml:space="preserve">Near Wold Trade Centre ,Ring Road ,Surat </t>
  </si>
  <si>
    <t>One  Thousand  Four Hundred Fourty only</t>
  </si>
  <si>
    <t xml:space="preserve">Total Amt:Nine Thousand Four  Hundred Fourty Only </t>
  </si>
  <si>
    <t>15/12/2025</t>
  </si>
  <si>
    <t xml:space="preserve">Site: Palsana </t>
  </si>
  <si>
    <t xml:space="preserve">Servicing /Maintenance of ACB and Realase Replacement  at Palsana </t>
  </si>
  <si>
    <t xml:space="preserve">AFPC  Relay Installation and wiring  at Bhatar </t>
  </si>
  <si>
    <t xml:space="preserve">Five Hundred  Eighty Five only </t>
  </si>
  <si>
    <t xml:space="preserve">Total Amt: Three  Thousand Eight hundred Thirty Five  Only </t>
  </si>
  <si>
    <t>17/12/2025</t>
  </si>
  <si>
    <t xml:space="preserve">Site:Ghandhi Collage </t>
  </si>
  <si>
    <t xml:space="preserve">Servicing and relay testing of VCB </t>
  </si>
  <si>
    <t xml:space="preserve">Sevicing  of ACB </t>
  </si>
  <si>
    <t xml:space="preserve">Three Thousand Five Hundred Twenty Eight only </t>
  </si>
  <si>
    <t xml:space="preserve">Site: Sonari Pumping </t>
  </si>
  <si>
    <t xml:space="preserve">TR HT leakage work </t>
  </si>
  <si>
    <t xml:space="preserve">TR Radiator  leakage work </t>
  </si>
  <si>
    <t>Two Thousand Four  Hundred Thirty Only</t>
  </si>
  <si>
    <t xml:space="preserve">Total Amt:Fifteen Thousand Nine Hundred Thirty Only </t>
  </si>
  <si>
    <t xml:space="preserve">Bharti Enterprise </t>
  </si>
  <si>
    <t>S.no.25/1 Jagdish Textile Compound ,</t>
  </si>
  <si>
    <t xml:space="preserve">Opp.Sarvoday Schhol,CNG pump,Bhatar ,Surat </t>
  </si>
  <si>
    <t>Site:Bhatar CNG Pump</t>
  </si>
  <si>
    <t xml:space="preserve">Sep.2024 to Aug.2025 </t>
  </si>
  <si>
    <t>Five Thousand Three Hundred Thirty  Nine Only</t>
  </si>
  <si>
    <t xml:space="preserve">Total Amt:Thirty Five  Thousand Four  Only </t>
  </si>
  <si>
    <t>DIPL/VRS/PO-25532</t>
  </si>
  <si>
    <t>27/9/2025</t>
  </si>
  <si>
    <t xml:space="preserve">Supply of 3.5x240  sq mm armed cable </t>
  </si>
  <si>
    <t xml:space="preserve">Supply  of 240x3.5 sq mm Heatsring type Cable joint kit </t>
  </si>
  <si>
    <t xml:space="preserve">Heatsring Installation, Fitting, Testing of 240x3.5 sq mm type Cable joint kit </t>
  </si>
  <si>
    <t xml:space="preserve">Remove old cable and termination </t>
  </si>
  <si>
    <t xml:space="preserve">Termination of 240x3.5 sq mm Cable Including lugs </t>
  </si>
  <si>
    <t xml:space="preserve">IRV test Transformer Power cable </t>
  </si>
  <si>
    <t>23/12/2025</t>
  </si>
  <si>
    <t>JJE 150</t>
  </si>
  <si>
    <t>26/12/2025</t>
  </si>
  <si>
    <t>Service for the Month of Des.  25</t>
  </si>
  <si>
    <t xml:space="preserve">Total Amt: Twenty Three Thousand Four Hundred Fifty Three only </t>
  </si>
  <si>
    <t xml:space="preserve">Swastic CNG Station </t>
  </si>
  <si>
    <t>160,Sanskrut Industris,village :Laskana.</t>
  </si>
  <si>
    <t xml:space="preserve">Kamrej,Surat </t>
  </si>
  <si>
    <t xml:space="preserve">Site :Kamrej ,Surat  </t>
  </si>
  <si>
    <t>24BFWPR4821N1ZN</t>
  </si>
  <si>
    <t xml:space="preserve">Transformer Oil Filte </t>
  </si>
  <si>
    <t xml:space="preserve">Transformer Termination Chack </t>
  </si>
  <si>
    <t xml:space="preserve">LBS maintenance </t>
  </si>
  <si>
    <t xml:space="preserve">RTCC panel Chcked </t>
  </si>
  <si>
    <t>Total Amt:Twenty Two Thousand Four Hundred Twenty Only</t>
  </si>
  <si>
    <t xml:space="preserve">Mindhola  Foods LLP </t>
  </si>
  <si>
    <t xml:space="preserve">Village:makhinga </t>
  </si>
  <si>
    <t xml:space="preserve">Palsana ,Surat </t>
  </si>
  <si>
    <t>MFLLP/GEN/ 121/25-26</t>
  </si>
  <si>
    <t>16/12/2025</t>
  </si>
  <si>
    <t>LED  Driver 40 W</t>
  </si>
  <si>
    <t>24ABHFM1005H1ZS</t>
  </si>
  <si>
    <t>Six Thousand Three Hundred Only</t>
  </si>
  <si>
    <t xml:space="preserve">Total Amt: Fourty One Thousand Three Hundred  Only </t>
  </si>
  <si>
    <t xml:space="preserve">Four Thousand Eight Hundred Eighty Five only </t>
  </si>
  <si>
    <t>Total Amt:Thirty  Two Thousand Twenty Five Only</t>
  </si>
  <si>
    <t xml:space="preserve">Supply of Elleco make ELR 0.5  to 2.5 A </t>
  </si>
  <si>
    <t>27/12/2025</t>
  </si>
  <si>
    <t xml:space="preserve"> h</t>
  </si>
  <si>
    <t>619,Gr FL,Luhar Faliya,B/H old  Police Station,Katrgam</t>
  </si>
  <si>
    <t xml:space="preserve">ACB /VCB servicing </t>
  </si>
  <si>
    <t>Three Thousand Six Hundred Only</t>
  </si>
  <si>
    <t>Total Amt: Twenty Three Thousand Six Hundred Only</t>
  </si>
  <si>
    <t xml:space="preserve">Site: P.P maniya Hospital </t>
  </si>
  <si>
    <t xml:space="preserve">ACB  servicing </t>
  </si>
  <si>
    <t xml:space="preserve">VCB servicing and testing  </t>
  </si>
  <si>
    <t>Three Thousand Sevan Hundred  Eighty Only</t>
  </si>
  <si>
    <t>Total Amt: Twenty  Four Thousand Sevan Hundred  Eighty Only</t>
  </si>
  <si>
    <t xml:space="preserve">bhavani electricals </t>
  </si>
  <si>
    <t xml:space="preserve">P no 93 Rajdeep Ind.Estate Bhestan </t>
  </si>
  <si>
    <t>24AAUPJ3152E1ZT</t>
  </si>
  <si>
    <t xml:space="preserve">Supply of 185 End termination kit </t>
  </si>
  <si>
    <t xml:space="preserve">Installation of 185 End termination kit </t>
  </si>
  <si>
    <t xml:space="preserve">Installation of 185 Stat joint kit </t>
  </si>
  <si>
    <t xml:space="preserve">Site: Olpad </t>
  </si>
  <si>
    <t>One  Thousand Six Hundred  Eighty Three Only</t>
  </si>
  <si>
    <t>Total Amt: Eleone  Thousand Thirty Three Only</t>
  </si>
  <si>
    <t>14/1/2026</t>
  </si>
  <si>
    <t>24AAHFB4782F1ZJ</t>
  </si>
  <si>
    <t>Eight Thousand three Hundred Fifty   Only</t>
  </si>
  <si>
    <t>Total Amt:Fifty Four  Thousand Sevan Hundred Fourty Only</t>
  </si>
  <si>
    <t>20/1/2025</t>
  </si>
  <si>
    <t xml:space="preserve">Servicing and maintenance of Bracker 
</t>
  </si>
  <si>
    <t xml:space="preserve">One Thousand Eight Hundred only </t>
  </si>
  <si>
    <t xml:space="preserve">Total Amt:Eleone  Thousand Eight Hundred  Only  </t>
  </si>
  <si>
    <t>26/01/2026</t>
  </si>
  <si>
    <t>7105111656</t>
  </si>
  <si>
    <t>Site: Surat</t>
  </si>
  <si>
    <t xml:space="preserve">Five  Thousand Ten only </t>
  </si>
  <si>
    <t>Total Amt:Thirty Two  Thousand Eight Hundred Fourty Five only</t>
  </si>
  <si>
    <t>Transformer Foult Repairing at Surat MSC</t>
  </si>
  <si>
    <t>29/01/2026</t>
  </si>
  <si>
    <t xml:space="preserve">Site: Bhilad </t>
  </si>
  <si>
    <t>Servicing and maintenance of Bracker 
Bhilad (26 Jan.)</t>
  </si>
  <si>
    <t>29/1/2026</t>
  </si>
  <si>
    <t xml:space="preserve">LT ACB servicing </t>
  </si>
  <si>
    <t xml:space="preserve">HT VCB servicing /Testing </t>
  </si>
  <si>
    <t xml:space="preserve">Eight Thousand two Hundred Sixty Nine only </t>
  </si>
  <si>
    <t xml:space="preserve">Total Amt:Fifty Four Thousand Two Hundred Nine only  </t>
  </si>
  <si>
    <t>S-155</t>
  </si>
  <si>
    <t>13/09/2025</t>
  </si>
  <si>
    <t>S-156</t>
  </si>
  <si>
    <t xml:space="preserve">LBS and Bas bar maintenance </t>
  </si>
  <si>
    <t xml:space="preserve">Two Thousand Sevan Hundred only </t>
  </si>
  <si>
    <t xml:space="preserve">Total Amt:Sevanteen  Thousand Sevan Hundred only  </t>
  </si>
  <si>
    <t xml:space="preserve">Glow Green Bio tech </t>
  </si>
  <si>
    <t xml:space="preserve">H-567,Near Dungra Colony ,Dungra Kamrej </t>
  </si>
  <si>
    <t>Surat ,Gujrat</t>
  </si>
  <si>
    <t>24AASFG5472G1Z4</t>
  </si>
  <si>
    <r>
      <rPr>
        <b/>
        <sz val="11"/>
        <color rgb="FF000000"/>
        <rFont val="Calibri"/>
        <family val="2"/>
        <scheme val="minor"/>
      </rPr>
      <t>Site</t>
    </r>
    <r>
      <rPr>
        <sz val="11"/>
        <color rgb="FF000000"/>
        <rFont val="Calibri"/>
        <family val="2"/>
        <scheme val="minor"/>
      </rPr>
      <t xml:space="preserve">: Dungra ,Kamrej </t>
    </r>
  </si>
  <si>
    <t>30/01/2026</t>
  </si>
  <si>
    <t xml:space="preserve">SITC of siemens make 25 A Contector </t>
  </si>
  <si>
    <t>Three Hundred Eighty  Sevan Only</t>
  </si>
  <si>
    <t xml:space="preserve">Total Amt:Two  Thousand Five Hundred Thirty seven only  </t>
  </si>
  <si>
    <t>Service for the Month of jan- 26</t>
  </si>
  <si>
    <t>Five  Hundred Fifty Six Only</t>
  </si>
  <si>
    <t xml:space="preserve">Total Amt: Three Thousand Sevan Hundred Five only </t>
  </si>
  <si>
    <t>Shah Brothers</t>
  </si>
  <si>
    <t xml:space="preserve">Shop No -7,Khatodra Industrial Socity </t>
  </si>
  <si>
    <t xml:space="preserve">B/H Sub jail,khatodra,Surat </t>
  </si>
  <si>
    <t>Site:Hojiwala ,Surat</t>
  </si>
  <si>
    <t>24AGSPS2915A1ZH</t>
  </si>
  <si>
    <t xml:space="preserve">ACB Servicing </t>
  </si>
  <si>
    <t xml:space="preserve">Voltage monitoring relay </t>
  </si>
  <si>
    <t xml:space="preserve">Filtration of 400 KVA Transformer </t>
  </si>
  <si>
    <t xml:space="preserve">Filtration of 500 KVA Transformer </t>
  </si>
  <si>
    <t xml:space="preserve">Oil top up </t>
  </si>
  <si>
    <t xml:space="preserve">Indication lamp 230 AC </t>
  </si>
  <si>
    <t xml:space="preserve">Testing of OLTC </t>
  </si>
  <si>
    <t>Silica  jell</t>
  </si>
  <si>
    <t>Twelve Thousand Two Hundred Fourty Only</t>
  </si>
  <si>
    <t>Total Amt: Eighty Thousand Two Hundered Fourty Only</t>
  </si>
  <si>
    <t xml:space="preserve"> Sevan Hundred twenty only </t>
  </si>
  <si>
    <t xml:space="preserve">Total Amt:Four Thousand Sevan Hundred Twenty only  </t>
  </si>
  <si>
    <t xml:space="preserve">Site:Palsana </t>
  </si>
  <si>
    <t xml:space="preserve">IRV Testing and chacking of LBS and transformer </t>
  </si>
  <si>
    <t>Total Amt:Four Thousand One  Hundred  Thirty Only</t>
  </si>
  <si>
    <t xml:space="preserve">Site:Hojiwala </t>
  </si>
  <si>
    <t xml:space="preserve">LBS Cable Test  and LBS Test  Shiddivinyak Corpotration </t>
  </si>
  <si>
    <t xml:space="preserve">LBS 40 A Fuse </t>
  </si>
  <si>
    <t>One  Thousand Two Hundred Sixty  Only</t>
  </si>
  <si>
    <t>Total Amt: Eight  Thousand Two Hundred Sixty  Only</t>
  </si>
  <si>
    <t xml:space="preserve">Anjani Interweave </t>
  </si>
  <si>
    <t xml:space="preserve">949-A Plot no -7 Kim tadkeswer Road </t>
  </si>
  <si>
    <t xml:space="preserve">Tal Mandvi ,Diss.Surat </t>
  </si>
  <si>
    <t>Site:tadkeswer Road</t>
  </si>
  <si>
    <t>24ABJFA5190P1ZZ</t>
  </si>
  <si>
    <t xml:space="preserve">Servicing and Maintenece of VCB </t>
  </si>
  <si>
    <t>One Thousand Five Hundred Sixty Six  Only</t>
  </si>
  <si>
    <t>Total Amt:Ten Thousand Two Hundred Sixty six Only</t>
  </si>
  <si>
    <t>Luthra Group LLP</t>
  </si>
  <si>
    <t>B.no 181/B Villge: baleswer</t>
  </si>
  <si>
    <t>Ta.Palsana Surat</t>
  </si>
  <si>
    <t>24AAHFL6963E1Z8</t>
  </si>
  <si>
    <t xml:space="preserve">Site: Palsana ,Surat </t>
  </si>
  <si>
    <t>Servicing and maintenance of VCB</t>
  </si>
  <si>
    <t>Relay testing</t>
  </si>
  <si>
    <t xml:space="preserve">Mintenance of PCC/APFC panel </t>
  </si>
  <si>
    <t>Four Thaousand Five Hundred Sevanty Two Only</t>
  </si>
  <si>
    <t>Total Amt:Twenty Nine Thousand Nine Hundred Sevanty  two Only</t>
  </si>
  <si>
    <t>23/1/2026</t>
  </si>
  <si>
    <t>14/2/2026</t>
  </si>
  <si>
    <t xml:space="preserve">Site:Puna Yogi Chowk </t>
  </si>
  <si>
    <t xml:space="preserve">Oil filteration and BDV test </t>
  </si>
  <si>
    <t>One Thousand Three Hundred Fifty Only</t>
  </si>
  <si>
    <t xml:space="preserve">Total Amt:Eight  Thousand Eight Hundred Fifty Only </t>
  </si>
  <si>
    <t>Three  Thousand Sevan Hundred Eighty Only</t>
  </si>
  <si>
    <t xml:space="preserve">Total Amt:Twenty Four  Thousand Sevan Hundred Eighty Only </t>
  </si>
  <si>
    <t xml:space="preserve">Site:variyav water works </t>
  </si>
  <si>
    <t>Two Thousand Sevan Hundred Only</t>
  </si>
  <si>
    <t xml:space="preserve">Total Amt:Sevanteen Thousand Sevan Hundred Only </t>
  </si>
  <si>
    <t xml:space="preserve">Silca jell Brathers </t>
  </si>
  <si>
    <t xml:space="preserve">TR. Radiator leakage work </t>
  </si>
  <si>
    <t>Three  Thousand Twenty Foure Only</t>
  </si>
  <si>
    <t xml:space="preserve">Site:Sonari pumping  </t>
  </si>
  <si>
    <t xml:space="preserve">Total Amt:Nineteen Thousand Eight Hundred Twenty Four Only </t>
  </si>
  <si>
    <t xml:space="preserve">Tr LT leakage work with Top plate </t>
  </si>
  <si>
    <t>16/2/2026</t>
  </si>
  <si>
    <t xml:space="preserve">Site:Variyav Collage </t>
  </si>
  <si>
    <t xml:space="preserve">Transformer leakage work </t>
  </si>
  <si>
    <t xml:space="preserve">Inspection plate leakage work </t>
  </si>
  <si>
    <t>Nutral Bushing leakage work (Extra work )</t>
  </si>
  <si>
    <t>Four Thousand Sevan Hundred  Sevanty Only</t>
  </si>
  <si>
    <t xml:space="preserve">Total Amt:Thirty One  Thousand Two Hundred Sevanty  Only </t>
  </si>
  <si>
    <t>17/2/2026</t>
  </si>
  <si>
    <t>Chhabee Nutricos Industris LLP</t>
  </si>
  <si>
    <t>P no:B-32,Gujrat Agro Infrastructure Mega food park,</t>
  </si>
  <si>
    <t xml:space="preserve">Vill. Shah &amp; Vasravi,mangrol,Diss:Surat </t>
  </si>
  <si>
    <t>24AANFC7750J1Z5</t>
  </si>
  <si>
    <t>Site:Mangrol</t>
  </si>
  <si>
    <t xml:space="preserve">VCB Testing and cable termination work </t>
  </si>
  <si>
    <t>One Thousand Four Hundred Fourty Only</t>
  </si>
  <si>
    <t xml:space="preserve">Total Amt:Nine Thousand Four Hundred Fourty Only </t>
  </si>
  <si>
    <t>18/2/2026</t>
  </si>
  <si>
    <t xml:space="preserve">VCB  Servicing and CT wiring </t>
  </si>
  <si>
    <t xml:space="preserve">Eight Hundred ten only </t>
  </si>
  <si>
    <t xml:space="preserve">Total Amt:Five Thousand Three Hundred ten only  </t>
  </si>
  <si>
    <t>19/2/2026</t>
  </si>
  <si>
    <t>24AANFK0430H1ZN</t>
  </si>
  <si>
    <t xml:space="preserve">Khanak System </t>
  </si>
  <si>
    <t xml:space="preserve">4 th Floor,4/A Resham Bhavan ,Laladarwaja </t>
  </si>
  <si>
    <t xml:space="preserve">Stick logger </t>
  </si>
  <si>
    <t xml:space="preserve">Five Hundred  Ninety Sevan only </t>
  </si>
  <si>
    <t xml:space="preserve">Total Amt:Three  Thousand Nine Hundred Nineteen only  </t>
  </si>
  <si>
    <t xml:space="preserve">RMU Maintence 1IC and 2 OG </t>
  </si>
  <si>
    <t>20/2/2026</t>
  </si>
  <si>
    <t xml:space="preserve">RMU servicing at Mruti dying </t>
  </si>
  <si>
    <t xml:space="preserve">Out door VCB  servicing at Shree ji dying </t>
  </si>
  <si>
    <t xml:space="preserve">RMU servicing at Shree ji dying  1 In /2 Out </t>
  </si>
  <si>
    <t xml:space="preserve">ACB Servicing at maruti  Dying </t>
  </si>
  <si>
    <t xml:space="preserve">ACB Servicing at Shree ji   Dying </t>
  </si>
  <si>
    <t xml:space="preserve">ACB servcing  at Suraj panel </t>
  </si>
  <si>
    <t xml:space="preserve">ACB servcing  at Vikram Hijen </t>
  </si>
  <si>
    <t xml:space="preserve">ACB Servicing at Pratibha Dying </t>
  </si>
  <si>
    <t xml:space="preserve">AVR replacement </t>
  </si>
  <si>
    <t xml:space="preserve">relay replacement at maruti </t>
  </si>
  <si>
    <t>RMU Servicing and  Cotting ,IRV testing Bilimora</t>
  </si>
  <si>
    <t xml:space="preserve">Eighteen  Thousand ninety  Only  </t>
  </si>
  <si>
    <t>Total Amt:One Lac Eighteen Thousand Five Hundred Ninety Only</t>
  </si>
  <si>
    <t>22/02/2026</t>
  </si>
  <si>
    <t xml:space="preserve">Site:35 MLD Bamroli plant  </t>
  </si>
  <si>
    <t xml:space="preserve">Servicing and maintenance of 800 A ACB </t>
  </si>
  <si>
    <t xml:space="preserve">Servicing and maintenance of  1250 A ACB </t>
  </si>
  <si>
    <t xml:space="preserve">Servicing and maintenance of  1600 A ACB </t>
  </si>
  <si>
    <t xml:space="preserve">Servicing and maintenance of  2000 A ACB </t>
  </si>
  <si>
    <t xml:space="preserve">Servicing and maintenance of  5000 A ACB </t>
  </si>
  <si>
    <t xml:space="preserve">Servicing and maintenance of  HT  VCB </t>
  </si>
  <si>
    <t xml:space="preserve">Servicing and maintenance of  HT  Panel </t>
  </si>
  <si>
    <t xml:space="preserve">Fifteen Hundred Nine Hundred Twelve only </t>
  </si>
  <si>
    <t>Total Amt: One Lac Four Thousand Three Hundred Twelve Only</t>
  </si>
  <si>
    <t>25/10/2025</t>
  </si>
  <si>
    <t xml:space="preserve">Servicing and maintenance of 630 A ACB </t>
  </si>
  <si>
    <t>21/02/2026</t>
  </si>
  <si>
    <t>04/2025-26</t>
  </si>
  <si>
    <t>Servicing,maintenance &amp; over Hauling of ACB</t>
  </si>
  <si>
    <t>Servicing,maintenance &amp; over Hauling of VCB with Reley Testing</t>
  </si>
  <si>
    <t>Transformer Oil Filtration and BDV Test</t>
  </si>
  <si>
    <t xml:space="preserve">Transformer Oil </t>
  </si>
  <si>
    <t>Nine Thousand Eight Hundred Eighty Two only</t>
  </si>
  <si>
    <t>Site:surat</t>
  </si>
  <si>
    <t xml:space="preserve">Supply , and programming of Havells make ATS controller  Make: Havells Model: L Plus </t>
  </si>
  <si>
    <t xml:space="preserve">Installation, wiring of  Controller </t>
  </si>
  <si>
    <t xml:space="preserve"> Three Thousand Five Hundred Fourty Six Only</t>
  </si>
  <si>
    <t xml:space="preserve">Total Amt:Twenty Three Thousand Two Hundred Fourty Six Only </t>
  </si>
  <si>
    <t xml:space="preserve">Site:115 MLD Bamroli plant  </t>
  </si>
  <si>
    <t>Servicing and maintenance of  PCC/MCC Panel</t>
  </si>
  <si>
    <t>29/10/2025</t>
  </si>
  <si>
    <t xml:space="preserve">Site:TTP MLD Bamroli plant  </t>
  </si>
  <si>
    <t xml:space="preserve">Servicing and maintenance of  1000 A ACB </t>
  </si>
  <si>
    <t>Servicing and maintenance of  HT  VCB 11kv</t>
  </si>
  <si>
    <t xml:space="preserve">Site:Bamroli plant  </t>
  </si>
  <si>
    <t xml:space="preserve">Servicing and maintenance of 1000 A ACB </t>
  </si>
  <si>
    <t>17/11/2025</t>
  </si>
  <si>
    <t xml:space="preserve">Servicing and maintenance of 5000 A ACB </t>
  </si>
  <si>
    <t xml:space="preserve">Servicing and maintenance of  800 A ACB </t>
  </si>
  <si>
    <t xml:space="preserve">Servicing and maintenance of  630 A ACB </t>
  </si>
  <si>
    <t>30/10/25</t>
  </si>
  <si>
    <t xml:space="preserve">Site: 35 MLD Bamroli plant  </t>
  </si>
  <si>
    <t>Servicing &amp; Maintenance of GOD</t>
  </si>
  <si>
    <t>Supply &amp; Installation Of ALU Busbar</t>
  </si>
  <si>
    <t xml:space="preserve">Supply &amp; Installation Of  DO Set 11kv </t>
  </si>
  <si>
    <t>Site:  Bamroli plant  (100)</t>
  </si>
  <si>
    <t>Supply &amp; Installation Of ALU Busbar (L shape)</t>
  </si>
  <si>
    <t xml:space="preserve">Painting of GOD </t>
  </si>
  <si>
    <t>Servicing &amp; Maintaenance of GOD</t>
  </si>
  <si>
    <t>Termination of GOD Lead</t>
  </si>
  <si>
    <t xml:space="preserve">Supply &amp; installation Of Rook Wond </t>
  </si>
  <si>
    <t>Supply Of 2500A Jaw Contact</t>
  </si>
  <si>
    <t>Supply Of 5000A Jaw Contact</t>
  </si>
  <si>
    <t>25/11/25</t>
  </si>
  <si>
    <t xml:space="preserve">Inatallation Of 5000A Breaker </t>
  </si>
  <si>
    <t>Rudra Electric Corporation</t>
  </si>
  <si>
    <t>plot no 38,1st floor,jay Hanuman Estate</t>
  </si>
  <si>
    <t>Nr Navjivan Hyundai Showroom,Udhna,394210</t>
  </si>
  <si>
    <t>24APOPP5527Q1Z2</t>
  </si>
  <si>
    <t>havells PCB (TPN/TPN)-40A/40A</t>
  </si>
  <si>
    <t xml:space="preserve">Total Amt:Sixty  Four Thousand Sevan Hundred Eighty Two Only </t>
  </si>
  <si>
    <t>Seven Hundred Twenty Only</t>
  </si>
  <si>
    <t>Reliance Foundation school</t>
  </si>
  <si>
    <t>Total Amt:  Four Thousand Seven Hunderd  Twenty Two Only</t>
  </si>
  <si>
    <t xml:space="preserve">Sevanteen Thousand Four Thousand Three  hundred Fourty two only  </t>
  </si>
  <si>
    <t>Total Amt: One Lac Fourteen Thousand Three Hundred  Foury two  Only</t>
  </si>
  <si>
    <t>Udhna Magdalla Road , Vesu</t>
  </si>
  <si>
    <t>ECPL/JJE/TSTP-BAM/425/25-26</t>
  </si>
  <si>
    <t xml:space="preserve">Ten Thousand Six Hundred Two only </t>
  </si>
  <si>
    <t xml:space="preserve">Total Amt:Sixty Nine Thousand Five Hundred  Two Only </t>
  </si>
  <si>
    <t xml:space="preserve">Thirty Three Thousand Six Hundred Six only </t>
  </si>
  <si>
    <t xml:space="preserve">Total Amt: Two Lac  Twenty Thousand Three Hundred Six Only </t>
  </si>
  <si>
    <t xml:space="preserve">Total Amt: Twenty Eight Thousand Sevan Hundred Ninety  Two Only </t>
  </si>
  <si>
    <t xml:space="preserve">Four Thousand Three Hudred Ninety Two only </t>
  </si>
  <si>
    <t xml:space="preserve">185 sq mm Copper lugs </t>
  </si>
  <si>
    <t xml:space="preserve">Termination of 70 mm Cable Lead </t>
  </si>
  <si>
    <t xml:space="preserve">Four Thousand Three Hundred Ninety Two only </t>
  </si>
  <si>
    <t xml:space="preserve">Total Amt: Twenty Eight Thousand Sevan Hundred Ninety Two only </t>
  </si>
  <si>
    <t xml:space="preserve">Total Amt: One Lac Ten Thousand Eight Hundred Fourty Nine only </t>
  </si>
  <si>
    <t xml:space="preserve">Sixteen Thousand Nine Hundred Nine only </t>
  </si>
  <si>
    <t>ECPL/JJE/TTP-B/435/2025-26</t>
  </si>
  <si>
    <t xml:space="preserve">Four Hundred only </t>
  </si>
  <si>
    <t xml:space="preserve">Total Amt: Two Thousand Nine Hundred Fifty only </t>
  </si>
  <si>
    <t xml:space="preserve">Site: kosad plant  </t>
  </si>
  <si>
    <t xml:space="preserve">Nine Thousand One Hundred Sixty Two only </t>
  </si>
  <si>
    <t xml:space="preserve">Total Amt: Sixty Thousand Sixty two only </t>
  </si>
  <si>
    <t>25/2/2026</t>
  </si>
  <si>
    <t xml:space="preserve">Supply of 1600 A Jow Contact </t>
  </si>
  <si>
    <t xml:space="preserve">Eighteen Thousand Four Hundred Thirty two Only </t>
  </si>
  <si>
    <t xml:space="preserve">Total Amt: One Lac Twenty Thousand Eight Hundred Thirty two Only </t>
  </si>
  <si>
    <t xml:space="preserve">Site: Bamroli plant  </t>
  </si>
  <si>
    <t xml:space="preserve">Servicing and maintenance of  1200 A ACB </t>
  </si>
  <si>
    <t xml:space="preserve">Servicing and maintenance of 2500 A ACB </t>
  </si>
  <si>
    <t xml:space="preserve">Servicing and maintenance of 4000 A ACB </t>
  </si>
  <si>
    <t xml:space="preserve">Servicing and maintenance of  3200 A ACB </t>
  </si>
  <si>
    <t xml:space="preserve">Maintenance of PCC/MCC  panle </t>
  </si>
  <si>
    <t xml:space="preserve">Thirty Two Thousand Three Hundred Ninety One only </t>
  </si>
  <si>
    <t xml:space="preserve">Total Amt: Two lac Twelve Thousand Three Hundred Fourty one only </t>
  </si>
  <si>
    <t>26/02/2026</t>
  </si>
  <si>
    <t xml:space="preserve">Site: Dindoli plant  </t>
  </si>
  <si>
    <t xml:space="preserve">Supply of 2000 A Simens make EDO 4 pole  ACB </t>
  </si>
  <si>
    <t xml:space="preserve">Transporation Charge </t>
  </si>
  <si>
    <t>28/11/2025</t>
  </si>
  <si>
    <t>ELPL/JJE/TSTP-DIN/617/25-26</t>
  </si>
  <si>
    <t xml:space="preserve">Total Amt: Five Lac Twenty Three  Thousand Six Hundred one only </t>
  </si>
  <si>
    <t xml:space="preserve">Sevanty Nine  Thousand Eight Hundred Sevanty One only </t>
  </si>
  <si>
    <t>PO/PPL/25-26/470</t>
  </si>
  <si>
    <t>23/2/2026</t>
  </si>
  <si>
    <t>24AANCP567501ZG</t>
  </si>
  <si>
    <t xml:space="preserve">Polite Powertech Limited </t>
  </si>
  <si>
    <t>502,5th floor,Pragati tower,Nr.Daxeshwar Temple</t>
  </si>
  <si>
    <t>Pandesra ,Surat</t>
  </si>
  <si>
    <t xml:space="preserve">Site:ONGC -surat  </t>
  </si>
  <si>
    <t xml:space="preserve">Testing work </t>
  </si>
  <si>
    <t xml:space="preserve">Six Thousand Three Hundred only </t>
  </si>
  <si>
    <t xml:space="preserve">Total Amt: Fourty One Thousand Three Hundred Only </t>
  </si>
  <si>
    <t>VPPL/25-26/000036</t>
  </si>
  <si>
    <t xml:space="preserve">Site:Navin Florine-surat  </t>
  </si>
  <si>
    <t xml:space="preserve">FIRST FLOOR, 01, UMIYA NIWAS, NR.RESHAM BHAVAN, </t>
  </si>
  <si>
    <t>LAL DARWAJA,STATION ROAD, SURAT</t>
  </si>
  <si>
    <t xml:space="preserve">One Thousand Eight Hundred  only </t>
  </si>
  <si>
    <t xml:space="preserve">Total Amt: Eleone  Thousand Eight  Hundred Only </t>
  </si>
  <si>
    <t>Shubh Electrical</t>
  </si>
  <si>
    <t>B-1 MarutiDham Soc.Chhani bajwa road</t>
  </si>
  <si>
    <t xml:space="preserve">Vadodra </t>
  </si>
  <si>
    <t>24ARYPP2237K1Z7</t>
  </si>
  <si>
    <t xml:space="preserve">Bodeli  </t>
  </si>
  <si>
    <t xml:space="preserve">Testing of VCB </t>
  </si>
  <si>
    <t xml:space="preserve">Total Amt: Sevnteen  Thousand Sevan hundred Only </t>
  </si>
  <si>
    <t>22/2/2026</t>
  </si>
  <si>
    <t xml:space="preserve">Site: Rander Buster </t>
  </si>
  <si>
    <t xml:space="preserve">VCB Commissioning work </t>
  </si>
  <si>
    <t>One Thousand Eight Hundred Only</t>
  </si>
  <si>
    <t xml:space="preserve">Total Amt:Eleone Thousand Eight Hundred Only </t>
  </si>
  <si>
    <t>ELR relay ,CT Installatio at Bhatar (manju Dying)</t>
  </si>
  <si>
    <t xml:space="preserve">U/V Relay Installation and wiring </t>
  </si>
  <si>
    <t xml:space="preserve">ACB Servicing at kadora </t>
  </si>
  <si>
    <t xml:space="preserve">GOD Servicining at Jimkhana </t>
  </si>
  <si>
    <t xml:space="preserve">ACE Electrical Solution </t>
  </si>
  <si>
    <t>1St floor Plot no,A-18 Bhula bhaidesai park Sos.</t>
  </si>
  <si>
    <t xml:space="preserve">katargam,Surat </t>
  </si>
  <si>
    <t>Site: SPS</t>
  </si>
  <si>
    <t>SITC of MCCB with Sprader link</t>
  </si>
  <si>
    <t xml:space="preserve">copper lugs </t>
  </si>
  <si>
    <t xml:space="preserve">Three  Thousand Sevan Hundred Eighty One only  </t>
  </si>
  <si>
    <t xml:space="preserve">Total Amt:Twenty Four  Thousand Sevan Hundred Eighty Eight Only </t>
  </si>
  <si>
    <t>24BXPPD7803P2ZY</t>
  </si>
  <si>
    <t xml:space="preserve">Servicing and relay testing of rmu </t>
  </si>
  <si>
    <t xml:space="preserve">Total Amt:Thirteen  Thousand Five hundred Sevanty Only </t>
  </si>
  <si>
    <t xml:space="preserve">Two Thousand  Sevanty only  </t>
  </si>
  <si>
    <t xml:space="preserve">OV /UV relay </t>
  </si>
  <si>
    <t xml:space="preserve">Six Thousand Sevan  Hundred Eighty Sevan Only  </t>
  </si>
  <si>
    <t>Total Amt:Fourty Four  Thousand Four Hundred Eighty  six Only</t>
  </si>
  <si>
    <t>DIPL/VRS/PO-26262</t>
  </si>
  <si>
    <t xml:space="preserve">Supply of 3.5x70 sq mm armed cable </t>
  </si>
  <si>
    <t>Twelve  Thousand Five Hundred Sevanty sevan Only</t>
  </si>
  <si>
    <t>Total Amt:Eighty Two Thousand Four Hundred Fifty two Only</t>
  </si>
  <si>
    <t>25/12/2025</t>
  </si>
  <si>
    <t xml:space="preserve">Ananta Elecinfra Pvt. LTD </t>
  </si>
  <si>
    <t xml:space="preserve">puna canal road,surat </t>
  </si>
  <si>
    <t>24ABDCA2802R1ZM</t>
  </si>
  <si>
    <t>24/2/2026</t>
  </si>
  <si>
    <t xml:space="preserve">Site: Parvat  WTP </t>
  </si>
  <si>
    <t xml:space="preserve">Transformer Oil Leakage Attanding work </t>
  </si>
  <si>
    <t xml:space="preserve">Total Amt:Eleone Thousand Two Hundred  Ten Only </t>
  </si>
  <si>
    <t>One Thousand Sevan Hundred Ten  Only</t>
  </si>
  <si>
    <t xml:space="preserve">Tula Switchgear </t>
  </si>
  <si>
    <t>P no.943,road no 37,GIDC Sachine</t>
  </si>
  <si>
    <t>Site :</t>
  </si>
  <si>
    <t>24AIYPP5679A1ZQ</t>
  </si>
  <si>
    <t xml:space="preserve">Servicing and maintenance work various Site </t>
  </si>
  <si>
    <t xml:space="preserve">Four Hundred Fifty  Only </t>
  </si>
  <si>
    <t xml:space="preserve">Total Amt:Two  Thousand Nine Hundred  Fifty Only </t>
  </si>
  <si>
    <t>ACB Servicing at prayag raj Dying  mill</t>
  </si>
  <si>
    <t xml:space="preserve">Sevan Thousand Eighty Only  </t>
  </si>
  <si>
    <t>Total Amt:Sevan Thousand Eighty Only</t>
  </si>
  <si>
    <t xml:space="preserve">SITC of OVR and trpping attand at Ankit Jemes </t>
  </si>
  <si>
    <t xml:space="preserve">VCB Commissioning at AK road </t>
  </si>
  <si>
    <t>Hipot tset at Mangukiya dimond (night )</t>
  </si>
  <si>
    <t xml:space="preserve">HT tep </t>
  </si>
  <si>
    <t xml:space="preserve">Tripping problem ractification mankukiya dimond </t>
  </si>
  <si>
    <t xml:space="preserve">Hi pot test at ONGC </t>
  </si>
  <si>
    <t xml:space="preserve">Installation testing of UV Relay anjni Pipodra </t>
  </si>
  <si>
    <t>LBS fuse with IRV test at vesu Ankit Jemes</t>
  </si>
  <si>
    <t xml:space="preserve">Tripping problem  vesu </t>
  </si>
  <si>
    <t xml:space="preserve">One Thousand Six  Hundred Twenty Only </t>
  </si>
  <si>
    <t>Total Amt:Ten Thousand Six Hudred Twenty Only</t>
  </si>
  <si>
    <t xml:space="preserve">Two Thousand Three  Hundred Twenty Two Only </t>
  </si>
  <si>
    <t>Total Amt:Fifteen Thousand Two Hudred Twenty Two Only</t>
  </si>
  <si>
    <t xml:space="preserve">Panel maintenece </t>
  </si>
  <si>
    <t xml:space="preserve">ACB Maintenece </t>
  </si>
  <si>
    <t xml:space="preserve">One Thousand Nine Hundred Eighty only </t>
  </si>
  <si>
    <t>Total Amt:Twelve Thousand Nine Hudred Eighty Only</t>
  </si>
  <si>
    <t xml:space="preserve">Three  Thousand Two Hundred Fourty only </t>
  </si>
  <si>
    <t>Total Amt:Twenty One Thousand Two Hudred Fourty Only</t>
  </si>
  <si>
    <t xml:space="preserve">Two Hundred Sevanty  only </t>
  </si>
  <si>
    <t>Total Amt:One Thousand Sevan Hudred Sevanty  Only</t>
  </si>
  <si>
    <t>M/s Crown Distributors</t>
  </si>
  <si>
    <t xml:space="preserve">R.S no :553/2/2,O.P NO. 115,F.P No 170,T.P Sch </t>
  </si>
  <si>
    <t>No.19,Near gajera circle,fulpada Road ,katargam,surat</t>
  </si>
  <si>
    <t>24ABOPM3146Q1Z3</t>
  </si>
  <si>
    <t xml:space="preserve">Site:CNG Pump Gajera circle                                                                                                             </t>
  </si>
  <si>
    <t xml:space="preserve">Maintenece Sep.24 to Sep 25 </t>
  </si>
  <si>
    <t>Maintenece Oct 25 to Fab. 26</t>
  </si>
  <si>
    <t xml:space="preserve">40 A 11 kv HT Fuse </t>
  </si>
  <si>
    <t>Nine Thousand Two  Hundred Ninety One Only</t>
  </si>
  <si>
    <t xml:space="preserve">Total Amt:Sixty Thousand Nine Hundred Eleone only </t>
  </si>
  <si>
    <t>Nanalal Industries P LTD</t>
  </si>
  <si>
    <t xml:space="preserve">42/P Plot no 1,Kapodra Char rasta ,Varacha Road </t>
  </si>
  <si>
    <t>Site:Kapodra  CNG Pump</t>
  </si>
  <si>
    <t xml:space="preserve">ARC  work  June .2025 to Desember .2025 </t>
  </si>
  <si>
    <t xml:space="preserve">25 KVAR cap.duty Contector with NO-NC </t>
  </si>
  <si>
    <t xml:space="preserve">capacitor 10 KVAr </t>
  </si>
  <si>
    <t xml:space="preserve">capacitor 15 KVAr </t>
  </si>
  <si>
    <t xml:space="preserve">capacitor 25 KVAr </t>
  </si>
  <si>
    <t>six Thousand Two Hundred Twenty Six Only</t>
  </si>
  <si>
    <t xml:space="preserve">Total Amt: Fourty Thousand Eight hundred Twenty Only </t>
  </si>
  <si>
    <t xml:space="preserve">     </t>
  </si>
  <si>
    <t>24AABCN3550A1Z5</t>
  </si>
  <si>
    <t xml:space="preserve">stp/Surat o&amp;M/Mech/0624 </t>
  </si>
  <si>
    <t xml:space="preserve">48 mm GI Earthing Electrod </t>
  </si>
  <si>
    <t xml:space="preserve">Earthing Streep </t>
  </si>
  <si>
    <t xml:space="preserve">Installation work </t>
  </si>
  <si>
    <t>Three Thousand Sevan Hundred Eighty  Only</t>
  </si>
  <si>
    <t xml:space="preserve">Total Amt:Twenty Four Thousand Sevan Hundred Eighty Only </t>
  </si>
  <si>
    <t>31/1/2026</t>
  </si>
  <si>
    <t>13/3/2026</t>
  </si>
  <si>
    <t xml:space="preserve">Site:  Dindoli Plant </t>
  </si>
  <si>
    <t xml:space="preserve">Silica jell </t>
  </si>
  <si>
    <t xml:space="preserve">Eighteen Thousand Two Hundred Ten only </t>
  </si>
  <si>
    <t xml:space="preserve">Total Amt: One Lac  Nineteen Thousand Three Hundred  Eighty one only </t>
  </si>
  <si>
    <t>ECPL/JJE/STP-KSD/283/25-26</t>
  </si>
  <si>
    <t>20/12/2026</t>
  </si>
  <si>
    <t>20/1/2026</t>
  </si>
  <si>
    <t xml:space="preserve">Site: 220 MLD Kosad  Plant </t>
  </si>
  <si>
    <t xml:space="preserve">Under Voltage relases 230 V AC </t>
  </si>
  <si>
    <t xml:space="preserve">Shunt Trip  relases 230 V AC </t>
  </si>
  <si>
    <t xml:space="preserve">One Thousand Four Hundred Sixty Four only </t>
  </si>
  <si>
    <t xml:space="preserve">Total Amt:Nine  Thousand Six Hundred Three only </t>
  </si>
  <si>
    <t>13/1/2026</t>
  </si>
  <si>
    <t xml:space="preserve">Site: 122 MLD Anjana  Plant </t>
  </si>
  <si>
    <t xml:space="preserve">Supply of 16 sq mm Cable joint kit </t>
  </si>
  <si>
    <t xml:space="preserve">Installation,Testing of 16 sq mm Cable joint kit </t>
  </si>
  <si>
    <t xml:space="preserve">Three Thousand Four Hundred Two only </t>
  </si>
  <si>
    <t xml:space="preserve">Total Amt:Twenty Two  Thousand Three Hundred Two only </t>
  </si>
  <si>
    <t xml:space="preserve">One Thousand Three Hundred Twenty Three only </t>
  </si>
  <si>
    <t xml:space="preserve">Total Amt: Eight Thousand Six Hundred Sevanty Three only </t>
  </si>
  <si>
    <t xml:space="preserve">Supply of  Schneder make 10 A/110 V  Contector </t>
  </si>
  <si>
    <t>ECPL/JJE/STP-KHA/217/2025-26</t>
  </si>
  <si>
    <t xml:space="preserve">Eight Hundred Eighty Five only </t>
  </si>
  <si>
    <t xml:space="preserve">Total Amt: Five Thousand Eight Hundred Six only </t>
  </si>
  <si>
    <t>28/11/2026</t>
  </si>
  <si>
    <t xml:space="preserve">Site:  55 MLD Khajod  Plant </t>
  </si>
  <si>
    <t xml:space="preserve">Site:Dindoli  Plant </t>
  </si>
  <si>
    <t xml:space="preserve">Cable Foult Finding  50 sq mm </t>
  </si>
  <si>
    <t xml:space="preserve">One Thousand Eighty Only </t>
  </si>
  <si>
    <t xml:space="preserve">Total Amt:Sevan  Thousand Eighty only </t>
  </si>
  <si>
    <t xml:space="preserve">Remove Old ACB and Installation new </t>
  </si>
  <si>
    <t xml:space="preserve">One Hundred Eighty  Only </t>
  </si>
  <si>
    <t xml:space="preserve">Total Amt:One Thousand One Hundred Eighty Only </t>
  </si>
  <si>
    <t xml:space="preserve">Supply of 50 sqmm cable joint kit </t>
  </si>
  <si>
    <t xml:space="preserve">Installation of  50 Sq mm cable joint kit </t>
  </si>
  <si>
    <t xml:space="preserve">One Thousand Two Hundred Ninety Six Only </t>
  </si>
  <si>
    <t xml:space="preserve">Total Amt:Eight  Thousand  Four Hundred Ninety six only </t>
  </si>
  <si>
    <t>11 KV VCB Tripping problem (Brackdown )</t>
  </si>
  <si>
    <t xml:space="preserve">Four  Hundred Fifty Only </t>
  </si>
  <si>
    <t xml:space="preserve">Total Amt:Two Thousand Nine Hundred Fifty only </t>
  </si>
  <si>
    <t>ECPL/JJE/TSTP/-DIN/632/25-26</t>
  </si>
  <si>
    <t xml:space="preserve">Supply of Siemens make 5000 A Rook wond </t>
  </si>
  <si>
    <t xml:space="preserve">Three Thousand Five Hundred Fourty Nine Only </t>
  </si>
  <si>
    <t xml:space="preserve">Total Amt:Twenty Three Thousand Two Hundred Sevanty only </t>
  </si>
  <si>
    <t xml:space="preserve">Site:Dindoli Plant </t>
  </si>
  <si>
    <t xml:space="preserve">Site: Dindoli plant </t>
  </si>
  <si>
    <t>Servicing and Maintenance of ACB 4000 A</t>
  </si>
  <si>
    <t xml:space="preserve">RMU HT panel Maintenance </t>
  </si>
  <si>
    <t xml:space="preserve">Servicing and setting of GOAB switch </t>
  </si>
  <si>
    <t xml:space="preserve">Replacement of  5000 A Jow Contact </t>
  </si>
  <si>
    <t>Power pack -At  unn</t>
  </si>
  <si>
    <t xml:space="preserve">240 V Contector -Air port </t>
  </si>
  <si>
    <t xml:space="preserve">Total Amt:One lac Six Thousand Sevan Hundred Ninety Only </t>
  </si>
  <si>
    <t>Sixteen Thousand Two Hundred ninety   Only</t>
  </si>
  <si>
    <t>16/3/2026</t>
  </si>
  <si>
    <t xml:space="preserve">SITC of Earthing  Electrod </t>
  </si>
  <si>
    <t xml:space="preserve">Laying of 3.5x300 sq mm Al. cable </t>
  </si>
  <si>
    <t xml:space="preserve">SITC of 25x3 GI streep </t>
  </si>
  <si>
    <t xml:space="preserve">Supply of 300 sq mm bymetel Lugs </t>
  </si>
  <si>
    <t>Total Amt:Twenty  Thousand Four Hundred Sixty one Only</t>
  </si>
  <si>
    <t>Three Thousand One Hundred  Twenty One only</t>
  </si>
  <si>
    <t xml:space="preserve">Site: Bhatar plant </t>
  </si>
  <si>
    <t>14/3/2026</t>
  </si>
  <si>
    <t xml:space="preserve">Termination of 3x50 sq mm cable </t>
  </si>
  <si>
    <t xml:space="preserve">Maintenance  of MCC/PCC panel </t>
  </si>
  <si>
    <t xml:space="preserve">HT Panel Tripping Problem </t>
  </si>
  <si>
    <t>Four Thousand Nine  Hundred Fourty One only</t>
  </si>
  <si>
    <t>Total Amt:Thirty Two  Thousand Three Hundred Ninety One  Only</t>
  </si>
  <si>
    <t xml:space="preserve">Supply of 3.5x400 sq mm cable joint kit </t>
  </si>
  <si>
    <t xml:space="preserve">Installlation,Testing  of 3.5x400 sq mm cable joint kit </t>
  </si>
  <si>
    <t>SITC of 2.5x4 core cable joint kit (with matirial)</t>
  </si>
  <si>
    <t>Two Thousand Six Hundred Fourty six only</t>
  </si>
  <si>
    <t>Total Amt:Sevanteen Thousand Three Hundred Fourty six Only</t>
  </si>
  <si>
    <t>Five Thousand Four Hundred only</t>
  </si>
  <si>
    <t>Total Amt:Thirty Five Thousand Four Hundred Only</t>
  </si>
  <si>
    <t>15/2/2026</t>
  </si>
  <si>
    <t xml:space="preserve">Site: karanj plant </t>
  </si>
  <si>
    <t xml:space="preserve">Emegeny visit tripping problem </t>
  </si>
  <si>
    <t>One Hundred Eighty only</t>
  </si>
  <si>
    <t>18/3/2026</t>
  </si>
  <si>
    <t>DIPL/VRS/PO-26515</t>
  </si>
  <si>
    <t>22/1/2026</t>
  </si>
  <si>
    <t>Twelve  Thousand Eight Hundred Twenty Three Only</t>
  </si>
  <si>
    <t>Total Amt:Eighty Four Thousand Sixty Three Only</t>
  </si>
  <si>
    <t>DIPL/VRS/PO-26516</t>
  </si>
  <si>
    <t xml:space="preserve">Servicing of L&amp;T Make  ACB 20 nos and ABB make VCB -3 nos </t>
  </si>
  <si>
    <t>Silica jell</t>
  </si>
  <si>
    <t xml:space="preserve">Panel /APFC /Transformer maintenance </t>
  </si>
  <si>
    <t xml:space="preserve">Servicing  and maintenance of VCB </t>
  </si>
  <si>
    <t xml:space="preserve">Servicing  and maintenance of ACB </t>
  </si>
  <si>
    <t xml:space="preserve">Two Thousand Six Hundred Thirty Sevan only </t>
  </si>
  <si>
    <t xml:space="preserve">Total Amt:Sevanteen  Thousand Two Hundred Eighty Seven Only  </t>
  </si>
  <si>
    <t>22/03/2026</t>
  </si>
  <si>
    <t>Orange MegaStructure LLP</t>
  </si>
  <si>
    <t>OMLLP/JAY130301</t>
  </si>
  <si>
    <t>13/03/2026</t>
  </si>
  <si>
    <t xml:space="preserve">LT Cable IRV test </t>
  </si>
  <si>
    <t xml:space="preserve">Nine Hundred only </t>
  </si>
  <si>
    <t xml:space="preserve">Total Amt:Five Thousand Nine Hundred Only  </t>
  </si>
  <si>
    <t xml:space="preserve">Magdalla-Dumas Road,Surat </t>
  </si>
  <si>
    <t>OMLLP/JAY130302</t>
  </si>
  <si>
    <t xml:space="preserve">Transformer servicing and Maintenece </t>
  </si>
  <si>
    <t xml:space="preserve">One Thousand Four Hundred Fourty only </t>
  </si>
  <si>
    <t xml:space="preserve">Total Amt:Nine Thousand Four Hundred Fourty Only  </t>
  </si>
  <si>
    <t>One Thousand Eight Hundred Thirty Six  Only</t>
  </si>
  <si>
    <t>Total Amt:Twelve  Thousand Thirty six Only</t>
  </si>
  <si>
    <t>Fifty  Three Thousand Sixty Four only</t>
  </si>
  <si>
    <t>Total Amt:Three Lac Fourty Sevan Thousand Eight Hundred Sixty Four Only</t>
  </si>
  <si>
    <t>30/3/2026</t>
  </si>
  <si>
    <t xml:space="preserve">Supply of MNX 12 Contector </t>
  </si>
  <si>
    <t>1 NO-1 NC contact</t>
  </si>
  <si>
    <t>2 NO-2 NC contact</t>
  </si>
  <si>
    <t>Five Hundred Twenty Eight  Only</t>
  </si>
  <si>
    <t>Total Amt: Three  Thousand Four Hundered Sixty six Only</t>
  </si>
  <si>
    <t>24AAMCR9031M1ZX</t>
  </si>
  <si>
    <t>Rudraveer Electromech Projects Pvt.LTD</t>
  </si>
  <si>
    <t>408,B block,4th Floor ,Slok Infinity</t>
  </si>
  <si>
    <t xml:space="preserve">opp.Vishwakarma Temple,Gota Road </t>
  </si>
  <si>
    <t>Ahmedabad</t>
  </si>
  <si>
    <t xml:space="preserve">Maintenece and testing work SMC </t>
  </si>
  <si>
    <t>Cable joint work at ONGC baroda</t>
  </si>
  <si>
    <t>Termination,Earhing work at GMDC kadipani</t>
  </si>
  <si>
    <t>Juna Jeen Hanuman Tekri,
Opp. Ramji Mandir, Rander, Surat - 5
Mo. No.:- 9687609411
Email Id:- jayjalaramelectricals@gmail.com</t>
  </si>
  <si>
    <t>Eleone Thousand One Hundred Sixty  Only</t>
  </si>
  <si>
    <t>Total Amt:Seventy Three Thousand One Hundered Sixty Only</t>
  </si>
  <si>
    <t>Four Thousand Sevan Hundred Sevanty Only</t>
  </si>
  <si>
    <t>Total Amt:Thirty One Thousand Two  Hundered Sevanty Only</t>
  </si>
  <si>
    <t>31/3/2026</t>
  </si>
  <si>
    <t xml:space="preserve"> Nine Hundred   Only</t>
  </si>
  <si>
    <t xml:space="preserve">Total Amt: Five Thousand Nine Hundred Only </t>
  </si>
  <si>
    <t xml:space="preserve">Ancient Comfort Pvt.LTD </t>
  </si>
  <si>
    <t>2nd to 5th floor,Iskon janmahal</t>
  </si>
  <si>
    <t xml:space="preserve">Opp.railway ,Vadodra </t>
  </si>
  <si>
    <t>24AAXCA7133Q1ZW</t>
  </si>
  <si>
    <t xml:space="preserve">Site:Sunday Hotel,Vadodra </t>
  </si>
  <si>
    <t xml:space="preserve">Electrical maintenance work </t>
  </si>
  <si>
    <t>Five Thousand One Hundred Three Only</t>
  </si>
  <si>
    <t>Total Amt: Thirty Three Thousand Four Hundred Fifty Three Only</t>
  </si>
  <si>
    <t>HT Panel Maintenance</t>
  </si>
  <si>
    <t>31/03/2026</t>
  </si>
  <si>
    <t>BROTHERS ELECTRICAL SOLUTIONS</t>
  </si>
  <si>
    <t xml:space="preserve"> 703-BEJANWALA COMPLEX , RANDER</t>
  </si>
  <si>
    <t>TADWADI SURAT, 395009</t>
  </si>
  <si>
    <t>24AAXFB8304R1ZO</t>
  </si>
  <si>
    <t xml:space="preserve">Electrical panel </t>
  </si>
  <si>
    <t>Eighty four Thousand Sevan Hundred Eighty only</t>
  </si>
  <si>
    <t xml:space="preserve">Total Amt:Five lac Fifty Five  Thousand Sevan Hundred Eighty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</si>
</sst>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3" x14ac:knownFonts="1">
    <font>
      <sz val="11"/>
      <color theme="1"/>
      <name val="Calibri"/>
      <family val="2"/>
      <scheme val="minor"/>
    </font>
    <font>
      <i/>
      <sz val="36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i/>
      <sz val="16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rgb="FF000000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10.5"/>
      <color theme="1"/>
      <name val="Cambria"/>
      <family val="1"/>
      <scheme val="major"/>
    </font>
    <font>
      <sz val="10.5"/>
      <color theme="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10.5"/>
      <color rgb="FF000000"/>
      <name val="Calibri"/>
      <family val="2"/>
      <scheme val="minor"/>
    </font>
    <font>
      <sz val="8"/>
      <color rgb="FF212121"/>
      <name val="Verdana"/>
      <family val="2"/>
    </font>
    <font>
      <sz val="9"/>
      <color theme="1"/>
      <name val="Arial"/>
      <family val="2"/>
    </font>
    <font>
      <sz val="9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mbria"/>
      <family val="1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Cambria"/>
      <family val="1"/>
    </font>
    <font>
      <b/>
      <sz val="10"/>
      <color theme="1"/>
      <name val="Times New Roman"/>
      <family val="1"/>
    </font>
    <font>
      <sz val="10"/>
      <color rgb="FF000000"/>
      <name val="Cambria"/>
      <family val="1"/>
      <scheme val="major"/>
    </font>
    <font>
      <sz val="9"/>
      <color rgb="FF000000"/>
      <name val="Cambria"/>
      <family val="1"/>
      <scheme val="major"/>
    </font>
    <font>
      <sz val="11"/>
      <color rgb="FF000000"/>
      <name val="Cambria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4"/>
      <color rgb="FF0B1E59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.5"/>
      <color rgb="FF000000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sz val="9"/>
      <color rgb="FFFF0000"/>
      <name val="Cambria"/>
      <family val="1"/>
      <scheme val="major"/>
    </font>
    <font>
      <sz val="10.5"/>
      <color rgb="FFFF0000"/>
      <name val="Cambria"/>
      <family val="1"/>
      <scheme val="major"/>
    </font>
    <font>
      <sz val="12"/>
      <name val="Cambria"/>
      <family val="1"/>
      <scheme val="major"/>
    </font>
    <font>
      <sz val="11"/>
      <name val="Cambria"/>
      <family val="1"/>
      <scheme val="major"/>
    </font>
    <font>
      <sz val="8"/>
      <name val="Cambria"/>
      <family val="1"/>
      <scheme val="major"/>
    </font>
    <font>
      <sz val="9"/>
      <name val="Cambria"/>
      <family val="1"/>
      <scheme val="major"/>
    </font>
    <font>
      <sz val="11"/>
      <color rgb="FF212121"/>
      <name val="Verdana"/>
      <family val="2"/>
    </font>
    <font>
      <sz val="10.5"/>
      <name val="Cambria"/>
      <family val="1"/>
      <scheme val="major"/>
    </font>
    <font>
      <sz val="10"/>
      <name val="Cambria"/>
      <family val="1"/>
      <scheme val="major"/>
    </font>
    <font>
      <b/>
      <sz val="12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164" fontId="43" fillId="0" borderId="0" applyFont="0" applyFill="0" applyBorder="0" applyAlignment="0" applyProtection="0"/>
  </cellStyleXfs>
  <cellXfs count="749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6" fillId="0" borderId="1" xfId="0" applyFont="1" applyBorder="1" applyAlignment="1">
      <alignment horizontal="left" vertical="center"/>
    </xf>
    <xf numFmtId="0" fontId="7" fillId="0" borderId="3" xfId="0" applyFont="1" applyBorder="1"/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14" fontId="8" fillId="0" borderId="11" xfId="0" applyNumberFormat="1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vertical="top"/>
    </xf>
    <xf numFmtId="14" fontId="7" fillId="0" borderId="11" xfId="0" applyNumberFormat="1" applyFont="1" applyBorder="1" applyAlignment="1">
      <alignment horizontal="center" vertical="top"/>
    </xf>
    <xf numFmtId="0" fontId="10" fillId="0" borderId="1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2" fillId="0" borderId="11" xfId="0" applyFont="1" applyBorder="1" applyAlignment="1">
      <alignment vertical="top" wrapText="1"/>
    </xf>
    <xf numFmtId="0" fontId="12" fillId="0" borderId="11" xfId="0" applyFont="1" applyBorder="1" applyAlignment="1">
      <alignment horizontal="center" vertical="top"/>
    </xf>
    <xf numFmtId="1" fontId="2" fillId="0" borderId="11" xfId="0" applyNumberFormat="1" applyFont="1" applyBorder="1" applyAlignment="1">
      <alignment horizontal="center" vertical="top"/>
    </xf>
    <xf numFmtId="2" fontId="2" fillId="0" borderId="11" xfId="0" applyNumberFormat="1" applyFont="1" applyBorder="1" applyAlignment="1">
      <alignment horizontal="center" vertical="top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top"/>
    </xf>
    <xf numFmtId="0" fontId="13" fillId="0" borderId="11" xfId="0" applyFont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0" xfId="0" applyFont="1"/>
    <xf numFmtId="0" fontId="11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6" fillId="0" borderId="8" xfId="0" applyFont="1" applyBorder="1" applyAlignment="1">
      <alignment horizontal="left" vertic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19" fillId="0" borderId="4" xfId="0" applyFont="1" applyBorder="1"/>
    <xf numFmtId="0" fontId="7" fillId="0" borderId="8" xfId="0" applyFont="1" applyBorder="1"/>
    <xf numFmtId="0" fontId="20" fillId="0" borderId="4" xfId="0" applyFont="1" applyBorder="1"/>
    <xf numFmtId="0" fontId="20" fillId="0" borderId="0" xfId="0" applyFont="1"/>
    <xf numFmtId="0" fontId="8" fillId="0" borderId="11" xfId="0" applyFont="1" applyBorder="1" applyAlignment="1">
      <alignment horizontal="center"/>
    </xf>
    <xf numFmtId="0" fontId="7" fillId="0" borderId="8" xfId="0" applyFont="1" applyBorder="1" applyAlignment="1">
      <alignment vertical="top"/>
    </xf>
    <xf numFmtId="0" fontId="9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3" xfId="0" applyFont="1" applyBorder="1"/>
    <xf numFmtId="0" fontId="7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1" fontId="8" fillId="0" borderId="11" xfId="0" applyNumberFormat="1" applyFont="1" applyBorder="1" applyAlignment="1">
      <alignment horizontal="center" vertical="top"/>
    </xf>
    <xf numFmtId="2" fontId="8" fillId="0" borderId="11" xfId="0" applyNumberFormat="1" applyFont="1" applyBorder="1" applyAlignment="1">
      <alignment horizontal="center" vertical="top"/>
    </xf>
    <xf numFmtId="0" fontId="8" fillId="0" borderId="11" xfId="0" applyFont="1" applyBorder="1" applyAlignment="1">
      <alignment vertical="top" wrapText="1"/>
    </xf>
    <xf numFmtId="0" fontId="9" fillId="0" borderId="11" xfId="0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8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9" fontId="8" fillId="0" borderId="12" xfId="0" applyNumberFormat="1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8" fillId="0" borderId="1" xfId="0" applyFont="1" applyBorder="1"/>
    <xf numFmtId="0" fontId="18" fillId="0" borderId="12" xfId="0" applyFont="1" applyBorder="1"/>
    <xf numFmtId="0" fontId="7" fillId="0" borderId="11" xfId="0" applyFont="1" applyBorder="1" applyAlignment="1">
      <alignment horizontal="center" vertical="top"/>
    </xf>
    <xf numFmtId="0" fontId="13" fillId="0" borderId="11" xfId="0" applyFont="1" applyBorder="1" applyAlignment="1">
      <alignment horizontal="center" vertical="top"/>
    </xf>
    <xf numFmtId="0" fontId="15" fillId="0" borderId="11" xfId="0" applyFont="1" applyBorder="1" applyAlignment="1">
      <alignment vertical="center"/>
    </xf>
    <xf numFmtId="0" fontId="23" fillId="0" borderId="11" xfId="0" applyFont="1" applyBorder="1" applyAlignment="1">
      <alignment horizontal="center" vertical="top"/>
    </xf>
    <xf numFmtId="0" fontId="13" fillId="0" borderId="11" xfId="0" applyFont="1" applyBorder="1" applyAlignment="1">
      <alignment horizontal="center" vertical="center"/>
    </xf>
    <xf numFmtId="2" fontId="23" fillId="0" borderId="11" xfId="0" applyNumberFormat="1" applyFont="1" applyBorder="1" applyAlignment="1">
      <alignment horizontal="center" vertical="top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/>
    <xf numFmtId="0" fontId="24" fillId="0" borderId="4" xfId="0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0" fontId="18" fillId="0" borderId="4" xfId="0" applyFont="1" applyBorder="1"/>
    <xf numFmtId="0" fontId="18" fillId="0" borderId="5" xfId="0" applyFont="1" applyBorder="1"/>
    <xf numFmtId="0" fontId="0" fillId="0" borderId="0" xfId="0" applyAlignment="1">
      <alignment vertical="top"/>
    </xf>
    <xf numFmtId="0" fontId="17" fillId="0" borderId="4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5" xfId="0" applyFont="1" applyBorder="1" applyAlignment="1">
      <alignment horizontal="left"/>
    </xf>
    <xf numFmtId="0" fontId="15" fillId="0" borderId="11" xfId="0" applyFont="1" applyBorder="1"/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5" xfId="0" applyFont="1" applyBorder="1" applyAlignment="1">
      <alignment vertical="top"/>
    </xf>
    <xf numFmtId="0" fontId="25" fillId="0" borderId="5" xfId="0" applyFont="1" applyBorder="1"/>
    <xf numFmtId="0" fontId="9" fillId="0" borderId="4" xfId="0" applyFont="1" applyBorder="1" applyAlignment="1">
      <alignment vertical="center"/>
    </xf>
    <xf numFmtId="14" fontId="8" fillId="0" borderId="11" xfId="0" applyNumberFormat="1" applyFont="1" applyBorder="1" applyAlignment="1">
      <alignment horizontal="center" vertical="top"/>
    </xf>
    <xf numFmtId="0" fontId="10" fillId="0" borderId="6" xfId="0" applyFont="1" applyBorder="1"/>
    <xf numFmtId="0" fontId="9" fillId="0" borderId="8" xfId="0" applyFont="1" applyBorder="1" applyAlignment="1">
      <alignment horizontal="center"/>
    </xf>
    <xf numFmtId="0" fontId="9" fillId="0" borderId="7" xfId="0" applyFont="1" applyBorder="1"/>
    <xf numFmtId="0" fontId="9" fillId="0" borderId="11" xfId="0" applyFont="1" applyBorder="1" applyAlignment="1">
      <alignment vertical="top" wrapText="1"/>
    </xf>
    <xf numFmtId="0" fontId="9" fillId="0" borderId="11" xfId="0" applyFont="1" applyBorder="1" applyAlignment="1">
      <alignment horizontal="center" vertical="top" wrapText="1"/>
    </xf>
    <xf numFmtId="9" fontId="9" fillId="0" borderId="11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18" fillId="0" borderId="2" xfId="0" applyFont="1" applyBorder="1"/>
    <xf numFmtId="0" fontId="18" fillId="0" borderId="0" xfId="0" applyFont="1"/>
    <xf numFmtId="0" fontId="5" fillId="0" borderId="7" xfId="0" applyFont="1" applyBorder="1" applyAlignment="1">
      <alignment horizontal="center"/>
    </xf>
    <xf numFmtId="0" fontId="25" fillId="0" borderId="4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/>
    </xf>
    <xf numFmtId="0" fontId="7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9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/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7" fillId="0" borderId="11" xfId="0" applyFont="1" applyBorder="1" applyAlignment="1">
      <alignment vertical="top" wrapText="1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7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 wrapText="1"/>
    </xf>
    <xf numFmtId="0" fontId="28" fillId="0" borderId="11" xfId="0" applyFont="1" applyBorder="1" applyAlignment="1">
      <alignment horizontal="center" vertical="top"/>
    </xf>
    <xf numFmtId="1" fontId="9" fillId="0" borderId="11" xfId="0" applyNumberFormat="1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2" fontId="13" fillId="0" borderId="1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top"/>
    </xf>
    <xf numFmtId="0" fontId="11" fillId="0" borderId="0" xfId="0" applyFont="1" applyAlignment="1">
      <alignment horizontal="center" vertical="top" wrapText="1"/>
    </xf>
    <xf numFmtId="0" fontId="8" fillId="0" borderId="0" xfId="0" applyFont="1" applyAlignment="1">
      <alignment vertical="top"/>
    </xf>
    <xf numFmtId="0" fontId="0" fillId="0" borderId="11" xfId="0" applyBorder="1"/>
    <xf numFmtId="0" fontId="9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top"/>
    </xf>
    <xf numFmtId="2" fontId="8" fillId="0" borderId="5" xfId="0" applyNumberFormat="1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center" vertical="top"/>
    </xf>
    <xf numFmtId="0" fontId="12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7" fillId="0" borderId="10" xfId="0" applyFont="1" applyBorder="1"/>
    <xf numFmtId="0" fontId="10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7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8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0" fillId="0" borderId="6" xfId="0" applyFont="1" applyBorder="1"/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1" fontId="8" fillId="0" borderId="7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8" fillId="0" borderId="14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top"/>
    </xf>
    <xf numFmtId="1" fontId="8" fillId="0" borderId="14" xfId="0" applyNumberFormat="1" applyFont="1" applyBorder="1" applyAlignment="1">
      <alignment horizontal="center" vertical="top"/>
    </xf>
    <xf numFmtId="2" fontId="8" fillId="0" borderId="14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15" fillId="0" borderId="2" xfId="0" applyFont="1" applyBorder="1" applyAlignment="1">
      <alignment vertical="center"/>
    </xf>
    <xf numFmtId="0" fontId="23" fillId="0" borderId="2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3" fillId="0" borderId="0" xfId="0" applyFont="1" applyAlignment="1">
      <alignment horizontal="center" vertical="top"/>
    </xf>
    <xf numFmtId="2" fontId="23" fillId="0" borderId="0" xfId="0" applyNumberFormat="1" applyFont="1" applyAlignment="1">
      <alignment horizontal="center" vertical="top"/>
    </xf>
    <xf numFmtId="0" fontId="20" fillId="0" borderId="11" xfId="0" applyFont="1" applyBorder="1"/>
    <xf numFmtId="0" fontId="20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8" fillId="0" borderId="11" xfId="0" applyFont="1" applyBorder="1" applyAlignment="1">
      <alignment vertical="top"/>
    </xf>
    <xf numFmtId="0" fontId="31" fillId="0" borderId="11" xfId="0" applyFont="1" applyBorder="1" applyAlignment="1">
      <alignment horizontal="center" vertical="top" wrapText="1"/>
    </xf>
    <xf numFmtId="0" fontId="32" fillId="0" borderId="11" xfId="0" applyFont="1" applyBorder="1" applyAlignment="1">
      <alignment horizontal="justify" vertical="top" wrapText="1"/>
    </xf>
    <xf numFmtId="0" fontId="32" fillId="0" borderId="11" xfId="0" applyFont="1" applyBorder="1" applyAlignment="1">
      <alignment horizontal="center" vertical="top" wrapText="1"/>
    </xf>
    <xf numFmtId="0" fontId="33" fillId="0" borderId="11" xfId="0" applyFont="1" applyBorder="1" applyAlignment="1">
      <alignment horizontal="center" vertical="top" wrapText="1"/>
    </xf>
    <xf numFmtId="0" fontId="33" fillId="0" borderId="23" xfId="0" applyFont="1" applyBorder="1" applyAlignment="1">
      <alignment vertical="top" wrapText="1"/>
    </xf>
    <xf numFmtId="0" fontId="33" fillId="0" borderId="16" xfId="0" applyFont="1" applyBorder="1" applyAlignment="1">
      <alignment vertical="top" wrapText="1"/>
    </xf>
    <xf numFmtId="0" fontId="31" fillId="0" borderId="16" xfId="0" applyFont="1" applyBorder="1" applyAlignment="1">
      <alignment vertical="top" wrapText="1"/>
    </xf>
    <xf numFmtId="0" fontId="34" fillId="0" borderId="24" xfId="0" applyFont="1" applyBorder="1" applyAlignment="1">
      <alignment vertical="top" wrapText="1"/>
    </xf>
    <xf numFmtId="0" fontId="32" fillId="0" borderId="6" xfId="0" applyFont="1" applyBorder="1" applyAlignment="1">
      <alignment horizontal="center" vertical="top" wrapText="1"/>
    </xf>
    <xf numFmtId="0" fontId="33" fillId="0" borderId="6" xfId="0" applyFont="1" applyBorder="1" applyAlignment="1">
      <alignment horizontal="center" vertical="top" wrapText="1"/>
    </xf>
    <xf numFmtId="1" fontId="8" fillId="0" borderId="7" xfId="0" applyNumberFormat="1" applyFont="1" applyBorder="1" applyAlignment="1">
      <alignment horizontal="center" vertical="center"/>
    </xf>
    <xf numFmtId="0" fontId="33" fillId="0" borderId="0" xfId="0" applyFont="1"/>
    <xf numFmtId="0" fontId="35" fillId="0" borderId="0" xfId="0" applyFont="1"/>
    <xf numFmtId="0" fontId="5" fillId="0" borderId="0" xfId="0" applyFont="1"/>
    <xf numFmtId="0" fontId="22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0" xfId="0" applyFill="1"/>
    <xf numFmtId="0" fontId="5" fillId="0" borderId="8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8" fillId="0" borderId="9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 wrapText="1"/>
    </xf>
    <xf numFmtId="0" fontId="8" fillId="0" borderId="11" xfId="0" applyFont="1" applyBorder="1" applyAlignment="1">
      <alignment horizontal="center" vertical="top" wrapText="1"/>
    </xf>
    <xf numFmtId="2" fontId="8" fillId="0" borderId="0" xfId="0" applyNumberFormat="1" applyFont="1" applyAlignment="1">
      <alignment horizontal="center"/>
    </xf>
    <xf numFmtId="0" fontId="28" fillId="0" borderId="4" xfId="0" applyFont="1" applyBorder="1"/>
    <xf numFmtId="0" fontId="28" fillId="0" borderId="5" xfId="0" applyFont="1" applyBorder="1"/>
    <xf numFmtId="0" fontId="7" fillId="0" borderId="3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7" fillId="0" borderId="7" xfId="0" applyFont="1" applyBorder="1"/>
    <xf numFmtId="0" fontId="5" fillId="0" borderId="7" xfId="0" applyFont="1" applyBorder="1" applyAlignment="1">
      <alignment vertical="center"/>
    </xf>
    <xf numFmtId="0" fontId="8" fillId="0" borderId="6" xfId="0" applyFont="1" applyBorder="1"/>
    <xf numFmtId="0" fontId="8" fillId="0" borderId="7" xfId="0" applyFont="1" applyBorder="1"/>
    <xf numFmtId="14" fontId="8" fillId="0" borderId="11" xfId="0" applyNumberFormat="1" applyFont="1" applyBorder="1" applyAlignment="1">
      <alignment horizontal="left"/>
    </xf>
    <xf numFmtId="14" fontId="7" fillId="0" borderId="11" xfId="0" applyNumberFormat="1" applyFont="1" applyBorder="1" applyAlignment="1">
      <alignment horizontal="left"/>
    </xf>
    <xf numFmtId="14" fontId="8" fillId="0" borderId="11" xfId="0" applyNumberFormat="1" applyFont="1" applyBorder="1" applyAlignment="1">
      <alignment horizontal="left" vertical="top"/>
    </xf>
    <xf numFmtId="0" fontId="7" fillId="0" borderId="4" xfId="0" applyFont="1" applyBorder="1"/>
    <xf numFmtId="0" fontId="7" fillId="0" borderId="5" xfId="0" applyFont="1" applyBorder="1"/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5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/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right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1" fontId="38" fillId="0" borderId="27" xfId="0" applyNumberFormat="1" applyFont="1" applyBorder="1" applyAlignment="1">
      <alignment horizontal="center" vertical="top" shrinkToFit="1"/>
    </xf>
    <xf numFmtId="0" fontId="20" fillId="0" borderId="11" xfId="0" applyFont="1" applyBorder="1" applyAlignment="1">
      <alignment vertical="top" wrapText="1"/>
    </xf>
    <xf numFmtId="1" fontId="38" fillId="0" borderId="28" xfId="0" applyNumberFormat="1" applyFont="1" applyBorder="1" applyAlignment="1">
      <alignment horizontal="center" vertical="center" shrinkToFit="1"/>
    </xf>
    <xf numFmtId="1" fontId="30" fillId="0" borderId="29" xfId="0" applyNumberFormat="1" applyFont="1" applyBorder="1" applyAlignment="1">
      <alignment horizontal="center" vertical="center" shrinkToFit="1"/>
    </xf>
    <xf numFmtId="1" fontId="38" fillId="0" borderId="30" xfId="0" applyNumberFormat="1" applyFont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9" fillId="0" borderId="11" xfId="0" applyFont="1" applyBorder="1" applyAlignment="1">
      <alignment vertical="top" wrapText="1"/>
    </xf>
    <xf numFmtId="0" fontId="0" fillId="0" borderId="31" xfId="0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1" fontId="38" fillId="0" borderId="31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center" vertical="center"/>
    </xf>
    <xf numFmtId="9" fontId="9" fillId="0" borderId="0" xfId="0" applyNumberFormat="1" applyFont="1" applyAlignment="1">
      <alignment horizontal="center" vertical="top"/>
    </xf>
    <xf numFmtId="14" fontId="8" fillId="0" borderId="10" xfId="0" applyNumberFormat="1" applyFont="1" applyBorder="1" applyAlignment="1">
      <alignment horizontal="center"/>
    </xf>
    <xf numFmtId="0" fontId="9" fillId="0" borderId="5" xfId="0" applyFont="1" applyBorder="1"/>
    <xf numFmtId="0" fontId="9" fillId="0" borderId="11" xfId="0" applyFont="1" applyBorder="1" applyAlignment="1">
      <alignment vertical="center" wrapText="1"/>
    </xf>
    <xf numFmtId="9" fontId="9" fillId="0" borderId="11" xfId="0" applyNumberFormat="1" applyFont="1" applyBorder="1" applyAlignment="1">
      <alignment horizontal="center" vertical="center"/>
    </xf>
    <xf numFmtId="14" fontId="0" fillId="0" borderId="0" xfId="0" applyNumberFormat="1"/>
    <xf numFmtId="0" fontId="20" fillId="0" borderId="11" xfId="0" applyFont="1" applyBorder="1" applyAlignment="1">
      <alignment horizontal="center" vertical="top"/>
    </xf>
    <xf numFmtId="0" fontId="16" fillId="0" borderId="8" xfId="0" applyFont="1" applyBorder="1" applyAlignment="1">
      <alignment vertical="center"/>
    </xf>
    <xf numFmtId="9" fontId="8" fillId="0" borderId="4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top"/>
    </xf>
    <xf numFmtId="3" fontId="30" fillId="0" borderId="5" xfId="0" applyNumberFormat="1" applyFont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18" fillId="0" borderId="5" xfId="0" applyFont="1" applyBorder="1" applyAlignment="1">
      <alignment horizontal="center"/>
    </xf>
    <xf numFmtId="0" fontId="9" fillId="0" borderId="6" xfId="0" applyFont="1" applyBorder="1"/>
    <xf numFmtId="0" fontId="9" fillId="0" borderId="8" xfId="0" applyFont="1" applyBorder="1"/>
    <xf numFmtId="0" fontId="11" fillId="0" borderId="11" xfId="0" applyFont="1" applyBorder="1" applyAlignment="1">
      <alignment horizontal="center" vertical="center"/>
    </xf>
    <xf numFmtId="9" fontId="8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wrapText="1"/>
    </xf>
    <xf numFmtId="0" fontId="14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41" fillId="0" borderId="0" xfId="0" applyFont="1" applyAlignment="1">
      <alignment wrapText="1"/>
    </xf>
    <xf numFmtId="2" fontId="2" fillId="0" borderId="11" xfId="0" applyNumberFormat="1" applyFont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top"/>
    </xf>
    <xf numFmtId="9" fontId="11" fillId="0" borderId="4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0" fontId="39" fillId="0" borderId="11" xfId="0" applyFont="1" applyBorder="1" applyAlignment="1">
      <alignment horizontal="center" vertical="top" wrapText="1"/>
    </xf>
    <xf numFmtId="0" fontId="42" fillId="0" borderId="11" xfId="0" applyFont="1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39" fillId="0" borderId="0" xfId="0" applyFont="1" applyAlignment="1">
      <alignment horizontal="center" vertical="top" wrapText="1"/>
    </xf>
    <xf numFmtId="0" fontId="39" fillId="0" borderId="5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3" fillId="0" borderId="4" xfId="0" applyFont="1" applyBorder="1"/>
    <xf numFmtId="0" fontId="6" fillId="0" borderId="1" xfId="0" applyFont="1" applyBorder="1"/>
    <xf numFmtId="0" fontId="6" fillId="0" borderId="11" xfId="0" applyFont="1" applyBorder="1"/>
    <xf numFmtId="9" fontId="5" fillId="0" borderId="11" xfId="0" applyNumberFormat="1" applyFont="1" applyBorder="1" applyAlignment="1">
      <alignment horizontal="center" vertical="center" wrapText="1"/>
    </xf>
    <xf numFmtId="0" fontId="8" fillId="0" borderId="4" xfId="0" applyFont="1" applyBorder="1"/>
    <xf numFmtId="0" fontId="5" fillId="0" borderId="4" xfId="0" applyFont="1" applyBorder="1"/>
    <xf numFmtId="2" fontId="5" fillId="0" borderId="5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2" fontId="13" fillId="0" borderId="5" xfId="0" applyNumberFormat="1" applyFont="1" applyBorder="1" applyAlignment="1">
      <alignment horizontal="center"/>
    </xf>
    <xf numFmtId="0" fontId="8" fillId="0" borderId="12" xfId="0" applyFont="1" applyBorder="1"/>
    <xf numFmtId="0" fontId="8" fillId="0" borderId="9" xfId="0" applyFont="1" applyBorder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2" fontId="13" fillId="0" borderId="0" xfId="0" applyNumberFormat="1" applyFont="1" applyAlignment="1">
      <alignment horizontal="center"/>
    </xf>
    <xf numFmtId="164" fontId="5" fillId="0" borderId="0" xfId="1" applyFont="1" applyBorder="1" applyAlignment="1">
      <alignment vertical="center"/>
    </xf>
    <xf numFmtId="0" fontId="45" fillId="0" borderId="0" xfId="0" applyFont="1" applyAlignment="1">
      <alignment wrapText="1"/>
    </xf>
    <xf numFmtId="0" fontId="44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/>
    </xf>
    <xf numFmtId="0" fontId="44" fillId="0" borderId="0" xfId="0" applyFont="1"/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left"/>
    </xf>
    <xf numFmtId="14" fontId="2" fillId="0" borderId="11" xfId="0" applyNumberFormat="1" applyFont="1" applyBorder="1" applyAlignment="1">
      <alignment horizontal="left" vertical="top"/>
    </xf>
    <xf numFmtId="0" fontId="44" fillId="0" borderId="11" xfId="0" applyFont="1" applyBorder="1"/>
    <xf numFmtId="0" fontId="44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left" vertical="top" wrapText="1"/>
    </xf>
    <xf numFmtId="0" fontId="46" fillId="0" borderId="11" xfId="0" applyFont="1" applyBorder="1" applyAlignment="1">
      <alignment vertical="top"/>
    </xf>
    <xf numFmtId="0" fontId="11" fillId="0" borderId="8" xfId="0" applyFont="1" applyBorder="1"/>
    <xf numFmtId="0" fontId="20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/>
    <xf numFmtId="2" fontId="0" fillId="0" borderId="0" xfId="0" applyNumberForma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5" fillId="0" borderId="11" xfId="0" applyFont="1" applyBorder="1" applyAlignment="1">
      <alignment vertical="top" wrapText="1"/>
    </xf>
    <xf numFmtId="0" fontId="44" fillId="0" borderId="1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5" fillId="0" borderId="11" xfId="0" applyFont="1" applyBorder="1" applyAlignment="1">
      <alignment vertical="top"/>
    </xf>
    <xf numFmtId="0" fontId="44" fillId="0" borderId="11" xfId="0" applyFont="1" applyBorder="1" applyAlignment="1">
      <alignment vertical="center"/>
    </xf>
    <xf numFmtId="0" fontId="47" fillId="0" borderId="11" xfId="0" applyFont="1" applyBorder="1"/>
    <xf numFmtId="0" fontId="0" fillId="0" borderId="19" xfId="0" applyBorder="1" applyAlignment="1">
      <alignment vertical="center"/>
    </xf>
    <xf numFmtId="14" fontId="30" fillId="0" borderId="32" xfId="0" applyNumberFormat="1" applyFont="1" applyBorder="1"/>
    <xf numFmtId="0" fontId="11" fillId="0" borderId="14" xfId="0" applyFont="1" applyBorder="1" applyAlignment="1">
      <alignment horizontal="center"/>
    </xf>
    <xf numFmtId="14" fontId="30" fillId="0" borderId="11" xfId="0" applyNumberFormat="1" applyFont="1" applyBorder="1"/>
    <xf numFmtId="14" fontId="2" fillId="0" borderId="10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48" fillId="0" borderId="11" xfId="0" applyFont="1" applyBorder="1" applyAlignment="1">
      <alignment horizontal="center" vertical="center"/>
    </xf>
    <xf numFmtId="0" fontId="46" fillId="0" borderId="11" xfId="0" applyFont="1" applyBorder="1"/>
    <xf numFmtId="0" fontId="2" fillId="0" borderId="9" xfId="0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49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9" fontId="10" fillId="0" borderId="0" xfId="0" applyNumberFormat="1" applyFont="1" applyAlignment="1">
      <alignment horizontal="center" vertical="top"/>
    </xf>
    <xf numFmtId="0" fontId="5" fillId="0" borderId="5" xfId="0" applyFont="1" applyBorder="1" applyAlignment="1">
      <alignment horizontal="center"/>
    </xf>
    <xf numFmtId="14" fontId="30" fillId="0" borderId="11" xfId="0" applyNumberFormat="1" applyFont="1" applyBorder="1" applyAlignment="1">
      <alignment horizontal="left"/>
    </xf>
    <xf numFmtId="0" fontId="8" fillId="0" borderId="9" xfId="0" applyFont="1" applyBorder="1" applyAlignment="1">
      <alignment vertical="top" wrapText="1"/>
    </xf>
    <xf numFmtId="0" fontId="51" fillId="3" borderId="0" xfId="0" applyFont="1" applyFill="1"/>
    <xf numFmtId="14" fontId="51" fillId="0" borderId="11" xfId="0" applyNumberFormat="1" applyFont="1" applyBorder="1" applyAlignment="1">
      <alignment horizontal="left" vertical="top"/>
    </xf>
    <xf numFmtId="0" fontId="51" fillId="0" borderId="11" xfId="0" applyFont="1" applyBorder="1" applyAlignment="1">
      <alignment horizontal="center" vertical="center"/>
    </xf>
    <xf numFmtId="0" fontId="53" fillId="0" borderId="11" xfId="0" applyFont="1" applyBorder="1" applyAlignment="1">
      <alignment vertical="center"/>
    </xf>
    <xf numFmtId="0" fontId="54" fillId="0" borderId="11" xfId="0" applyFont="1" applyBorder="1" applyAlignment="1">
      <alignment vertical="top"/>
    </xf>
    <xf numFmtId="14" fontId="55" fillId="0" borderId="11" xfId="0" applyNumberFormat="1" applyFont="1" applyBorder="1" applyAlignment="1">
      <alignment horizontal="left" vertical="top"/>
    </xf>
    <xf numFmtId="0" fontId="55" fillId="0" borderId="11" xfId="0" applyFont="1" applyBorder="1" applyAlignment="1">
      <alignment horizontal="center" vertical="top"/>
    </xf>
    <xf numFmtId="1" fontId="55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18" fillId="0" borderId="12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center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4" fillId="0" borderId="0" xfId="0" applyFont="1" applyAlignment="1">
      <alignment horizontal="right"/>
    </xf>
    <xf numFmtId="0" fontId="56" fillId="0" borderId="7" xfId="0" applyFont="1" applyBorder="1" applyAlignment="1">
      <alignment vertical="top" wrapText="1"/>
    </xf>
    <xf numFmtId="0" fontId="55" fillId="0" borderId="11" xfId="0" applyFont="1" applyBorder="1" applyAlignment="1">
      <alignment vertical="top" wrapText="1"/>
    </xf>
    <xf numFmtId="0" fontId="58" fillId="0" borderId="0" xfId="0" applyFont="1" applyAlignment="1">
      <alignment horizontal="left" wrapText="1" indent="1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4" xfId="0" applyFont="1" applyBorder="1"/>
    <xf numFmtId="0" fontId="2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horizontal="center" vertical="center"/>
    </xf>
    <xf numFmtId="0" fontId="53" fillId="0" borderId="11" xfId="0" applyFont="1" applyBorder="1" applyAlignment="1">
      <alignment vertical="center" wrapText="1"/>
    </xf>
    <xf numFmtId="0" fontId="59" fillId="0" borderId="11" xfId="0" applyFont="1" applyBorder="1" applyAlignment="1">
      <alignment vertical="center" wrapText="1"/>
    </xf>
    <xf numFmtId="0" fontId="15" fillId="3" borderId="11" xfId="0" applyFont="1" applyFill="1" applyBorder="1" applyAlignment="1">
      <alignment vertical="center" wrapText="1"/>
    </xf>
    <xf numFmtId="0" fontId="44" fillId="0" borderId="19" xfId="0" applyFont="1" applyBorder="1"/>
    <xf numFmtId="0" fontId="54" fillId="0" borderId="11" xfId="0" applyFont="1" applyBorder="1" applyAlignment="1">
      <alignment horizontal="center" vertical="center"/>
    </xf>
    <xf numFmtId="0" fontId="55" fillId="0" borderId="11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vertical="top"/>
    </xf>
    <xf numFmtId="0" fontId="48" fillId="0" borderId="11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 wrapText="1"/>
    </xf>
    <xf numFmtId="0" fontId="23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0" fillId="0" borderId="12" xfId="0" applyFont="1" applyBorder="1"/>
    <xf numFmtId="0" fontId="7" fillId="0" borderId="9" xfId="0" applyFont="1" applyBorder="1" applyAlignment="1">
      <alignment vertical="center"/>
    </xf>
    <xf numFmtId="0" fontId="32" fillId="0" borderId="11" xfId="0" applyFont="1" applyBorder="1" applyAlignment="1">
      <alignment vertical="top" wrapText="1"/>
    </xf>
    <xf numFmtId="0" fontId="62" fillId="0" borderId="11" xfId="0" applyFont="1" applyBorder="1" applyAlignment="1">
      <alignment horizontal="center" vertical="top" wrapText="1"/>
    </xf>
    <xf numFmtId="0" fontId="8" fillId="0" borderId="10" xfId="0" applyFont="1" applyBorder="1" applyAlignment="1">
      <alignment vertical="center"/>
    </xf>
    <xf numFmtId="0" fontId="12" fillId="0" borderId="10" xfId="0" applyFont="1" applyBorder="1" applyAlignment="1">
      <alignment horizontal="center" vertical="top"/>
    </xf>
    <xf numFmtId="1" fontId="8" fillId="0" borderId="10" xfId="0" applyNumberFormat="1" applyFont="1" applyBorder="1" applyAlignment="1">
      <alignment horizontal="center" vertical="top"/>
    </xf>
    <xf numFmtId="2" fontId="8" fillId="0" borderId="10" xfId="0" applyNumberFormat="1" applyFont="1" applyBorder="1" applyAlignment="1">
      <alignment horizontal="center" vertical="top"/>
    </xf>
    <xf numFmtId="0" fontId="14" fillId="0" borderId="11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7" fillId="0" borderId="4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5" xfId="0" applyFont="1" applyBorder="1" applyAlignment="1">
      <alignment horizontal="left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0" fontId="7" fillId="0" borderId="11" xfId="0" applyFont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13" fillId="0" borderId="11" xfId="0" applyFont="1" applyBorder="1" applyAlignment="1">
      <alignment horizontal="center"/>
    </xf>
    <xf numFmtId="0" fontId="61" fillId="0" borderId="33" xfId="0" applyFont="1" applyBorder="1" applyAlignment="1">
      <alignment horizontal="center" vertical="top" wrapText="1"/>
    </xf>
    <xf numFmtId="0" fontId="61" fillId="0" borderId="0" xfId="0" applyFont="1" applyAlignment="1">
      <alignment horizontal="center" vertical="top" wrapText="1"/>
    </xf>
    <xf numFmtId="0" fontId="61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9" fillId="0" borderId="4" xfId="0" applyFont="1" applyBorder="1" applyAlignment="1">
      <alignment horizontal="left" wrapText="1"/>
    </xf>
    <xf numFmtId="0" fontId="9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/>
    </xf>
    <xf numFmtId="0" fontId="2" fillId="0" borderId="11" xfId="0" applyFont="1" applyBorder="1" applyAlignment="1">
      <alignment horizont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2" fontId="15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49" fontId="23" fillId="0" borderId="6" xfId="0" applyNumberFormat="1" applyFont="1" applyBorder="1" applyAlignment="1">
      <alignment horizontal="center" vertical="top" wrapText="1"/>
    </xf>
    <xf numFmtId="49" fontId="23" fillId="0" borderId="7" xfId="0" applyNumberFormat="1" applyFont="1" applyBorder="1" applyAlignment="1">
      <alignment horizontal="center" vertical="top" wrapText="1"/>
    </xf>
    <xf numFmtId="0" fontId="10" fillId="0" borderId="12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56" fillId="0" borderId="6" xfId="0" applyFont="1" applyBorder="1" applyAlignment="1">
      <alignment horizontal="center" vertical="top" wrapText="1"/>
    </xf>
    <xf numFmtId="0" fontId="56" fillId="0" borderId="7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5" fillId="0" borderId="4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3" fillId="0" borderId="7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57" fillId="0" borderId="6" xfId="0" applyFont="1" applyBorder="1" applyAlignment="1">
      <alignment horizontal="center" vertical="top" wrapText="1"/>
    </xf>
    <xf numFmtId="0" fontId="57" fillId="0" borderId="7" xfId="0" applyFont="1" applyBorder="1" applyAlignment="1">
      <alignment horizontal="center" vertical="top" wrapText="1"/>
    </xf>
    <xf numFmtId="0" fontId="57" fillId="0" borderId="6" xfId="0" applyFont="1" applyBorder="1" applyAlignment="1">
      <alignment horizontal="left" vertical="top" wrapText="1"/>
    </xf>
    <xf numFmtId="0" fontId="57" fillId="0" borderId="7" xfId="0" applyFont="1" applyBorder="1" applyAlignment="1">
      <alignment horizontal="left" vertical="top" wrapText="1"/>
    </xf>
    <xf numFmtId="0" fontId="52" fillId="0" borderId="6" xfId="0" applyFont="1" applyBorder="1" applyAlignment="1">
      <alignment horizontal="center" vertical="top" wrapText="1"/>
    </xf>
    <xf numFmtId="0" fontId="52" fillId="0" borderId="7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49" fontId="7" fillId="0" borderId="6" xfId="0" applyNumberFormat="1" applyFont="1" applyBorder="1" applyAlignment="1">
      <alignment horizontal="center" vertical="top" wrapText="1"/>
    </xf>
    <xf numFmtId="49" fontId="7" fillId="0" borderId="7" xfId="0" applyNumberFormat="1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0" fontId="30" fillId="0" borderId="17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28" fillId="0" borderId="4" xfId="0" applyFont="1" applyBorder="1" applyAlignment="1">
      <alignment vertical="top"/>
    </xf>
    <xf numFmtId="0" fontId="28" fillId="0" borderId="20" xfId="0" applyFont="1" applyBorder="1" applyAlignment="1">
      <alignment vertical="top"/>
    </xf>
    <xf numFmtId="0" fontId="7" fillId="0" borderId="21" xfId="0" applyFont="1" applyBorder="1" applyAlignment="1">
      <alignment horizontal="left" vertical="top"/>
    </xf>
    <xf numFmtId="0" fontId="28" fillId="0" borderId="12" xfId="0" applyFont="1" applyBorder="1"/>
    <xf numFmtId="0" fontId="28" fillId="0" borderId="9" xfId="0" applyFont="1" applyBorder="1"/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2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0" borderId="11" xfId="0" applyFon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3" fillId="0" borderId="13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50" fillId="0" borderId="0" xfId="0" applyFont="1" applyAlignment="1">
      <alignment horizontal="center"/>
    </xf>
    <xf numFmtId="0" fontId="10" fillId="0" borderId="6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4" fillId="0" borderId="0" xfId="0" applyFont="1" applyAlignment="1">
      <alignment horizontal="right"/>
    </xf>
    <xf numFmtId="0" fontId="14" fillId="0" borderId="11" xfId="0" applyFont="1" applyBorder="1" applyAlignment="1">
      <alignment horizontal="right"/>
    </xf>
    <xf numFmtId="0" fontId="7" fillId="0" borderId="12" xfId="0" applyFont="1" applyBorder="1" applyAlignment="1">
      <alignment horizontal="left"/>
    </xf>
    <xf numFmtId="0" fontId="23" fillId="0" borderId="6" xfId="0" applyFont="1" applyBorder="1" applyAlignment="1">
      <alignment horizontal="center" vertical="top" wrapText="1"/>
    </xf>
    <xf numFmtId="0" fontId="23" fillId="0" borderId="7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right"/>
    </xf>
    <xf numFmtId="0" fontId="23" fillId="0" borderId="6" xfId="0" applyFont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9" fillId="0" borderId="6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2" fontId="2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6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wrapText="1"/>
    </xf>
    <xf numFmtId="0" fontId="10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2" fillId="0" borderId="1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26" fillId="0" borderId="0" xfId="0" applyFont="1" applyAlignment="1">
      <alignment horizontal="left" wrapText="1"/>
    </xf>
    <xf numFmtId="0" fontId="26" fillId="0" borderId="5" xfId="0" applyFont="1" applyBorder="1" applyAlignment="1">
      <alignment horizontal="left" wrapText="1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4" fillId="0" borderId="13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9" fillId="0" borderId="15" xfId="0" applyFont="1" applyBorder="1" applyAlignment="1">
      <alignment horizontal="left" vertical="top"/>
    </xf>
    <xf numFmtId="0" fontId="0" fillId="0" borderId="15" xfId="0" applyBorder="1" applyAlignment="1">
      <alignment wrapText="1"/>
    </xf>
    <xf numFmtId="0" fontId="0" fillId="0" borderId="25" xfId="0" applyBorder="1" applyAlignment="1">
      <alignment wrapText="1"/>
    </xf>
    <xf numFmtId="0" fontId="34" fillId="0" borderId="26" xfId="0" applyFont="1" applyBorder="1" applyAlignment="1">
      <alignment vertical="top" wrapText="1"/>
    </xf>
    <xf numFmtId="0" fontId="34" fillId="0" borderId="22" xfId="0" applyFont="1" applyBorder="1" applyAlignment="1">
      <alignment vertical="top" wrapText="1"/>
    </xf>
    <xf numFmtId="0" fontId="28" fillId="0" borderId="4" xfId="0" applyFont="1" applyBorder="1"/>
    <xf numFmtId="0" fontId="28" fillId="0" borderId="5" xfId="0" applyFont="1" applyBorder="1"/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36" fillId="0" borderId="4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5" xfId="0" applyFont="1" applyBorder="1" applyAlignment="1">
      <alignment horizontal="left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8" xfId="0" applyFont="1" applyBorder="1"/>
    <xf numFmtId="0" fontId="5" fillId="0" borderId="7" xfId="0" applyFont="1" applyBorder="1"/>
    <xf numFmtId="49" fontId="7" fillId="0" borderId="11" xfId="0" applyNumberFormat="1" applyFont="1" applyBorder="1" applyAlignment="1">
      <alignment horizontal="left" vertical="top" wrapText="1"/>
    </xf>
    <xf numFmtId="49" fontId="7" fillId="0" borderId="11" xfId="0" applyNumberFormat="1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161924</xdr:colOff>
      <xdr:row>78</xdr:row>
      <xdr:rowOff>66675</xdr:rowOff>
    </xdr:from>
    <xdr:to>
      <xdr:col>6</xdr:col>
      <xdr:colOff>257175</xdr:colOff>
      <xdr:row>80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00624" y="18468975"/>
          <a:ext cx="704851" cy="4762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86</xdr:row>
      <xdr:rowOff>0</xdr:rowOff>
    </xdr:from>
    <xdr:to>
      <xdr:col>7</xdr:col>
      <xdr:colOff>522771</xdr:colOff>
      <xdr:row>86</xdr:row>
      <xdr:rowOff>2667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781340" y="20669250"/>
          <a:ext cx="9325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116</xdr:row>
      <xdr:rowOff>76200</xdr:rowOff>
    </xdr:from>
    <xdr:to>
      <xdr:col>7</xdr:col>
      <xdr:colOff>522771</xdr:colOff>
      <xdr:row>116</xdr:row>
      <xdr:rowOff>78867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781340" y="27327225"/>
          <a:ext cx="932556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200025</xdr:colOff>
      <xdr:row>122</xdr:row>
      <xdr:rowOff>95250</xdr:rowOff>
    </xdr:from>
    <xdr:to>
      <xdr:col>6</xdr:col>
      <xdr:colOff>323851</xdr:colOff>
      <xdr:row>124</xdr:row>
      <xdr:rowOff>180976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505325" y="28660725"/>
          <a:ext cx="638176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247650</xdr:colOff>
      <xdr:row>170</xdr:row>
      <xdr:rowOff>85725</xdr:rowOff>
    </xdr:from>
    <xdr:to>
      <xdr:col>6</xdr:col>
      <xdr:colOff>371476</xdr:colOff>
      <xdr:row>172</xdr:row>
      <xdr:rowOff>171451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124450" y="37995225"/>
          <a:ext cx="6477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285750</xdr:colOff>
      <xdr:row>36</xdr:row>
      <xdr:rowOff>76200</xdr:rowOff>
    </xdr:from>
    <xdr:to>
      <xdr:col>6</xdr:col>
      <xdr:colOff>423437</xdr:colOff>
      <xdr:row>39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43475" y="91249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214</xdr:row>
      <xdr:rowOff>47624</xdr:rowOff>
    </xdr:from>
    <xdr:to>
      <xdr:col>6</xdr:col>
      <xdr:colOff>191842</xdr:colOff>
      <xdr:row>214</xdr:row>
      <xdr:rowOff>48767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533900" y="555050324"/>
          <a:ext cx="81096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343462</xdr:colOff>
      <xdr:row>214</xdr:row>
      <xdr:rowOff>96608</xdr:rowOff>
    </xdr:from>
    <xdr:to>
      <xdr:col>6</xdr:col>
      <xdr:colOff>470869</xdr:colOff>
      <xdr:row>216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020237" y="555099308"/>
          <a:ext cx="641757" cy="3891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258</xdr:row>
      <xdr:rowOff>47624</xdr:rowOff>
    </xdr:from>
    <xdr:to>
      <xdr:col>6</xdr:col>
      <xdr:colOff>191842</xdr:colOff>
      <xdr:row>258</xdr:row>
      <xdr:rowOff>48767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533900" y="546363524"/>
          <a:ext cx="81096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343462</xdr:colOff>
      <xdr:row>258</xdr:row>
      <xdr:rowOff>96608</xdr:rowOff>
    </xdr:from>
    <xdr:to>
      <xdr:col>6</xdr:col>
      <xdr:colOff>470869</xdr:colOff>
      <xdr:row>260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020237" y="546412508"/>
          <a:ext cx="641757" cy="3891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308</xdr:row>
      <xdr:rowOff>47624</xdr:rowOff>
    </xdr:from>
    <xdr:to>
      <xdr:col>6</xdr:col>
      <xdr:colOff>191842</xdr:colOff>
      <xdr:row>308</xdr:row>
      <xdr:rowOff>48767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610100" y="563403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355</xdr:row>
      <xdr:rowOff>47624</xdr:rowOff>
    </xdr:from>
    <xdr:to>
      <xdr:col>6</xdr:col>
      <xdr:colOff>191842</xdr:colOff>
      <xdr:row>355</xdr:row>
      <xdr:rowOff>48767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610100" y="67341749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343462</xdr:colOff>
      <xdr:row>355</xdr:row>
      <xdr:rowOff>96608</xdr:rowOff>
    </xdr:from>
    <xdr:to>
      <xdr:col>6</xdr:col>
      <xdr:colOff>470869</xdr:colOff>
      <xdr:row>357</xdr:row>
      <xdr:rowOff>104776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001187" y="67390733"/>
          <a:ext cx="603657" cy="3891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285750</xdr:colOff>
      <xdr:row>402</xdr:row>
      <xdr:rowOff>76200</xdr:rowOff>
    </xdr:from>
    <xdr:to>
      <xdr:col>6</xdr:col>
      <xdr:colOff>423437</xdr:colOff>
      <xdr:row>405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43475" y="91249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446</xdr:row>
      <xdr:rowOff>38100</xdr:rowOff>
    </xdr:from>
    <xdr:to>
      <xdr:col>6</xdr:col>
      <xdr:colOff>310844</xdr:colOff>
      <xdr:row>446</xdr:row>
      <xdr:rowOff>39243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1708642125"/>
          <a:ext cx="939494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446</xdr:row>
      <xdr:rowOff>38100</xdr:rowOff>
    </xdr:from>
    <xdr:to>
      <xdr:col>6</xdr:col>
      <xdr:colOff>102389</xdr:colOff>
      <xdr:row>446</xdr:row>
      <xdr:rowOff>39624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43425" y="1708642125"/>
          <a:ext cx="711989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446</xdr:row>
      <xdr:rowOff>66675</xdr:rowOff>
    </xdr:from>
    <xdr:to>
      <xdr:col>6</xdr:col>
      <xdr:colOff>490112</xdr:colOff>
      <xdr:row>449</xdr:row>
      <xdr:rowOff>3887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10150" y="964215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495</xdr:row>
      <xdr:rowOff>76200</xdr:rowOff>
    </xdr:from>
    <xdr:to>
      <xdr:col>7</xdr:col>
      <xdr:colOff>1778</xdr:colOff>
      <xdr:row>495</xdr:row>
      <xdr:rowOff>78867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828742850"/>
          <a:ext cx="544913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304800</xdr:colOff>
      <xdr:row>495</xdr:row>
      <xdr:rowOff>57150</xdr:rowOff>
    </xdr:from>
    <xdr:to>
      <xdr:col>6</xdr:col>
      <xdr:colOff>442487</xdr:colOff>
      <xdr:row>497</xdr:row>
      <xdr:rowOff>180976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62525" y="1064514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542</xdr:row>
      <xdr:rowOff>38100</xdr:rowOff>
    </xdr:from>
    <xdr:to>
      <xdr:col>6</xdr:col>
      <xdr:colOff>312598</xdr:colOff>
      <xdr:row>542</xdr:row>
      <xdr:rowOff>39243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269786100"/>
          <a:ext cx="941248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542</xdr:row>
      <xdr:rowOff>47625</xdr:rowOff>
    </xdr:from>
    <xdr:to>
      <xdr:col>6</xdr:col>
      <xdr:colOff>413602</xdr:colOff>
      <xdr:row>542</xdr:row>
      <xdr:rowOff>48006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48225" y="269795625"/>
          <a:ext cx="756502" cy="38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543</xdr:row>
      <xdr:rowOff>47625</xdr:rowOff>
    </xdr:from>
    <xdr:to>
      <xdr:col>6</xdr:col>
      <xdr:colOff>381000</xdr:colOff>
      <xdr:row>545</xdr:row>
      <xdr:rowOff>28574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019675" y="269986125"/>
          <a:ext cx="552450" cy="36195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476040</xdr:colOff>
      <xdr:row>547</xdr:row>
      <xdr:rowOff>0</xdr:rowOff>
    </xdr:from>
    <xdr:to>
      <xdr:col>7</xdr:col>
      <xdr:colOff>1778</xdr:colOff>
      <xdr:row>547</xdr:row>
      <xdr:rowOff>2667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623430300"/>
          <a:ext cx="544913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583</xdr:row>
      <xdr:rowOff>76200</xdr:rowOff>
    </xdr:from>
    <xdr:to>
      <xdr:col>7</xdr:col>
      <xdr:colOff>1778</xdr:colOff>
      <xdr:row>583</xdr:row>
      <xdr:rowOff>78867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631059825"/>
          <a:ext cx="544913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589</xdr:row>
      <xdr:rowOff>38100</xdr:rowOff>
    </xdr:from>
    <xdr:to>
      <xdr:col>6</xdr:col>
      <xdr:colOff>101294</xdr:colOff>
      <xdr:row>589</xdr:row>
      <xdr:rowOff>39243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632326650"/>
          <a:ext cx="729944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589</xdr:row>
      <xdr:rowOff>38100</xdr:rowOff>
    </xdr:from>
    <xdr:to>
      <xdr:col>5</xdr:col>
      <xdr:colOff>312403</xdr:colOff>
      <xdr:row>589</xdr:row>
      <xdr:rowOff>39243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52950" y="632326650"/>
          <a:ext cx="407653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428625</xdr:colOff>
      <xdr:row>589</xdr:row>
      <xdr:rowOff>76199</xdr:rowOff>
    </xdr:from>
    <xdr:to>
      <xdr:col>6</xdr:col>
      <xdr:colOff>466725</xdr:colOff>
      <xdr:row>591</xdr:row>
      <xdr:rowOff>180974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086350" y="126501524"/>
          <a:ext cx="514350" cy="48577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4</xdr:col>
      <xdr:colOff>457200</xdr:colOff>
      <xdr:row>629</xdr:row>
      <xdr:rowOff>38100</xdr:rowOff>
    </xdr:from>
    <xdr:to>
      <xdr:col>6</xdr:col>
      <xdr:colOff>452641</xdr:colOff>
      <xdr:row>629</xdr:row>
      <xdr:rowOff>39243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81525" y="991533450"/>
          <a:ext cx="96699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629</xdr:row>
      <xdr:rowOff>38100</xdr:rowOff>
    </xdr:from>
    <xdr:to>
      <xdr:col>6</xdr:col>
      <xdr:colOff>244186</xdr:colOff>
      <xdr:row>629</xdr:row>
      <xdr:rowOff>39624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991533450"/>
          <a:ext cx="739486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304800</xdr:colOff>
      <xdr:row>910</xdr:row>
      <xdr:rowOff>66675</xdr:rowOff>
    </xdr:from>
    <xdr:to>
      <xdr:col>6</xdr:col>
      <xdr:colOff>442487</xdr:colOff>
      <xdr:row>912</xdr:row>
      <xdr:rowOff>190499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62525" y="185375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917</xdr:row>
      <xdr:rowOff>0</xdr:rowOff>
    </xdr:from>
    <xdr:to>
      <xdr:col>7</xdr:col>
      <xdr:colOff>11302</xdr:colOff>
      <xdr:row>917</xdr:row>
      <xdr:rowOff>2667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3290" y="1610182200"/>
          <a:ext cx="506812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951</xdr:row>
      <xdr:rowOff>76200</xdr:rowOff>
    </xdr:from>
    <xdr:to>
      <xdr:col>7</xdr:col>
      <xdr:colOff>11302</xdr:colOff>
      <xdr:row>951</xdr:row>
      <xdr:rowOff>78867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3290" y="1616821125"/>
          <a:ext cx="506812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957</xdr:row>
      <xdr:rowOff>38100</xdr:rowOff>
    </xdr:from>
    <xdr:to>
      <xdr:col>6</xdr:col>
      <xdr:colOff>243091</xdr:colOff>
      <xdr:row>957</xdr:row>
      <xdr:rowOff>39243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81525" y="1618097475"/>
          <a:ext cx="75744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957</xdr:row>
      <xdr:rowOff>38100</xdr:rowOff>
    </xdr:from>
    <xdr:to>
      <xdr:col>5</xdr:col>
      <xdr:colOff>435151</xdr:colOff>
      <xdr:row>957</xdr:row>
      <xdr:rowOff>39243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10100" y="1618097475"/>
          <a:ext cx="463726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481641</xdr:colOff>
      <xdr:row>957</xdr:row>
      <xdr:rowOff>65057</xdr:rowOff>
    </xdr:from>
    <xdr:to>
      <xdr:col>7</xdr:col>
      <xdr:colOff>14025</xdr:colOff>
      <xdr:row>960</xdr:row>
      <xdr:rowOff>180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48891" y="1618124432"/>
          <a:ext cx="513459" cy="50662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371475</xdr:colOff>
      <xdr:row>1095</xdr:row>
      <xdr:rowOff>57150</xdr:rowOff>
    </xdr:from>
    <xdr:to>
      <xdr:col>7</xdr:col>
      <xdr:colOff>4337</xdr:colOff>
      <xdr:row>1097</xdr:row>
      <xdr:rowOff>180974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9200" y="2337435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371475</xdr:colOff>
      <xdr:row>1144</xdr:row>
      <xdr:rowOff>57150</xdr:rowOff>
    </xdr:from>
    <xdr:to>
      <xdr:col>7</xdr:col>
      <xdr:colOff>4337</xdr:colOff>
      <xdr:row>1146</xdr:row>
      <xdr:rowOff>180976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9200" y="2337435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457200</xdr:colOff>
      <xdr:row>629</xdr:row>
      <xdr:rowOff>38100</xdr:rowOff>
    </xdr:from>
    <xdr:to>
      <xdr:col>15</xdr:col>
      <xdr:colOff>366916</xdr:colOff>
      <xdr:row>629</xdr:row>
      <xdr:rowOff>39243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135645525"/>
          <a:ext cx="947941" cy="1143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476250</xdr:colOff>
      <xdr:row>629</xdr:row>
      <xdr:rowOff>38100</xdr:rowOff>
    </xdr:from>
    <xdr:to>
      <xdr:col>15</xdr:col>
      <xdr:colOff>158461</xdr:colOff>
      <xdr:row>629</xdr:row>
      <xdr:rowOff>39624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19625" y="135645525"/>
          <a:ext cx="720436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1193</xdr:row>
      <xdr:rowOff>0</xdr:rowOff>
    </xdr:from>
    <xdr:to>
      <xdr:col>7</xdr:col>
      <xdr:colOff>351321</xdr:colOff>
      <xdr:row>1193</xdr:row>
      <xdr:rowOff>2667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813292125"/>
          <a:ext cx="9420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1227</xdr:row>
      <xdr:rowOff>76200</xdr:rowOff>
    </xdr:from>
    <xdr:to>
      <xdr:col>7</xdr:col>
      <xdr:colOff>351321</xdr:colOff>
      <xdr:row>1227</xdr:row>
      <xdr:rowOff>78867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819892950"/>
          <a:ext cx="9420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1240</xdr:row>
      <xdr:rowOff>0</xdr:rowOff>
    </xdr:from>
    <xdr:to>
      <xdr:col>7</xdr:col>
      <xdr:colOff>351321</xdr:colOff>
      <xdr:row>1240</xdr:row>
      <xdr:rowOff>2667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258720383"/>
          <a:ext cx="85830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1274</xdr:row>
      <xdr:rowOff>76200</xdr:rowOff>
    </xdr:from>
    <xdr:to>
      <xdr:col>7</xdr:col>
      <xdr:colOff>351321</xdr:colOff>
      <xdr:row>1274</xdr:row>
      <xdr:rowOff>78867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266212476"/>
          <a:ext cx="85830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1287</xdr:row>
      <xdr:rowOff>0</xdr:rowOff>
    </xdr:from>
    <xdr:to>
      <xdr:col>7</xdr:col>
      <xdr:colOff>351321</xdr:colOff>
      <xdr:row>1287</xdr:row>
      <xdr:rowOff>2667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268828546"/>
          <a:ext cx="85830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1321</xdr:row>
      <xdr:rowOff>76200</xdr:rowOff>
    </xdr:from>
    <xdr:to>
      <xdr:col>7</xdr:col>
      <xdr:colOff>351321</xdr:colOff>
      <xdr:row>1321</xdr:row>
      <xdr:rowOff>78867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276476149"/>
          <a:ext cx="85830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306</xdr:row>
      <xdr:rowOff>68033</xdr:rowOff>
    </xdr:from>
    <xdr:to>
      <xdr:col>6</xdr:col>
      <xdr:colOff>496318</xdr:colOff>
      <xdr:row>308</xdr:row>
      <xdr:rowOff>184082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4909" y="67948237"/>
          <a:ext cx="613937" cy="504825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1333</xdr:row>
      <xdr:rowOff>0</xdr:rowOff>
    </xdr:from>
    <xdr:ext cx="563176" cy="2667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208229835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1362</xdr:row>
      <xdr:rowOff>76200</xdr:rowOff>
    </xdr:from>
    <xdr:ext cx="563176" cy="2667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20887658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1368</xdr:row>
      <xdr:rowOff>38100</xdr:rowOff>
    </xdr:from>
    <xdr:ext cx="760791" cy="1143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2090032650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1368</xdr:row>
      <xdr:rowOff>38100</xdr:rowOff>
    </xdr:from>
    <xdr:ext cx="420237" cy="1143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52950" y="2090032650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1368</xdr:row>
      <xdr:rowOff>68033</xdr:rowOff>
    </xdr:from>
    <xdr:to>
      <xdr:col>7</xdr:col>
      <xdr:colOff>1212</xdr:colOff>
      <xdr:row>1370</xdr:row>
      <xdr:rowOff>184083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34628" y="297111962"/>
          <a:ext cx="613937" cy="504825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1423</xdr:row>
      <xdr:rowOff>0</xdr:rowOff>
    </xdr:from>
    <xdr:ext cx="563176" cy="2667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28923926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1457</xdr:row>
      <xdr:rowOff>76200</xdr:rowOff>
    </xdr:from>
    <xdr:ext cx="563176" cy="2667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295798292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1463</xdr:row>
      <xdr:rowOff>38100</xdr:rowOff>
    </xdr:from>
    <xdr:ext cx="760791" cy="1143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7379" y="297082029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1463</xdr:row>
      <xdr:rowOff>38100</xdr:rowOff>
    </xdr:from>
    <xdr:ext cx="420237" cy="1143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35954" y="297082029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1463</xdr:row>
      <xdr:rowOff>68033</xdr:rowOff>
    </xdr:from>
    <xdr:to>
      <xdr:col>7</xdr:col>
      <xdr:colOff>1212</xdr:colOff>
      <xdr:row>1465</xdr:row>
      <xdr:rowOff>184081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34628" y="297111962"/>
          <a:ext cx="613937" cy="504825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1377</xdr:row>
      <xdr:rowOff>0</xdr:rowOff>
    </xdr:from>
    <xdr:ext cx="563176" cy="2667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308833546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1411</xdr:row>
      <xdr:rowOff>76200</xdr:rowOff>
    </xdr:from>
    <xdr:ext cx="563176" cy="2667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316199287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1417</xdr:row>
      <xdr:rowOff>38100</xdr:rowOff>
    </xdr:from>
    <xdr:ext cx="760791" cy="1143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7379" y="317483023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1417</xdr:row>
      <xdr:rowOff>38100</xdr:rowOff>
    </xdr:from>
    <xdr:ext cx="420237" cy="1143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35954" y="317483023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1417</xdr:row>
      <xdr:rowOff>68033</xdr:rowOff>
    </xdr:from>
    <xdr:to>
      <xdr:col>7</xdr:col>
      <xdr:colOff>1212</xdr:colOff>
      <xdr:row>1420</xdr:row>
      <xdr:rowOff>9134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34628" y="317512956"/>
          <a:ext cx="613937" cy="504825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1469</xdr:row>
      <xdr:rowOff>0</xdr:rowOff>
    </xdr:from>
    <xdr:ext cx="563176" cy="2667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308804388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1503</xdr:row>
      <xdr:rowOff>76200</xdr:rowOff>
    </xdr:from>
    <xdr:ext cx="563176" cy="2667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316170129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1509</xdr:row>
      <xdr:rowOff>38100</xdr:rowOff>
    </xdr:from>
    <xdr:ext cx="760791" cy="1143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7379" y="317453865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1509</xdr:row>
      <xdr:rowOff>38100</xdr:rowOff>
    </xdr:from>
    <xdr:ext cx="420237" cy="1143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35954" y="317453865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1509</xdr:row>
      <xdr:rowOff>68033</xdr:rowOff>
    </xdr:from>
    <xdr:to>
      <xdr:col>7</xdr:col>
      <xdr:colOff>1212</xdr:colOff>
      <xdr:row>1511</xdr:row>
      <xdr:rowOff>184082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34628" y="317483798"/>
          <a:ext cx="613937" cy="504824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1652</xdr:row>
      <xdr:rowOff>47624</xdr:rowOff>
    </xdr:from>
    <xdr:to>
      <xdr:col>6</xdr:col>
      <xdr:colOff>191842</xdr:colOff>
      <xdr:row>1652</xdr:row>
      <xdr:rowOff>48767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616904" y="68316604"/>
          <a:ext cx="679366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1650</xdr:row>
      <xdr:rowOff>68033</xdr:rowOff>
    </xdr:from>
    <xdr:to>
      <xdr:col>6</xdr:col>
      <xdr:colOff>496318</xdr:colOff>
      <xdr:row>1652</xdr:row>
      <xdr:rowOff>184081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4909" y="67948237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1657</xdr:row>
      <xdr:rowOff>0</xdr:rowOff>
    </xdr:from>
    <xdr:to>
      <xdr:col>7</xdr:col>
      <xdr:colOff>580967</xdr:colOff>
      <xdr:row>1657</xdr:row>
      <xdr:rowOff>2463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96309" y="231962325"/>
          <a:ext cx="1175858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1696</xdr:row>
      <xdr:rowOff>85725</xdr:rowOff>
    </xdr:from>
    <xdr:to>
      <xdr:col>7</xdr:col>
      <xdr:colOff>53082</xdr:colOff>
      <xdr:row>1696</xdr:row>
      <xdr:rowOff>88367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76825" y="240144300"/>
          <a:ext cx="6722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1696</xdr:row>
      <xdr:rowOff>97190</xdr:rowOff>
    </xdr:from>
    <xdr:to>
      <xdr:col>6</xdr:col>
      <xdr:colOff>438004</xdr:colOff>
      <xdr:row>1699</xdr:row>
      <xdr:rowOff>18850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66595" y="367567802"/>
          <a:ext cx="613937" cy="5048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1704</xdr:row>
      <xdr:rowOff>0</xdr:rowOff>
    </xdr:from>
    <xdr:to>
      <xdr:col>7</xdr:col>
      <xdr:colOff>580967</xdr:colOff>
      <xdr:row>1704</xdr:row>
      <xdr:rowOff>2463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84840" y="359063342"/>
          <a:ext cx="1092077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1742</xdr:row>
      <xdr:rowOff>85725</xdr:rowOff>
    </xdr:from>
    <xdr:to>
      <xdr:col>7</xdr:col>
      <xdr:colOff>53082</xdr:colOff>
      <xdr:row>1742</xdr:row>
      <xdr:rowOff>88367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65356" y="367556337"/>
          <a:ext cx="635079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1742</xdr:row>
      <xdr:rowOff>97190</xdr:rowOff>
    </xdr:from>
    <xdr:to>
      <xdr:col>6</xdr:col>
      <xdr:colOff>438004</xdr:colOff>
      <xdr:row>1745</xdr:row>
      <xdr:rowOff>18849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66595" y="367567802"/>
          <a:ext cx="613937" cy="5048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1749</xdr:row>
      <xdr:rowOff>0</xdr:rowOff>
    </xdr:from>
    <xdr:to>
      <xdr:col>7</xdr:col>
      <xdr:colOff>580967</xdr:colOff>
      <xdr:row>1749</xdr:row>
      <xdr:rowOff>2463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84840" y="359063342"/>
          <a:ext cx="1092077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1788</xdr:row>
      <xdr:rowOff>85725</xdr:rowOff>
    </xdr:from>
    <xdr:to>
      <xdr:col>7</xdr:col>
      <xdr:colOff>53082</xdr:colOff>
      <xdr:row>1788</xdr:row>
      <xdr:rowOff>88367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65356" y="367556337"/>
          <a:ext cx="635079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1788</xdr:row>
      <xdr:rowOff>97190</xdr:rowOff>
    </xdr:from>
    <xdr:to>
      <xdr:col>6</xdr:col>
      <xdr:colOff>438004</xdr:colOff>
      <xdr:row>1791</xdr:row>
      <xdr:rowOff>18851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66595" y="367567802"/>
          <a:ext cx="613937" cy="5048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1794</xdr:row>
      <xdr:rowOff>0</xdr:rowOff>
    </xdr:from>
    <xdr:to>
      <xdr:col>7</xdr:col>
      <xdr:colOff>522771</xdr:colOff>
      <xdr:row>1794</xdr:row>
      <xdr:rowOff>2667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19710918"/>
          <a:ext cx="10297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1824</xdr:row>
      <xdr:rowOff>76200</xdr:rowOff>
    </xdr:from>
    <xdr:to>
      <xdr:col>7</xdr:col>
      <xdr:colOff>522771</xdr:colOff>
      <xdr:row>1824</xdr:row>
      <xdr:rowOff>78867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26464338"/>
          <a:ext cx="1029750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200025</xdr:colOff>
      <xdr:row>1830</xdr:row>
      <xdr:rowOff>95250</xdr:rowOff>
    </xdr:from>
    <xdr:to>
      <xdr:col>6</xdr:col>
      <xdr:colOff>323851</xdr:colOff>
      <xdr:row>1832</xdr:row>
      <xdr:rowOff>180976</xdr:rowOff>
    </xdr:to>
    <xdr:pic>
      <xdr:nvPicPr>
        <xdr:cNvPr id="86" name="Pictur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65331" y="27814944"/>
          <a:ext cx="648673" cy="4745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476040</xdr:colOff>
      <xdr:row>1839</xdr:row>
      <xdr:rowOff>0</xdr:rowOff>
    </xdr:from>
    <xdr:to>
      <xdr:col>7</xdr:col>
      <xdr:colOff>522771</xdr:colOff>
      <xdr:row>1839</xdr:row>
      <xdr:rowOff>2667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1346" y="388406173"/>
          <a:ext cx="10297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1887</xdr:row>
      <xdr:rowOff>0</xdr:rowOff>
    </xdr:from>
    <xdr:to>
      <xdr:col>7</xdr:col>
      <xdr:colOff>87090</xdr:colOff>
      <xdr:row>1887</xdr:row>
      <xdr:rowOff>2667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040" y="966768450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1918</xdr:row>
      <xdr:rowOff>76200</xdr:rowOff>
    </xdr:from>
    <xdr:to>
      <xdr:col>7</xdr:col>
      <xdr:colOff>87090</xdr:colOff>
      <xdr:row>1918</xdr:row>
      <xdr:rowOff>78867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040" y="973445475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1924</xdr:row>
      <xdr:rowOff>76200</xdr:rowOff>
    </xdr:from>
    <xdr:to>
      <xdr:col>6</xdr:col>
      <xdr:colOff>461547</xdr:colOff>
      <xdr:row>1927</xdr:row>
      <xdr:rowOff>1117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924425" y="974759925"/>
          <a:ext cx="575847" cy="496418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1967</xdr:row>
      <xdr:rowOff>38100</xdr:rowOff>
    </xdr:from>
    <xdr:to>
      <xdr:col>7</xdr:col>
      <xdr:colOff>73660</xdr:colOff>
      <xdr:row>1967</xdr:row>
      <xdr:rowOff>39243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88601550"/>
          <a:ext cx="1207135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1967</xdr:row>
      <xdr:rowOff>38100</xdr:rowOff>
    </xdr:from>
    <xdr:to>
      <xdr:col>6</xdr:col>
      <xdr:colOff>364696</xdr:colOff>
      <xdr:row>1967</xdr:row>
      <xdr:rowOff>39624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43425" y="88601550"/>
          <a:ext cx="974296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1974</xdr:row>
      <xdr:rowOff>0</xdr:rowOff>
    </xdr:from>
    <xdr:to>
      <xdr:col>7</xdr:col>
      <xdr:colOff>205962</xdr:colOff>
      <xdr:row>1974</xdr:row>
      <xdr:rowOff>2667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338470875"/>
          <a:ext cx="796722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2002</xdr:row>
      <xdr:rowOff>76200</xdr:rowOff>
    </xdr:from>
    <xdr:to>
      <xdr:col>7</xdr:col>
      <xdr:colOff>205962</xdr:colOff>
      <xdr:row>2002</xdr:row>
      <xdr:rowOff>78867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344719275"/>
          <a:ext cx="796722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2019</xdr:row>
      <xdr:rowOff>0</xdr:rowOff>
    </xdr:from>
    <xdr:to>
      <xdr:col>7</xdr:col>
      <xdr:colOff>205962</xdr:colOff>
      <xdr:row>2019</xdr:row>
      <xdr:rowOff>2667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20947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2053</xdr:row>
      <xdr:rowOff>76200</xdr:rowOff>
    </xdr:from>
    <xdr:to>
      <xdr:col>7</xdr:col>
      <xdr:colOff>205962</xdr:colOff>
      <xdr:row>2053</xdr:row>
      <xdr:rowOff>78867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27348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2065</xdr:row>
      <xdr:rowOff>0</xdr:rowOff>
    </xdr:from>
    <xdr:to>
      <xdr:col>7</xdr:col>
      <xdr:colOff>205962</xdr:colOff>
      <xdr:row>2065</xdr:row>
      <xdr:rowOff>2667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306919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2099</xdr:row>
      <xdr:rowOff>76200</xdr:rowOff>
    </xdr:from>
    <xdr:to>
      <xdr:col>7</xdr:col>
      <xdr:colOff>205962</xdr:colOff>
      <xdr:row>2099</xdr:row>
      <xdr:rowOff>78867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382357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2111</xdr:row>
      <xdr:rowOff>0</xdr:rowOff>
    </xdr:from>
    <xdr:to>
      <xdr:col>7</xdr:col>
      <xdr:colOff>205962</xdr:colOff>
      <xdr:row>2111</xdr:row>
      <xdr:rowOff>2667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406265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2145</xdr:row>
      <xdr:rowOff>76200</xdr:rowOff>
    </xdr:from>
    <xdr:to>
      <xdr:col>7</xdr:col>
      <xdr:colOff>205962</xdr:colOff>
      <xdr:row>2145</xdr:row>
      <xdr:rowOff>78867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480179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2157</xdr:row>
      <xdr:rowOff>0</xdr:rowOff>
    </xdr:from>
    <xdr:to>
      <xdr:col>7</xdr:col>
      <xdr:colOff>205962</xdr:colOff>
      <xdr:row>2157</xdr:row>
      <xdr:rowOff>2667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504086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2191</xdr:row>
      <xdr:rowOff>76200</xdr:rowOff>
    </xdr:from>
    <xdr:to>
      <xdr:col>7</xdr:col>
      <xdr:colOff>205962</xdr:colOff>
      <xdr:row>2191</xdr:row>
      <xdr:rowOff>78867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576572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2204</xdr:row>
      <xdr:rowOff>0</xdr:rowOff>
    </xdr:from>
    <xdr:to>
      <xdr:col>7</xdr:col>
      <xdr:colOff>205962</xdr:colOff>
      <xdr:row>2204</xdr:row>
      <xdr:rowOff>2667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600479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2238</xdr:row>
      <xdr:rowOff>76200</xdr:rowOff>
    </xdr:from>
    <xdr:to>
      <xdr:col>7</xdr:col>
      <xdr:colOff>205962</xdr:colOff>
      <xdr:row>2238</xdr:row>
      <xdr:rowOff>78867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672965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2251</xdr:row>
      <xdr:rowOff>0</xdr:rowOff>
    </xdr:from>
    <xdr:to>
      <xdr:col>7</xdr:col>
      <xdr:colOff>205962</xdr:colOff>
      <xdr:row>2251</xdr:row>
      <xdr:rowOff>2667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698777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2285</xdr:row>
      <xdr:rowOff>76200</xdr:rowOff>
    </xdr:from>
    <xdr:to>
      <xdr:col>7</xdr:col>
      <xdr:colOff>205962</xdr:colOff>
      <xdr:row>2285</xdr:row>
      <xdr:rowOff>78867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773072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2298</xdr:row>
      <xdr:rowOff>0</xdr:rowOff>
    </xdr:from>
    <xdr:to>
      <xdr:col>7</xdr:col>
      <xdr:colOff>205962</xdr:colOff>
      <xdr:row>2298</xdr:row>
      <xdr:rowOff>2667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79888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2332</xdr:row>
      <xdr:rowOff>76200</xdr:rowOff>
    </xdr:from>
    <xdr:to>
      <xdr:col>7</xdr:col>
      <xdr:colOff>205962</xdr:colOff>
      <xdr:row>2332</xdr:row>
      <xdr:rowOff>78867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874609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2338</xdr:row>
      <xdr:rowOff>57150</xdr:rowOff>
    </xdr:from>
    <xdr:to>
      <xdr:col>7</xdr:col>
      <xdr:colOff>51962</xdr:colOff>
      <xdr:row>2340</xdr:row>
      <xdr:rowOff>180975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76825" y="4989861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2392</xdr:row>
      <xdr:rowOff>0</xdr:rowOff>
    </xdr:from>
    <xdr:to>
      <xdr:col>7</xdr:col>
      <xdr:colOff>205962</xdr:colOff>
      <xdr:row>2392</xdr:row>
      <xdr:rowOff>2667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801743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2426</xdr:row>
      <xdr:rowOff>76200</xdr:rowOff>
    </xdr:from>
    <xdr:to>
      <xdr:col>7</xdr:col>
      <xdr:colOff>205962</xdr:colOff>
      <xdr:row>2426</xdr:row>
      <xdr:rowOff>78867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877466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2439</xdr:row>
      <xdr:rowOff>0</xdr:rowOff>
    </xdr:from>
    <xdr:to>
      <xdr:col>7</xdr:col>
      <xdr:colOff>205962</xdr:colOff>
      <xdr:row>2439</xdr:row>
      <xdr:rowOff>2667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5087778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2473</xdr:row>
      <xdr:rowOff>76200</xdr:rowOff>
    </xdr:from>
    <xdr:to>
      <xdr:col>7</xdr:col>
      <xdr:colOff>205962</xdr:colOff>
      <xdr:row>2473</xdr:row>
      <xdr:rowOff>78867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5162740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390525</xdr:colOff>
      <xdr:row>2479</xdr:row>
      <xdr:rowOff>66675</xdr:rowOff>
    </xdr:from>
    <xdr:to>
      <xdr:col>7</xdr:col>
      <xdr:colOff>23387</xdr:colOff>
      <xdr:row>2482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48250" y="5283136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1052</xdr:row>
      <xdr:rowOff>66675</xdr:rowOff>
    </xdr:from>
    <xdr:to>
      <xdr:col>6</xdr:col>
      <xdr:colOff>480587</xdr:colOff>
      <xdr:row>1055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00625" y="2251614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2526</xdr:row>
      <xdr:rowOff>66675</xdr:rowOff>
    </xdr:from>
    <xdr:to>
      <xdr:col>6</xdr:col>
      <xdr:colOff>480587</xdr:colOff>
      <xdr:row>2529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00625" y="2251614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2573</xdr:row>
      <xdr:rowOff>66675</xdr:rowOff>
    </xdr:from>
    <xdr:to>
      <xdr:col>6</xdr:col>
      <xdr:colOff>480587</xdr:colOff>
      <xdr:row>2576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00625" y="5381434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2618</xdr:row>
      <xdr:rowOff>57150</xdr:rowOff>
    </xdr:from>
    <xdr:to>
      <xdr:col>6</xdr:col>
      <xdr:colOff>490112</xdr:colOff>
      <xdr:row>2620</xdr:row>
      <xdr:rowOff>180975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10150" y="557612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2664</xdr:row>
      <xdr:rowOff>57150</xdr:rowOff>
    </xdr:from>
    <xdr:to>
      <xdr:col>6</xdr:col>
      <xdr:colOff>490112</xdr:colOff>
      <xdr:row>2666</xdr:row>
      <xdr:rowOff>180975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10150" y="557612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2710</xdr:row>
      <xdr:rowOff>57150</xdr:rowOff>
    </xdr:from>
    <xdr:to>
      <xdr:col>6</xdr:col>
      <xdr:colOff>490112</xdr:colOff>
      <xdr:row>2712</xdr:row>
      <xdr:rowOff>180975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10150" y="5672613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2760</xdr:row>
      <xdr:rowOff>38100</xdr:rowOff>
    </xdr:from>
    <xdr:to>
      <xdr:col>6</xdr:col>
      <xdr:colOff>243091</xdr:colOff>
      <xdr:row>2760</xdr:row>
      <xdr:rowOff>39243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81525" y="323183250"/>
          <a:ext cx="75744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2760</xdr:row>
      <xdr:rowOff>38100</xdr:rowOff>
    </xdr:from>
    <xdr:to>
      <xdr:col>5</xdr:col>
      <xdr:colOff>435151</xdr:colOff>
      <xdr:row>2760</xdr:row>
      <xdr:rowOff>39243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10100" y="323183250"/>
          <a:ext cx="463726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400770</xdr:colOff>
      <xdr:row>2759</xdr:row>
      <xdr:rowOff>38100</xdr:rowOff>
    </xdr:from>
    <xdr:to>
      <xdr:col>6</xdr:col>
      <xdr:colOff>447504</xdr:colOff>
      <xdr:row>2761</xdr:row>
      <xdr:rowOff>161925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68020" y="322992750"/>
          <a:ext cx="513459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2759</xdr:row>
      <xdr:rowOff>38100</xdr:rowOff>
    </xdr:from>
    <xdr:to>
      <xdr:col>6</xdr:col>
      <xdr:colOff>462151</xdr:colOff>
      <xdr:row>2759</xdr:row>
      <xdr:rowOff>39243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81525" y="322992750"/>
          <a:ext cx="97650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2807</xdr:row>
      <xdr:rowOff>38100</xdr:rowOff>
    </xdr:from>
    <xdr:to>
      <xdr:col>6</xdr:col>
      <xdr:colOff>243091</xdr:colOff>
      <xdr:row>2807</xdr:row>
      <xdr:rowOff>39243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584987400"/>
          <a:ext cx="73839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2807</xdr:row>
      <xdr:rowOff>38100</xdr:rowOff>
    </xdr:from>
    <xdr:to>
      <xdr:col>5</xdr:col>
      <xdr:colOff>435151</xdr:colOff>
      <xdr:row>2807</xdr:row>
      <xdr:rowOff>39243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29150" y="584987400"/>
          <a:ext cx="435151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400770</xdr:colOff>
      <xdr:row>2806</xdr:row>
      <xdr:rowOff>38100</xdr:rowOff>
    </xdr:from>
    <xdr:to>
      <xdr:col>6</xdr:col>
      <xdr:colOff>447504</xdr:colOff>
      <xdr:row>2808</xdr:row>
      <xdr:rowOff>161925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58495" y="584796900"/>
          <a:ext cx="522984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2806</xdr:row>
      <xdr:rowOff>38100</xdr:rowOff>
    </xdr:from>
    <xdr:to>
      <xdr:col>6</xdr:col>
      <xdr:colOff>462151</xdr:colOff>
      <xdr:row>2806</xdr:row>
      <xdr:rowOff>39243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584796900"/>
          <a:ext cx="957451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2813</xdr:row>
      <xdr:rowOff>0</xdr:rowOff>
    </xdr:from>
    <xdr:to>
      <xdr:col>7</xdr:col>
      <xdr:colOff>205962</xdr:colOff>
      <xdr:row>2813</xdr:row>
      <xdr:rowOff>2667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096860900"/>
          <a:ext cx="796722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2813</xdr:row>
      <xdr:rowOff>0</xdr:rowOff>
    </xdr:from>
    <xdr:to>
      <xdr:col>7</xdr:col>
      <xdr:colOff>205962</xdr:colOff>
      <xdr:row>2813</xdr:row>
      <xdr:rowOff>2667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096860900"/>
          <a:ext cx="796722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2852</xdr:row>
      <xdr:rowOff>38100</xdr:rowOff>
    </xdr:from>
    <xdr:to>
      <xdr:col>6</xdr:col>
      <xdr:colOff>424562</xdr:colOff>
      <xdr:row>2852</xdr:row>
      <xdr:rowOff>39243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1104366600"/>
          <a:ext cx="1053212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2852</xdr:row>
      <xdr:rowOff>38100</xdr:rowOff>
    </xdr:from>
    <xdr:to>
      <xdr:col>6</xdr:col>
      <xdr:colOff>214368</xdr:colOff>
      <xdr:row>2852</xdr:row>
      <xdr:rowOff>39624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43425" y="1104366600"/>
          <a:ext cx="823968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2852</xdr:row>
      <xdr:rowOff>95250</xdr:rowOff>
    </xdr:from>
    <xdr:to>
      <xdr:col>7</xdr:col>
      <xdr:colOff>70989</xdr:colOff>
      <xdr:row>2852</xdr:row>
      <xdr:rowOff>97180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33975" y="1104423750"/>
          <a:ext cx="680589" cy="19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2857</xdr:row>
      <xdr:rowOff>0</xdr:rowOff>
    </xdr:from>
    <xdr:to>
      <xdr:col>7</xdr:col>
      <xdr:colOff>351321</xdr:colOff>
      <xdr:row>2857</xdr:row>
      <xdr:rowOff>2667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25479375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2891</xdr:row>
      <xdr:rowOff>76200</xdr:rowOff>
    </xdr:from>
    <xdr:to>
      <xdr:col>7</xdr:col>
      <xdr:colOff>351321</xdr:colOff>
      <xdr:row>2891</xdr:row>
      <xdr:rowOff>78867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2621756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2902</xdr:row>
      <xdr:rowOff>0</xdr:rowOff>
    </xdr:from>
    <xdr:to>
      <xdr:col>7</xdr:col>
      <xdr:colOff>351321</xdr:colOff>
      <xdr:row>2902</xdr:row>
      <xdr:rowOff>2667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078188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2936</xdr:row>
      <xdr:rowOff>76200</xdr:rowOff>
    </xdr:from>
    <xdr:to>
      <xdr:col>7</xdr:col>
      <xdr:colOff>351321</xdr:colOff>
      <xdr:row>2936</xdr:row>
      <xdr:rowOff>78867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152102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2950</xdr:row>
      <xdr:rowOff>0</xdr:rowOff>
    </xdr:from>
    <xdr:to>
      <xdr:col>7</xdr:col>
      <xdr:colOff>351321</xdr:colOff>
      <xdr:row>2950</xdr:row>
      <xdr:rowOff>2667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1778197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2984</xdr:row>
      <xdr:rowOff>76200</xdr:rowOff>
    </xdr:from>
    <xdr:to>
      <xdr:col>7</xdr:col>
      <xdr:colOff>351321</xdr:colOff>
      <xdr:row>2984</xdr:row>
      <xdr:rowOff>78867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2517337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2997</xdr:row>
      <xdr:rowOff>0</xdr:rowOff>
    </xdr:from>
    <xdr:to>
      <xdr:col>7</xdr:col>
      <xdr:colOff>351321</xdr:colOff>
      <xdr:row>2997</xdr:row>
      <xdr:rowOff>2667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076283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3031</xdr:row>
      <xdr:rowOff>76200</xdr:rowOff>
    </xdr:from>
    <xdr:to>
      <xdr:col>7</xdr:col>
      <xdr:colOff>351321</xdr:colOff>
      <xdr:row>3031</xdr:row>
      <xdr:rowOff>78867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150197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3085</xdr:row>
      <xdr:rowOff>38100</xdr:rowOff>
    </xdr:from>
    <xdr:to>
      <xdr:col>6</xdr:col>
      <xdr:colOff>312598</xdr:colOff>
      <xdr:row>3085</xdr:row>
      <xdr:rowOff>39243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2121217500"/>
          <a:ext cx="941248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3085</xdr:row>
      <xdr:rowOff>47625</xdr:rowOff>
    </xdr:from>
    <xdr:to>
      <xdr:col>6</xdr:col>
      <xdr:colOff>413602</xdr:colOff>
      <xdr:row>3085</xdr:row>
      <xdr:rowOff>48006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48225" y="2121227025"/>
          <a:ext cx="756502" cy="38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3085</xdr:row>
      <xdr:rowOff>66675</xdr:rowOff>
    </xdr:from>
    <xdr:to>
      <xdr:col>7</xdr:col>
      <xdr:colOff>32912</xdr:colOff>
      <xdr:row>3088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57775" y="6562248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3137</xdr:row>
      <xdr:rowOff>38100</xdr:rowOff>
    </xdr:from>
    <xdr:to>
      <xdr:col>6</xdr:col>
      <xdr:colOff>312598</xdr:colOff>
      <xdr:row>3137</xdr:row>
      <xdr:rowOff>39243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656196300"/>
          <a:ext cx="807898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3137</xdr:row>
      <xdr:rowOff>47625</xdr:rowOff>
    </xdr:from>
    <xdr:to>
      <xdr:col>6</xdr:col>
      <xdr:colOff>413602</xdr:colOff>
      <xdr:row>3137</xdr:row>
      <xdr:rowOff>48006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29175" y="656205825"/>
          <a:ext cx="718402" cy="381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3092</xdr:row>
      <xdr:rowOff>0</xdr:rowOff>
    </xdr:from>
    <xdr:ext cx="563176" cy="2667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28483560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3124</xdr:row>
      <xdr:rowOff>76200</xdr:rowOff>
    </xdr:from>
    <xdr:ext cx="563176" cy="2667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29130307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3130</xdr:row>
      <xdr:rowOff>38100</xdr:rowOff>
    </xdr:from>
    <xdr:ext cx="760791" cy="1143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292569900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3130</xdr:row>
      <xdr:rowOff>38100</xdr:rowOff>
    </xdr:from>
    <xdr:ext cx="420237" cy="1143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29150" y="292569900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3130</xdr:row>
      <xdr:rowOff>68033</xdr:rowOff>
    </xdr:from>
    <xdr:to>
      <xdr:col>7</xdr:col>
      <xdr:colOff>1212</xdr:colOff>
      <xdr:row>3133</xdr:row>
      <xdr:rowOff>12633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7047" y="292599833"/>
          <a:ext cx="612965" cy="4970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3137</xdr:row>
      <xdr:rowOff>0</xdr:rowOff>
    </xdr:from>
    <xdr:ext cx="563176" cy="2667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575012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3169</xdr:row>
      <xdr:rowOff>76200</xdr:rowOff>
    </xdr:from>
    <xdr:ext cx="563176" cy="2667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645497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3175</xdr:row>
      <xdr:rowOff>38100</xdr:rowOff>
    </xdr:from>
    <xdr:ext cx="760791" cy="1143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665816550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3175</xdr:row>
      <xdr:rowOff>38100</xdr:rowOff>
    </xdr:from>
    <xdr:ext cx="420237" cy="1143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29150" y="665816550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3175</xdr:row>
      <xdr:rowOff>68033</xdr:rowOff>
    </xdr:from>
    <xdr:to>
      <xdr:col>7</xdr:col>
      <xdr:colOff>1212</xdr:colOff>
      <xdr:row>3178</xdr:row>
      <xdr:rowOff>12633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7047" y="665846483"/>
          <a:ext cx="612965" cy="5161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3223</xdr:row>
      <xdr:rowOff>38100</xdr:rowOff>
    </xdr:from>
    <xdr:to>
      <xdr:col>6</xdr:col>
      <xdr:colOff>312598</xdr:colOff>
      <xdr:row>3223</xdr:row>
      <xdr:rowOff>39243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1594408800"/>
          <a:ext cx="941248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3223</xdr:row>
      <xdr:rowOff>47625</xdr:rowOff>
    </xdr:from>
    <xdr:to>
      <xdr:col>6</xdr:col>
      <xdr:colOff>413602</xdr:colOff>
      <xdr:row>3223</xdr:row>
      <xdr:rowOff>48006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48225" y="1594418325"/>
          <a:ext cx="756502" cy="38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3271</xdr:row>
      <xdr:rowOff>38100</xdr:rowOff>
    </xdr:from>
    <xdr:to>
      <xdr:col>6</xdr:col>
      <xdr:colOff>312598</xdr:colOff>
      <xdr:row>3271</xdr:row>
      <xdr:rowOff>39243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685352325"/>
          <a:ext cx="807898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3271</xdr:row>
      <xdr:rowOff>47625</xdr:rowOff>
    </xdr:from>
    <xdr:to>
      <xdr:col>6</xdr:col>
      <xdr:colOff>413602</xdr:colOff>
      <xdr:row>3271</xdr:row>
      <xdr:rowOff>48006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29175" y="685361850"/>
          <a:ext cx="718402" cy="38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3271</xdr:row>
      <xdr:rowOff>47625</xdr:rowOff>
    </xdr:from>
    <xdr:to>
      <xdr:col>7</xdr:col>
      <xdr:colOff>32912</xdr:colOff>
      <xdr:row>3273</xdr:row>
      <xdr:rowOff>171450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57775" y="6955726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3276</xdr:row>
      <xdr:rowOff>0</xdr:rowOff>
    </xdr:from>
    <xdr:to>
      <xdr:col>7</xdr:col>
      <xdr:colOff>205962</xdr:colOff>
      <xdr:row>3276</xdr:row>
      <xdr:rowOff>2667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20947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3309</xdr:row>
      <xdr:rowOff>76200</xdr:rowOff>
    </xdr:from>
    <xdr:to>
      <xdr:col>7</xdr:col>
      <xdr:colOff>205962</xdr:colOff>
      <xdr:row>3309</xdr:row>
      <xdr:rowOff>78867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427348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3322</xdr:row>
      <xdr:rowOff>0</xdr:rowOff>
    </xdr:from>
    <xdr:to>
      <xdr:col>7</xdr:col>
      <xdr:colOff>205962</xdr:colOff>
      <xdr:row>3322</xdr:row>
      <xdr:rowOff>2667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696296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3355</xdr:row>
      <xdr:rowOff>76200</xdr:rowOff>
    </xdr:from>
    <xdr:to>
      <xdr:col>7</xdr:col>
      <xdr:colOff>205962</xdr:colOff>
      <xdr:row>3355</xdr:row>
      <xdr:rowOff>78867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036212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3368</xdr:row>
      <xdr:rowOff>0</xdr:rowOff>
    </xdr:from>
    <xdr:to>
      <xdr:col>7</xdr:col>
      <xdr:colOff>205962</xdr:colOff>
      <xdr:row>3368</xdr:row>
      <xdr:rowOff>2667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06202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3400</xdr:row>
      <xdr:rowOff>76200</xdr:rowOff>
    </xdr:from>
    <xdr:to>
      <xdr:col>7</xdr:col>
      <xdr:colOff>205962</xdr:colOff>
      <xdr:row>3400</xdr:row>
      <xdr:rowOff>78867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135463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3402</xdr:row>
      <xdr:rowOff>76200</xdr:rowOff>
    </xdr:from>
    <xdr:to>
      <xdr:col>7</xdr:col>
      <xdr:colOff>205962</xdr:colOff>
      <xdr:row>3402</xdr:row>
      <xdr:rowOff>78867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242048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3415</xdr:row>
      <xdr:rowOff>0</xdr:rowOff>
    </xdr:from>
    <xdr:to>
      <xdr:col>7</xdr:col>
      <xdr:colOff>205962</xdr:colOff>
      <xdr:row>3415</xdr:row>
      <xdr:rowOff>2667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06202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3448</xdr:row>
      <xdr:rowOff>76200</xdr:rowOff>
    </xdr:from>
    <xdr:to>
      <xdr:col>7</xdr:col>
      <xdr:colOff>205962</xdr:colOff>
      <xdr:row>3448</xdr:row>
      <xdr:rowOff>78867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135463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3460</xdr:row>
      <xdr:rowOff>0</xdr:rowOff>
    </xdr:from>
    <xdr:to>
      <xdr:col>7</xdr:col>
      <xdr:colOff>205962</xdr:colOff>
      <xdr:row>3460</xdr:row>
      <xdr:rowOff>2667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26395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3493</xdr:row>
      <xdr:rowOff>76200</xdr:rowOff>
    </xdr:from>
    <xdr:to>
      <xdr:col>7</xdr:col>
      <xdr:colOff>205962</xdr:colOff>
      <xdr:row>3493</xdr:row>
      <xdr:rowOff>78867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335774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3506</xdr:row>
      <xdr:rowOff>0</xdr:rowOff>
    </xdr:from>
    <xdr:to>
      <xdr:col>7</xdr:col>
      <xdr:colOff>205962</xdr:colOff>
      <xdr:row>3506</xdr:row>
      <xdr:rowOff>2667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35968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3539</xdr:row>
      <xdr:rowOff>76200</xdr:rowOff>
    </xdr:from>
    <xdr:to>
      <xdr:col>7</xdr:col>
      <xdr:colOff>205962</xdr:colOff>
      <xdr:row>3539</xdr:row>
      <xdr:rowOff>78867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431690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3552</xdr:row>
      <xdr:rowOff>0</xdr:rowOff>
    </xdr:from>
    <xdr:to>
      <xdr:col>7</xdr:col>
      <xdr:colOff>205962</xdr:colOff>
      <xdr:row>3552</xdr:row>
      <xdr:rowOff>2667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45750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3585</xdr:row>
      <xdr:rowOff>76200</xdr:rowOff>
    </xdr:from>
    <xdr:to>
      <xdr:col>7</xdr:col>
      <xdr:colOff>205962</xdr:colOff>
      <xdr:row>3585</xdr:row>
      <xdr:rowOff>78867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531417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3597</xdr:row>
      <xdr:rowOff>0</xdr:rowOff>
    </xdr:from>
    <xdr:to>
      <xdr:col>7</xdr:col>
      <xdr:colOff>351321</xdr:colOff>
      <xdr:row>3597</xdr:row>
      <xdr:rowOff>2667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995714925"/>
          <a:ext cx="9420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3626</xdr:row>
      <xdr:rowOff>76200</xdr:rowOff>
    </xdr:from>
    <xdr:to>
      <xdr:col>7</xdr:col>
      <xdr:colOff>351321</xdr:colOff>
      <xdr:row>3626</xdr:row>
      <xdr:rowOff>78867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002401475"/>
          <a:ext cx="9420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3643</xdr:row>
      <xdr:rowOff>0</xdr:rowOff>
    </xdr:from>
    <xdr:to>
      <xdr:col>7</xdr:col>
      <xdr:colOff>351321</xdr:colOff>
      <xdr:row>3643</xdr:row>
      <xdr:rowOff>2667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652861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3676</xdr:row>
      <xdr:rowOff>76200</xdr:rowOff>
    </xdr:from>
    <xdr:to>
      <xdr:col>7</xdr:col>
      <xdr:colOff>351321</xdr:colOff>
      <xdr:row>3676</xdr:row>
      <xdr:rowOff>78867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33765" y="77193457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3682</xdr:row>
      <xdr:rowOff>57150</xdr:rowOff>
    </xdr:from>
    <xdr:to>
      <xdr:col>7</xdr:col>
      <xdr:colOff>51962</xdr:colOff>
      <xdr:row>3684</xdr:row>
      <xdr:rowOff>180975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76825" y="7828692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3730</xdr:row>
      <xdr:rowOff>47624</xdr:rowOff>
    </xdr:from>
    <xdr:to>
      <xdr:col>6</xdr:col>
      <xdr:colOff>191842</xdr:colOff>
      <xdr:row>3730</xdr:row>
      <xdr:rowOff>48767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610100" y="569118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343462</xdr:colOff>
      <xdr:row>3730</xdr:row>
      <xdr:rowOff>96608</xdr:rowOff>
    </xdr:from>
    <xdr:to>
      <xdr:col>6</xdr:col>
      <xdr:colOff>470869</xdr:colOff>
      <xdr:row>3732</xdr:row>
      <xdr:rowOff>104775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001187" y="56960858"/>
          <a:ext cx="603657" cy="3891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3778</xdr:row>
      <xdr:rowOff>47624</xdr:rowOff>
    </xdr:from>
    <xdr:to>
      <xdr:col>6</xdr:col>
      <xdr:colOff>191842</xdr:colOff>
      <xdr:row>3778</xdr:row>
      <xdr:rowOff>48767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610100" y="793642049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343462</xdr:colOff>
      <xdr:row>3778</xdr:row>
      <xdr:rowOff>96608</xdr:rowOff>
    </xdr:from>
    <xdr:to>
      <xdr:col>6</xdr:col>
      <xdr:colOff>470869</xdr:colOff>
      <xdr:row>3780</xdr:row>
      <xdr:rowOff>104775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001187" y="793691033"/>
          <a:ext cx="603657" cy="3891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3825</xdr:row>
      <xdr:rowOff>0</xdr:rowOff>
    </xdr:from>
    <xdr:to>
      <xdr:col>7</xdr:col>
      <xdr:colOff>580967</xdr:colOff>
      <xdr:row>3825</xdr:row>
      <xdr:rowOff>2463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77259" y="373360950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3864</xdr:row>
      <xdr:rowOff>85725</xdr:rowOff>
    </xdr:from>
    <xdr:to>
      <xdr:col>7</xdr:col>
      <xdr:colOff>53082</xdr:colOff>
      <xdr:row>3864</xdr:row>
      <xdr:rowOff>88367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57775" y="381371475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3864</xdr:row>
      <xdr:rowOff>97190</xdr:rowOff>
    </xdr:from>
    <xdr:to>
      <xdr:col>6</xdr:col>
      <xdr:colOff>438004</xdr:colOff>
      <xdr:row>3867</xdr:row>
      <xdr:rowOff>18851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59014" y="381382940"/>
          <a:ext cx="612965" cy="49316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3877</xdr:row>
      <xdr:rowOff>0</xdr:rowOff>
    </xdr:from>
    <xdr:to>
      <xdr:col>7</xdr:col>
      <xdr:colOff>580967</xdr:colOff>
      <xdr:row>3877</xdr:row>
      <xdr:rowOff>2463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77259" y="814654200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3916</xdr:row>
      <xdr:rowOff>85725</xdr:rowOff>
    </xdr:from>
    <xdr:to>
      <xdr:col>7</xdr:col>
      <xdr:colOff>53082</xdr:colOff>
      <xdr:row>3916</xdr:row>
      <xdr:rowOff>88367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57775" y="822836175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3916</xdr:row>
      <xdr:rowOff>97190</xdr:rowOff>
    </xdr:from>
    <xdr:to>
      <xdr:col>6</xdr:col>
      <xdr:colOff>438004</xdr:colOff>
      <xdr:row>3919</xdr:row>
      <xdr:rowOff>18851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59014" y="822847640"/>
          <a:ext cx="612965" cy="49316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3925</xdr:row>
      <xdr:rowOff>0</xdr:rowOff>
    </xdr:from>
    <xdr:to>
      <xdr:col>7</xdr:col>
      <xdr:colOff>580967</xdr:colOff>
      <xdr:row>3925</xdr:row>
      <xdr:rowOff>2463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77259" y="82466497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3965</xdr:row>
      <xdr:rowOff>85725</xdr:rowOff>
    </xdr:from>
    <xdr:to>
      <xdr:col>7</xdr:col>
      <xdr:colOff>53082</xdr:colOff>
      <xdr:row>3965</xdr:row>
      <xdr:rowOff>88367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57775" y="83269455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3965</xdr:row>
      <xdr:rowOff>97190</xdr:rowOff>
    </xdr:from>
    <xdr:to>
      <xdr:col>6</xdr:col>
      <xdr:colOff>438004</xdr:colOff>
      <xdr:row>3968</xdr:row>
      <xdr:rowOff>18851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59014" y="832706015"/>
          <a:ext cx="612965" cy="49316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3973</xdr:row>
      <xdr:rowOff>0</xdr:rowOff>
    </xdr:from>
    <xdr:to>
      <xdr:col>7</xdr:col>
      <xdr:colOff>580967</xdr:colOff>
      <xdr:row>3973</xdr:row>
      <xdr:rowOff>2463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77259" y="834332850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4013</xdr:row>
      <xdr:rowOff>85725</xdr:rowOff>
    </xdr:from>
    <xdr:to>
      <xdr:col>7</xdr:col>
      <xdr:colOff>53082</xdr:colOff>
      <xdr:row>4013</xdr:row>
      <xdr:rowOff>88367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57775" y="842591025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4013</xdr:row>
      <xdr:rowOff>97190</xdr:rowOff>
    </xdr:from>
    <xdr:to>
      <xdr:col>6</xdr:col>
      <xdr:colOff>438004</xdr:colOff>
      <xdr:row>4016</xdr:row>
      <xdr:rowOff>18851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59014" y="842602490"/>
          <a:ext cx="612965" cy="49316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4019</xdr:row>
      <xdr:rowOff>0</xdr:rowOff>
    </xdr:from>
    <xdr:to>
      <xdr:col>7</xdr:col>
      <xdr:colOff>580967</xdr:colOff>
      <xdr:row>4019</xdr:row>
      <xdr:rowOff>2463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77259" y="84441982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4059</xdr:row>
      <xdr:rowOff>85725</xdr:rowOff>
    </xdr:from>
    <xdr:to>
      <xdr:col>7</xdr:col>
      <xdr:colOff>53082</xdr:colOff>
      <xdr:row>4059</xdr:row>
      <xdr:rowOff>88367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57775" y="85262085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4059</xdr:row>
      <xdr:rowOff>97190</xdr:rowOff>
    </xdr:from>
    <xdr:to>
      <xdr:col>6</xdr:col>
      <xdr:colOff>438004</xdr:colOff>
      <xdr:row>4062</xdr:row>
      <xdr:rowOff>18851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59014" y="852632315"/>
          <a:ext cx="612965" cy="49316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4102</xdr:row>
      <xdr:rowOff>38100</xdr:rowOff>
    </xdr:from>
    <xdr:to>
      <xdr:col>6</xdr:col>
      <xdr:colOff>310844</xdr:colOff>
      <xdr:row>4102</xdr:row>
      <xdr:rowOff>39243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919743525"/>
          <a:ext cx="939494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4102</xdr:row>
      <xdr:rowOff>38100</xdr:rowOff>
    </xdr:from>
    <xdr:to>
      <xdr:col>6</xdr:col>
      <xdr:colOff>102389</xdr:colOff>
      <xdr:row>4102</xdr:row>
      <xdr:rowOff>39624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43425" y="919743525"/>
          <a:ext cx="711989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219075</xdr:colOff>
      <xdr:row>4102</xdr:row>
      <xdr:rowOff>9525</xdr:rowOff>
    </xdr:from>
    <xdr:to>
      <xdr:col>6</xdr:col>
      <xdr:colOff>435447</xdr:colOff>
      <xdr:row>4104</xdr:row>
      <xdr:rowOff>104775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505450" y="872518575"/>
          <a:ext cx="692622" cy="4762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4108</xdr:row>
      <xdr:rowOff>0</xdr:rowOff>
    </xdr:from>
    <xdr:to>
      <xdr:col>7</xdr:col>
      <xdr:colOff>580967</xdr:colOff>
      <xdr:row>4108</xdr:row>
      <xdr:rowOff>2463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05909" y="84441982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4147</xdr:row>
      <xdr:rowOff>85725</xdr:rowOff>
    </xdr:from>
    <xdr:to>
      <xdr:col>7</xdr:col>
      <xdr:colOff>53082</xdr:colOff>
      <xdr:row>4147</xdr:row>
      <xdr:rowOff>88367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686425" y="85262085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4147</xdr:row>
      <xdr:rowOff>97190</xdr:rowOff>
    </xdr:from>
    <xdr:to>
      <xdr:col>6</xdr:col>
      <xdr:colOff>438004</xdr:colOff>
      <xdr:row>4150</xdr:row>
      <xdr:rowOff>18851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587664" y="852632315"/>
          <a:ext cx="612965" cy="49316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4201</xdr:row>
      <xdr:rowOff>38100</xdr:rowOff>
    </xdr:from>
    <xdr:to>
      <xdr:col>6</xdr:col>
      <xdr:colOff>310844</xdr:colOff>
      <xdr:row>4201</xdr:row>
      <xdr:rowOff>39243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230906" y="870589482"/>
          <a:ext cx="810066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4201</xdr:row>
      <xdr:rowOff>38100</xdr:rowOff>
    </xdr:from>
    <xdr:to>
      <xdr:col>6</xdr:col>
      <xdr:colOff>102389</xdr:colOff>
      <xdr:row>4201</xdr:row>
      <xdr:rowOff>39624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249956" y="870589482"/>
          <a:ext cx="582561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161925</xdr:colOff>
      <xdr:row>4201</xdr:row>
      <xdr:rowOff>85725</xdr:rowOff>
    </xdr:from>
    <xdr:to>
      <xdr:col>6</xdr:col>
      <xdr:colOff>378297</xdr:colOff>
      <xdr:row>4203</xdr:row>
      <xdr:rowOff>180975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76825" y="893025900"/>
          <a:ext cx="692622" cy="4762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4256</xdr:row>
      <xdr:rowOff>0</xdr:rowOff>
    </xdr:from>
    <xdr:to>
      <xdr:col>7</xdr:col>
      <xdr:colOff>580967</xdr:colOff>
      <xdr:row>4256</xdr:row>
      <xdr:rowOff>2463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873194850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4294</xdr:row>
      <xdr:rowOff>85725</xdr:rowOff>
    </xdr:from>
    <xdr:to>
      <xdr:col>7</xdr:col>
      <xdr:colOff>53082</xdr:colOff>
      <xdr:row>4294</xdr:row>
      <xdr:rowOff>88367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88136730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4294</xdr:row>
      <xdr:rowOff>97190</xdr:rowOff>
    </xdr:from>
    <xdr:to>
      <xdr:col>6</xdr:col>
      <xdr:colOff>438004</xdr:colOff>
      <xdr:row>4297</xdr:row>
      <xdr:rowOff>47426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881378765"/>
          <a:ext cx="612965" cy="49316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4302</xdr:row>
      <xdr:rowOff>0</xdr:rowOff>
    </xdr:from>
    <xdr:to>
      <xdr:col>7</xdr:col>
      <xdr:colOff>580967</xdr:colOff>
      <xdr:row>4302</xdr:row>
      <xdr:rowOff>2463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0524647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4340</xdr:row>
      <xdr:rowOff>85725</xdr:rowOff>
    </xdr:from>
    <xdr:to>
      <xdr:col>7</xdr:col>
      <xdr:colOff>53082</xdr:colOff>
      <xdr:row>4340</xdr:row>
      <xdr:rowOff>88367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1306650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4340</xdr:row>
      <xdr:rowOff>97190</xdr:rowOff>
    </xdr:from>
    <xdr:to>
      <xdr:col>6</xdr:col>
      <xdr:colOff>438004</xdr:colOff>
      <xdr:row>4343</xdr:row>
      <xdr:rowOff>47426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13077965"/>
          <a:ext cx="612965" cy="5217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4349</xdr:row>
      <xdr:rowOff>0</xdr:rowOff>
    </xdr:from>
    <xdr:to>
      <xdr:col>7</xdr:col>
      <xdr:colOff>580967</xdr:colOff>
      <xdr:row>4349</xdr:row>
      <xdr:rowOff>2463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1490482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4390</xdr:row>
      <xdr:rowOff>85725</xdr:rowOff>
    </xdr:from>
    <xdr:to>
      <xdr:col>7</xdr:col>
      <xdr:colOff>53082</xdr:colOff>
      <xdr:row>4390</xdr:row>
      <xdr:rowOff>88367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2272485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4390</xdr:row>
      <xdr:rowOff>97190</xdr:rowOff>
    </xdr:from>
    <xdr:to>
      <xdr:col>6</xdr:col>
      <xdr:colOff>438004</xdr:colOff>
      <xdr:row>4393</xdr:row>
      <xdr:rowOff>47426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22736315"/>
          <a:ext cx="612965" cy="5217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4349</xdr:row>
      <xdr:rowOff>0</xdr:rowOff>
    </xdr:from>
    <xdr:to>
      <xdr:col>7</xdr:col>
      <xdr:colOff>580967</xdr:colOff>
      <xdr:row>4349</xdr:row>
      <xdr:rowOff>2463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0524647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4390</xdr:row>
      <xdr:rowOff>85725</xdr:rowOff>
    </xdr:from>
    <xdr:to>
      <xdr:col>7</xdr:col>
      <xdr:colOff>53082</xdr:colOff>
      <xdr:row>4390</xdr:row>
      <xdr:rowOff>88367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1306650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4390</xdr:row>
      <xdr:rowOff>97190</xdr:rowOff>
    </xdr:from>
    <xdr:to>
      <xdr:col>6</xdr:col>
      <xdr:colOff>438004</xdr:colOff>
      <xdr:row>4393</xdr:row>
      <xdr:rowOff>47426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13077965"/>
          <a:ext cx="612965" cy="5217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4397</xdr:row>
      <xdr:rowOff>0</xdr:rowOff>
    </xdr:from>
    <xdr:to>
      <xdr:col>7</xdr:col>
      <xdr:colOff>580967</xdr:colOff>
      <xdr:row>4397</xdr:row>
      <xdr:rowOff>2463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24744150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4436</xdr:row>
      <xdr:rowOff>85725</xdr:rowOff>
    </xdr:from>
    <xdr:to>
      <xdr:col>7</xdr:col>
      <xdr:colOff>53082</xdr:colOff>
      <xdr:row>4436</xdr:row>
      <xdr:rowOff>88367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32964225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4436</xdr:row>
      <xdr:rowOff>97190</xdr:rowOff>
    </xdr:from>
    <xdr:to>
      <xdr:col>6</xdr:col>
      <xdr:colOff>438004</xdr:colOff>
      <xdr:row>4439</xdr:row>
      <xdr:rowOff>47426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32975690"/>
          <a:ext cx="612965" cy="5217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4397</xdr:row>
      <xdr:rowOff>0</xdr:rowOff>
    </xdr:from>
    <xdr:to>
      <xdr:col>7</xdr:col>
      <xdr:colOff>580967</xdr:colOff>
      <xdr:row>4397</xdr:row>
      <xdr:rowOff>2463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24744150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4436</xdr:row>
      <xdr:rowOff>85725</xdr:rowOff>
    </xdr:from>
    <xdr:to>
      <xdr:col>7</xdr:col>
      <xdr:colOff>53082</xdr:colOff>
      <xdr:row>4436</xdr:row>
      <xdr:rowOff>88367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32964225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4436</xdr:row>
      <xdr:rowOff>97190</xdr:rowOff>
    </xdr:from>
    <xdr:to>
      <xdr:col>6</xdr:col>
      <xdr:colOff>438004</xdr:colOff>
      <xdr:row>4439</xdr:row>
      <xdr:rowOff>47426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32975690"/>
          <a:ext cx="612965" cy="5217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4444</xdr:row>
      <xdr:rowOff>0</xdr:rowOff>
    </xdr:from>
    <xdr:to>
      <xdr:col>7</xdr:col>
      <xdr:colOff>580967</xdr:colOff>
      <xdr:row>4444</xdr:row>
      <xdr:rowOff>2463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3460252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4483</xdr:row>
      <xdr:rowOff>85725</xdr:rowOff>
    </xdr:from>
    <xdr:to>
      <xdr:col>7</xdr:col>
      <xdr:colOff>53082</xdr:colOff>
      <xdr:row>4483</xdr:row>
      <xdr:rowOff>88367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4278450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4483</xdr:row>
      <xdr:rowOff>97190</xdr:rowOff>
    </xdr:from>
    <xdr:to>
      <xdr:col>6</xdr:col>
      <xdr:colOff>438004</xdr:colOff>
      <xdr:row>4486</xdr:row>
      <xdr:rowOff>47426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42795965"/>
          <a:ext cx="612965" cy="5217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4444</xdr:row>
      <xdr:rowOff>0</xdr:rowOff>
    </xdr:from>
    <xdr:to>
      <xdr:col>7</xdr:col>
      <xdr:colOff>580967</xdr:colOff>
      <xdr:row>4444</xdr:row>
      <xdr:rowOff>2463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3460252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4483</xdr:row>
      <xdr:rowOff>85725</xdr:rowOff>
    </xdr:from>
    <xdr:to>
      <xdr:col>7</xdr:col>
      <xdr:colOff>53082</xdr:colOff>
      <xdr:row>4483</xdr:row>
      <xdr:rowOff>88367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4278450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4483</xdr:row>
      <xdr:rowOff>97190</xdr:rowOff>
    </xdr:from>
    <xdr:to>
      <xdr:col>6</xdr:col>
      <xdr:colOff>438004</xdr:colOff>
      <xdr:row>4486</xdr:row>
      <xdr:rowOff>47426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42795965"/>
          <a:ext cx="612965" cy="5217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4527</xdr:row>
      <xdr:rowOff>66675</xdr:rowOff>
    </xdr:from>
    <xdr:to>
      <xdr:col>6</xdr:col>
      <xdr:colOff>490112</xdr:colOff>
      <xdr:row>4530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67325" y="9620250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4536</xdr:row>
      <xdr:rowOff>0</xdr:rowOff>
    </xdr:from>
    <xdr:to>
      <xdr:col>7</xdr:col>
      <xdr:colOff>205962</xdr:colOff>
      <xdr:row>4536</xdr:row>
      <xdr:rowOff>2667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5982081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4536</xdr:row>
      <xdr:rowOff>0</xdr:rowOff>
    </xdr:from>
    <xdr:to>
      <xdr:col>7</xdr:col>
      <xdr:colOff>205962</xdr:colOff>
      <xdr:row>4536</xdr:row>
      <xdr:rowOff>2667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5982081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4575</xdr:row>
      <xdr:rowOff>38100</xdr:rowOff>
    </xdr:from>
    <xdr:to>
      <xdr:col>6</xdr:col>
      <xdr:colOff>424562</xdr:colOff>
      <xdr:row>4575</xdr:row>
      <xdr:rowOff>39243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606132900"/>
          <a:ext cx="919862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4575</xdr:row>
      <xdr:rowOff>38100</xdr:rowOff>
    </xdr:from>
    <xdr:to>
      <xdr:col>6</xdr:col>
      <xdr:colOff>214368</xdr:colOff>
      <xdr:row>4575</xdr:row>
      <xdr:rowOff>39624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606132900"/>
          <a:ext cx="690618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4575</xdr:row>
      <xdr:rowOff>95250</xdr:rowOff>
    </xdr:from>
    <xdr:to>
      <xdr:col>7</xdr:col>
      <xdr:colOff>70989</xdr:colOff>
      <xdr:row>4575</xdr:row>
      <xdr:rowOff>97180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72100" y="606190050"/>
          <a:ext cx="594864" cy="19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333375</xdr:colOff>
      <xdr:row>4575</xdr:row>
      <xdr:rowOff>76200</xdr:rowOff>
    </xdr:from>
    <xdr:to>
      <xdr:col>6</xdr:col>
      <xdr:colOff>471062</xdr:colOff>
      <xdr:row>4578</xdr:row>
      <xdr:rowOff>9525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8275" y="9719214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4581</xdr:row>
      <xdr:rowOff>0</xdr:rowOff>
    </xdr:from>
    <xdr:to>
      <xdr:col>7</xdr:col>
      <xdr:colOff>284646</xdr:colOff>
      <xdr:row>4581</xdr:row>
      <xdr:rowOff>2667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756113550"/>
          <a:ext cx="9420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4615</xdr:row>
      <xdr:rowOff>76200</xdr:rowOff>
    </xdr:from>
    <xdr:to>
      <xdr:col>7</xdr:col>
      <xdr:colOff>284646</xdr:colOff>
      <xdr:row>4615</xdr:row>
      <xdr:rowOff>78867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762962025"/>
          <a:ext cx="9420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4621</xdr:row>
      <xdr:rowOff>57150</xdr:rowOff>
    </xdr:from>
    <xdr:to>
      <xdr:col>6</xdr:col>
      <xdr:colOff>480587</xdr:colOff>
      <xdr:row>4623</xdr:row>
      <xdr:rowOff>180975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7800" y="9809702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4665</xdr:row>
      <xdr:rowOff>38100</xdr:rowOff>
    </xdr:from>
    <xdr:to>
      <xdr:col>6</xdr:col>
      <xdr:colOff>366287</xdr:colOff>
      <xdr:row>4667</xdr:row>
      <xdr:rowOff>161925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43500" y="9919811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4712</xdr:row>
      <xdr:rowOff>38100</xdr:rowOff>
    </xdr:from>
    <xdr:to>
      <xdr:col>6</xdr:col>
      <xdr:colOff>366287</xdr:colOff>
      <xdr:row>4714</xdr:row>
      <xdr:rowOff>161925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43500" y="9914096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4756</xdr:row>
      <xdr:rowOff>38100</xdr:rowOff>
    </xdr:from>
    <xdr:to>
      <xdr:col>6</xdr:col>
      <xdr:colOff>366287</xdr:colOff>
      <xdr:row>4758</xdr:row>
      <xdr:rowOff>161925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48250" y="10006679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4851</xdr:row>
      <xdr:rowOff>76200</xdr:rowOff>
    </xdr:from>
    <xdr:to>
      <xdr:col>6</xdr:col>
      <xdr:colOff>458978</xdr:colOff>
      <xdr:row>4851</xdr:row>
      <xdr:rowOff>78867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811931225"/>
          <a:ext cx="544913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356169</xdr:colOff>
      <xdr:row>4851</xdr:row>
      <xdr:rowOff>49698</xdr:rowOff>
    </xdr:from>
    <xdr:to>
      <xdr:col>6</xdr:col>
      <xdr:colOff>489715</xdr:colOff>
      <xdr:row>4853</xdr:row>
      <xdr:rowOff>173523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1191" y="1028989894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4898</xdr:row>
      <xdr:rowOff>76200</xdr:rowOff>
    </xdr:from>
    <xdr:to>
      <xdr:col>6</xdr:col>
      <xdr:colOff>458978</xdr:colOff>
      <xdr:row>4898</xdr:row>
      <xdr:rowOff>78867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71062" y="1029016396"/>
          <a:ext cx="46332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356169</xdr:colOff>
      <xdr:row>4898</xdr:row>
      <xdr:rowOff>49698</xdr:rowOff>
    </xdr:from>
    <xdr:to>
      <xdr:col>6</xdr:col>
      <xdr:colOff>489715</xdr:colOff>
      <xdr:row>4900</xdr:row>
      <xdr:rowOff>173523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1191" y="1028989894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4945</xdr:row>
      <xdr:rowOff>76200</xdr:rowOff>
    </xdr:from>
    <xdr:to>
      <xdr:col>6</xdr:col>
      <xdr:colOff>458978</xdr:colOff>
      <xdr:row>4945</xdr:row>
      <xdr:rowOff>78867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71062" y="1038831287"/>
          <a:ext cx="46332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356169</xdr:colOff>
      <xdr:row>4945</xdr:row>
      <xdr:rowOff>49698</xdr:rowOff>
    </xdr:from>
    <xdr:to>
      <xdr:col>6</xdr:col>
      <xdr:colOff>489715</xdr:colOff>
      <xdr:row>4947</xdr:row>
      <xdr:rowOff>173523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1191" y="103880478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372735</xdr:colOff>
      <xdr:row>4991</xdr:row>
      <xdr:rowOff>49698</xdr:rowOff>
    </xdr:from>
    <xdr:to>
      <xdr:col>7</xdr:col>
      <xdr:colOff>1042</xdr:colOff>
      <xdr:row>4993</xdr:row>
      <xdr:rowOff>173523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67757" y="1058053568"/>
          <a:ext cx="613937" cy="504825"/>
        </a:xfrm>
        <a:prstGeom prst="rect">
          <a:avLst/>
        </a:prstGeom>
        <a:noFill/>
      </xdr:spPr>
    </xdr:pic>
    <xdr:clientData/>
  </xdr:twoCellAnchor>
  <xdr:twoCellAnchor>
    <xdr:from>
      <xdr:col>5</xdr:col>
      <xdr:colOff>161924</xdr:colOff>
      <xdr:row>5039</xdr:row>
      <xdr:rowOff>66675</xdr:rowOff>
    </xdr:from>
    <xdr:to>
      <xdr:col>6</xdr:col>
      <xdr:colOff>257175</xdr:colOff>
      <xdr:row>5041</xdr:row>
      <xdr:rowOff>161925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6946" y="17576110"/>
          <a:ext cx="575642" cy="4762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5046</xdr:row>
      <xdr:rowOff>0</xdr:rowOff>
    </xdr:from>
    <xdr:to>
      <xdr:col>7</xdr:col>
      <xdr:colOff>284646</xdr:colOff>
      <xdr:row>5046</xdr:row>
      <xdr:rowOff>2667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803509950"/>
          <a:ext cx="9420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356169</xdr:colOff>
      <xdr:row>5086</xdr:row>
      <xdr:rowOff>49698</xdr:rowOff>
    </xdr:from>
    <xdr:to>
      <xdr:col>6</xdr:col>
      <xdr:colOff>489715</xdr:colOff>
      <xdr:row>5088</xdr:row>
      <xdr:rowOff>173523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1191" y="1077468002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5093</xdr:row>
      <xdr:rowOff>0</xdr:rowOff>
    </xdr:from>
    <xdr:to>
      <xdr:col>7</xdr:col>
      <xdr:colOff>284646</xdr:colOff>
      <xdr:row>5093</xdr:row>
      <xdr:rowOff>2667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71062" y="1069541543"/>
          <a:ext cx="79423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356169</xdr:colOff>
      <xdr:row>5133</xdr:row>
      <xdr:rowOff>49698</xdr:rowOff>
    </xdr:from>
    <xdr:to>
      <xdr:col>6</xdr:col>
      <xdr:colOff>489715</xdr:colOff>
      <xdr:row>5135</xdr:row>
      <xdr:rowOff>173523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1191" y="1078230002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114300</xdr:colOff>
      <xdr:row>5178</xdr:row>
      <xdr:rowOff>47625</xdr:rowOff>
    </xdr:from>
    <xdr:to>
      <xdr:col>6</xdr:col>
      <xdr:colOff>304800</xdr:colOff>
      <xdr:row>5180</xdr:row>
      <xdr:rowOff>180975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714875" y="25460325"/>
          <a:ext cx="7239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476040</xdr:colOff>
      <xdr:row>5227</xdr:row>
      <xdr:rowOff>76200</xdr:rowOff>
    </xdr:from>
    <xdr:to>
      <xdr:col>6</xdr:col>
      <xdr:colOff>458978</xdr:colOff>
      <xdr:row>5227</xdr:row>
      <xdr:rowOff>78867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030624050"/>
          <a:ext cx="459188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356169</xdr:colOff>
      <xdr:row>5227</xdr:row>
      <xdr:rowOff>49698</xdr:rowOff>
    </xdr:from>
    <xdr:to>
      <xdr:col>6</xdr:col>
      <xdr:colOff>489715</xdr:colOff>
      <xdr:row>5229</xdr:row>
      <xdr:rowOff>173523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2494" y="1030597548"/>
          <a:ext cx="609796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5275</xdr:row>
      <xdr:rowOff>76200</xdr:rowOff>
    </xdr:from>
    <xdr:to>
      <xdr:col>6</xdr:col>
      <xdr:colOff>458978</xdr:colOff>
      <xdr:row>5275</xdr:row>
      <xdr:rowOff>78867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109405325"/>
          <a:ext cx="459188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5280</xdr:row>
      <xdr:rowOff>0</xdr:rowOff>
    </xdr:from>
    <xdr:to>
      <xdr:col>6</xdr:col>
      <xdr:colOff>468503</xdr:colOff>
      <xdr:row>5280</xdr:row>
      <xdr:rowOff>2667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917801600"/>
          <a:ext cx="554438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5310</xdr:row>
      <xdr:rowOff>76200</xdr:rowOff>
    </xdr:from>
    <xdr:to>
      <xdr:col>6</xdr:col>
      <xdr:colOff>468503</xdr:colOff>
      <xdr:row>5310</xdr:row>
      <xdr:rowOff>78867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924288125"/>
          <a:ext cx="554438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5316</xdr:row>
      <xdr:rowOff>38100</xdr:rowOff>
    </xdr:from>
    <xdr:to>
      <xdr:col>6</xdr:col>
      <xdr:colOff>139394</xdr:colOff>
      <xdr:row>5316</xdr:row>
      <xdr:rowOff>39243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1925554950"/>
          <a:ext cx="853769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5316</xdr:row>
      <xdr:rowOff>38100</xdr:rowOff>
    </xdr:from>
    <xdr:to>
      <xdr:col>5</xdr:col>
      <xdr:colOff>398128</xdr:colOff>
      <xdr:row>5316</xdr:row>
      <xdr:rowOff>39243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52950" y="1925554950"/>
          <a:ext cx="521953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5323</xdr:row>
      <xdr:rowOff>0</xdr:rowOff>
    </xdr:from>
    <xdr:to>
      <xdr:col>7</xdr:col>
      <xdr:colOff>351321</xdr:colOff>
      <xdr:row>5323</xdr:row>
      <xdr:rowOff>2667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26384250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5357</xdr:row>
      <xdr:rowOff>76200</xdr:rowOff>
    </xdr:from>
    <xdr:to>
      <xdr:col>7</xdr:col>
      <xdr:colOff>351321</xdr:colOff>
      <xdr:row>5357</xdr:row>
      <xdr:rowOff>78867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27121485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5370</xdr:row>
      <xdr:rowOff>0</xdr:rowOff>
    </xdr:from>
    <xdr:to>
      <xdr:col>7</xdr:col>
      <xdr:colOff>205962</xdr:colOff>
      <xdr:row>5370</xdr:row>
      <xdr:rowOff>2667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4892611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5404</xdr:row>
      <xdr:rowOff>76200</xdr:rowOff>
    </xdr:from>
    <xdr:to>
      <xdr:col>7</xdr:col>
      <xdr:colOff>205962</xdr:colOff>
      <xdr:row>5404</xdr:row>
      <xdr:rowOff>78867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4966239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5410</xdr:row>
      <xdr:rowOff>57150</xdr:rowOff>
    </xdr:from>
    <xdr:to>
      <xdr:col>7</xdr:col>
      <xdr:colOff>51962</xdr:colOff>
      <xdr:row>5412</xdr:row>
      <xdr:rowOff>180975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05425" y="4979193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5316</xdr:row>
      <xdr:rowOff>38100</xdr:rowOff>
    </xdr:from>
    <xdr:to>
      <xdr:col>6</xdr:col>
      <xdr:colOff>490112</xdr:colOff>
      <xdr:row>5318</xdr:row>
      <xdr:rowOff>161925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11280648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5275</xdr:row>
      <xdr:rowOff>38100</xdr:rowOff>
    </xdr:from>
    <xdr:to>
      <xdr:col>6</xdr:col>
      <xdr:colOff>490112</xdr:colOff>
      <xdr:row>5277</xdr:row>
      <xdr:rowOff>161925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11193875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5458</xdr:row>
      <xdr:rowOff>0</xdr:rowOff>
    </xdr:from>
    <xdr:to>
      <xdr:col>7</xdr:col>
      <xdr:colOff>205962</xdr:colOff>
      <xdr:row>5458</xdr:row>
      <xdr:rowOff>2667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4791075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5492</xdr:row>
      <xdr:rowOff>76200</xdr:rowOff>
    </xdr:from>
    <xdr:to>
      <xdr:col>7</xdr:col>
      <xdr:colOff>205962</xdr:colOff>
      <xdr:row>5492</xdr:row>
      <xdr:rowOff>78867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4866798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390525</xdr:colOff>
      <xdr:row>5551</xdr:row>
      <xdr:rowOff>76200</xdr:rowOff>
    </xdr:from>
    <xdr:to>
      <xdr:col>7</xdr:col>
      <xdr:colOff>23387</xdr:colOff>
      <xdr:row>5554</xdr:row>
      <xdr:rowOff>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76850" y="1177118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5557</xdr:row>
      <xdr:rowOff>0</xdr:rowOff>
    </xdr:from>
    <xdr:to>
      <xdr:col>7</xdr:col>
      <xdr:colOff>205962</xdr:colOff>
      <xdr:row>5557</xdr:row>
      <xdr:rowOff>2667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7448454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5591</xdr:row>
      <xdr:rowOff>76200</xdr:rowOff>
    </xdr:from>
    <xdr:to>
      <xdr:col>7</xdr:col>
      <xdr:colOff>205962</xdr:colOff>
      <xdr:row>5591</xdr:row>
      <xdr:rowOff>78867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7522368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5603</xdr:row>
      <xdr:rowOff>0</xdr:rowOff>
    </xdr:from>
    <xdr:to>
      <xdr:col>7</xdr:col>
      <xdr:colOff>205962</xdr:colOff>
      <xdr:row>5603</xdr:row>
      <xdr:rowOff>2667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1788044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5603</xdr:row>
      <xdr:rowOff>0</xdr:rowOff>
    </xdr:from>
    <xdr:to>
      <xdr:col>7</xdr:col>
      <xdr:colOff>205962</xdr:colOff>
      <xdr:row>5603</xdr:row>
      <xdr:rowOff>2667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1862339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5605</xdr:row>
      <xdr:rowOff>0</xdr:rowOff>
    </xdr:from>
    <xdr:to>
      <xdr:col>7</xdr:col>
      <xdr:colOff>205962</xdr:colOff>
      <xdr:row>5605</xdr:row>
      <xdr:rowOff>2667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1886247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5639</xdr:row>
      <xdr:rowOff>76200</xdr:rowOff>
    </xdr:from>
    <xdr:to>
      <xdr:col>7</xdr:col>
      <xdr:colOff>205962</xdr:colOff>
      <xdr:row>5639</xdr:row>
      <xdr:rowOff>78867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1960352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5651</xdr:row>
      <xdr:rowOff>0</xdr:rowOff>
    </xdr:from>
    <xdr:to>
      <xdr:col>7</xdr:col>
      <xdr:colOff>205962</xdr:colOff>
      <xdr:row>5651</xdr:row>
      <xdr:rowOff>2667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1986164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5684</xdr:row>
      <xdr:rowOff>76200</xdr:rowOff>
    </xdr:from>
    <xdr:to>
      <xdr:col>7</xdr:col>
      <xdr:colOff>205962</xdr:colOff>
      <xdr:row>5684</xdr:row>
      <xdr:rowOff>78867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060174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5697</xdr:row>
      <xdr:rowOff>0</xdr:rowOff>
    </xdr:from>
    <xdr:to>
      <xdr:col>7</xdr:col>
      <xdr:colOff>205962</xdr:colOff>
      <xdr:row>5697</xdr:row>
      <xdr:rowOff>2667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08408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5729</xdr:row>
      <xdr:rowOff>76200</xdr:rowOff>
    </xdr:from>
    <xdr:to>
      <xdr:col>7</xdr:col>
      <xdr:colOff>205962</xdr:colOff>
      <xdr:row>5729</xdr:row>
      <xdr:rowOff>78867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158472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5742</xdr:row>
      <xdr:rowOff>0</xdr:rowOff>
    </xdr:from>
    <xdr:to>
      <xdr:col>7</xdr:col>
      <xdr:colOff>205962</xdr:colOff>
      <xdr:row>5742</xdr:row>
      <xdr:rowOff>2667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08408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5776</xdr:row>
      <xdr:rowOff>76200</xdr:rowOff>
    </xdr:from>
    <xdr:to>
      <xdr:col>7</xdr:col>
      <xdr:colOff>205962</xdr:colOff>
      <xdr:row>5776</xdr:row>
      <xdr:rowOff>78867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158472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5790</xdr:row>
      <xdr:rowOff>0</xdr:rowOff>
    </xdr:from>
    <xdr:to>
      <xdr:col>7</xdr:col>
      <xdr:colOff>205962</xdr:colOff>
      <xdr:row>5790</xdr:row>
      <xdr:rowOff>2667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280011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5824</xdr:row>
      <xdr:rowOff>76200</xdr:rowOff>
    </xdr:from>
    <xdr:to>
      <xdr:col>7</xdr:col>
      <xdr:colOff>205962</xdr:colOff>
      <xdr:row>5824</xdr:row>
      <xdr:rowOff>78867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353925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5838</xdr:row>
      <xdr:rowOff>0</xdr:rowOff>
    </xdr:from>
    <xdr:to>
      <xdr:col>7</xdr:col>
      <xdr:colOff>205962</xdr:colOff>
      <xdr:row>5838</xdr:row>
      <xdr:rowOff>2667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381642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5872</xdr:row>
      <xdr:rowOff>76200</xdr:rowOff>
    </xdr:from>
    <xdr:to>
      <xdr:col>7</xdr:col>
      <xdr:colOff>205962</xdr:colOff>
      <xdr:row>5872</xdr:row>
      <xdr:rowOff>78867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45698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5932</xdr:row>
      <xdr:rowOff>0</xdr:rowOff>
    </xdr:from>
    <xdr:to>
      <xdr:col>7</xdr:col>
      <xdr:colOff>205962</xdr:colOff>
      <xdr:row>5932</xdr:row>
      <xdr:rowOff>2667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386691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5966</xdr:row>
      <xdr:rowOff>76200</xdr:rowOff>
    </xdr:from>
    <xdr:to>
      <xdr:col>7</xdr:col>
      <xdr:colOff>205962</xdr:colOff>
      <xdr:row>5966</xdr:row>
      <xdr:rowOff>78867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460700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209550</xdr:colOff>
      <xdr:row>5972</xdr:row>
      <xdr:rowOff>66675</xdr:rowOff>
    </xdr:from>
    <xdr:to>
      <xdr:col>6</xdr:col>
      <xdr:colOff>347237</xdr:colOff>
      <xdr:row>5975</xdr:row>
      <xdr:rowOff>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12675298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5979</xdr:row>
      <xdr:rowOff>0</xdr:rowOff>
    </xdr:from>
    <xdr:to>
      <xdr:col>7</xdr:col>
      <xdr:colOff>205962</xdr:colOff>
      <xdr:row>5979</xdr:row>
      <xdr:rowOff>2667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588144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6009</xdr:row>
      <xdr:rowOff>76200</xdr:rowOff>
    </xdr:from>
    <xdr:to>
      <xdr:col>7</xdr:col>
      <xdr:colOff>205962</xdr:colOff>
      <xdr:row>6009</xdr:row>
      <xdr:rowOff>78867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662249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209550</xdr:colOff>
      <xdr:row>6015</xdr:row>
      <xdr:rowOff>66675</xdr:rowOff>
    </xdr:from>
    <xdr:to>
      <xdr:col>6</xdr:col>
      <xdr:colOff>347237</xdr:colOff>
      <xdr:row>6018</xdr:row>
      <xdr:rowOff>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12675298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6022</xdr:row>
      <xdr:rowOff>0</xdr:rowOff>
    </xdr:from>
    <xdr:to>
      <xdr:col>7</xdr:col>
      <xdr:colOff>205962</xdr:colOff>
      <xdr:row>6022</xdr:row>
      <xdr:rowOff>2667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688062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6052</xdr:row>
      <xdr:rowOff>76200</xdr:rowOff>
    </xdr:from>
    <xdr:to>
      <xdr:col>7</xdr:col>
      <xdr:colOff>205962</xdr:colOff>
      <xdr:row>6052</xdr:row>
      <xdr:rowOff>78867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2753308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209550</xdr:colOff>
      <xdr:row>6058</xdr:row>
      <xdr:rowOff>66675</xdr:rowOff>
    </xdr:from>
    <xdr:to>
      <xdr:col>6</xdr:col>
      <xdr:colOff>347237</xdr:colOff>
      <xdr:row>6061</xdr:row>
      <xdr:rowOff>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12766357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6105</xdr:row>
      <xdr:rowOff>47624</xdr:rowOff>
    </xdr:from>
    <xdr:to>
      <xdr:col>6</xdr:col>
      <xdr:colOff>191842</xdr:colOff>
      <xdr:row>6105</xdr:row>
      <xdr:rowOff>48767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76800" y="66789299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6103</xdr:row>
      <xdr:rowOff>68033</xdr:rowOff>
    </xdr:from>
    <xdr:to>
      <xdr:col>6</xdr:col>
      <xdr:colOff>496318</xdr:colOff>
      <xdr:row>6105</xdr:row>
      <xdr:rowOff>184082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5928" y="66428708"/>
          <a:ext cx="612965" cy="497049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6152</xdr:row>
      <xdr:rowOff>47624</xdr:rowOff>
    </xdr:from>
    <xdr:to>
      <xdr:col>6</xdr:col>
      <xdr:colOff>191842</xdr:colOff>
      <xdr:row>6152</xdr:row>
      <xdr:rowOff>48767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76800" y="1295761949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6150</xdr:row>
      <xdr:rowOff>68033</xdr:rowOff>
    </xdr:from>
    <xdr:to>
      <xdr:col>6</xdr:col>
      <xdr:colOff>496318</xdr:colOff>
      <xdr:row>6152</xdr:row>
      <xdr:rowOff>184082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5928" y="1295401358"/>
          <a:ext cx="612965" cy="497049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6333</xdr:row>
      <xdr:rowOff>47624</xdr:rowOff>
    </xdr:from>
    <xdr:to>
      <xdr:col>6</xdr:col>
      <xdr:colOff>191842</xdr:colOff>
      <xdr:row>6333</xdr:row>
      <xdr:rowOff>48767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76800" y="1295742899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6331</xdr:row>
      <xdr:rowOff>68033</xdr:rowOff>
    </xdr:from>
    <xdr:to>
      <xdr:col>6</xdr:col>
      <xdr:colOff>496318</xdr:colOff>
      <xdr:row>6333</xdr:row>
      <xdr:rowOff>184082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5928" y="1295382308"/>
          <a:ext cx="612965" cy="497049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6240</xdr:row>
      <xdr:rowOff>47624</xdr:rowOff>
    </xdr:from>
    <xdr:to>
      <xdr:col>6</xdr:col>
      <xdr:colOff>191842</xdr:colOff>
      <xdr:row>6240</xdr:row>
      <xdr:rowOff>48767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76800" y="13155834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6238</xdr:row>
      <xdr:rowOff>68033</xdr:rowOff>
    </xdr:from>
    <xdr:to>
      <xdr:col>6</xdr:col>
      <xdr:colOff>496318</xdr:colOff>
      <xdr:row>6240</xdr:row>
      <xdr:rowOff>184082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5928" y="1315222883"/>
          <a:ext cx="612965" cy="49704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6244</xdr:row>
      <xdr:rowOff>0</xdr:rowOff>
    </xdr:from>
    <xdr:to>
      <xdr:col>7</xdr:col>
      <xdr:colOff>351321</xdr:colOff>
      <xdr:row>6244</xdr:row>
      <xdr:rowOff>2667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25388887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6278</xdr:row>
      <xdr:rowOff>76200</xdr:rowOff>
    </xdr:from>
    <xdr:to>
      <xdr:col>7</xdr:col>
      <xdr:colOff>351321</xdr:colOff>
      <xdr:row>6278</xdr:row>
      <xdr:rowOff>78867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26127075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6196</xdr:row>
      <xdr:rowOff>47624</xdr:rowOff>
    </xdr:from>
    <xdr:to>
      <xdr:col>6</xdr:col>
      <xdr:colOff>1342</xdr:colOff>
      <xdr:row>6196</xdr:row>
      <xdr:rowOff>48767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2392025" y="13155834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6194</xdr:row>
      <xdr:rowOff>68033</xdr:rowOff>
    </xdr:from>
    <xdr:to>
      <xdr:col>6</xdr:col>
      <xdr:colOff>362968</xdr:colOff>
      <xdr:row>6196</xdr:row>
      <xdr:rowOff>184082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2894503" y="1315222883"/>
          <a:ext cx="612965" cy="497049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6339</xdr:row>
      <xdr:rowOff>0</xdr:rowOff>
    </xdr:from>
    <xdr:ext cx="563176" cy="2667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2835878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6372</xdr:row>
      <xdr:rowOff>76200</xdr:rowOff>
    </xdr:from>
    <xdr:ext cx="563176" cy="2667"/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29005530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6378</xdr:row>
      <xdr:rowOff>38100</xdr:rowOff>
    </xdr:from>
    <xdr:ext cx="760791" cy="1143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67275" y="291322125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6378</xdr:row>
      <xdr:rowOff>38100</xdr:rowOff>
    </xdr:from>
    <xdr:ext cx="420237" cy="1143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86325" y="291322125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6378</xdr:row>
      <xdr:rowOff>68033</xdr:rowOff>
    </xdr:from>
    <xdr:to>
      <xdr:col>7</xdr:col>
      <xdr:colOff>1212</xdr:colOff>
      <xdr:row>6380</xdr:row>
      <xdr:rowOff>184083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5647" y="291352058"/>
          <a:ext cx="612965" cy="4970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6385</xdr:row>
      <xdr:rowOff>0</xdr:rowOff>
    </xdr:from>
    <xdr:ext cx="563176" cy="2667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3460825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6418</xdr:row>
      <xdr:rowOff>76200</xdr:rowOff>
    </xdr:from>
    <xdr:ext cx="563176" cy="2667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35314055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6424</xdr:row>
      <xdr:rowOff>38100</xdr:rowOff>
    </xdr:from>
    <xdr:ext cx="760791" cy="1143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67275" y="1354407375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6424</xdr:row>
      <xdr:rowOff>38100</xdr:rowOff>
    </xdr:from>
    <xdr:ext cx="420237" cy="1143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86325" y="1354407375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6424</xdr:row>
      <xdr:rowOff>68033</xdr:rowOff>
    </xdr:from>
    <xdr:to>
      <xdr:col>7</xdr:col>
      <xdr:colOff>1212</xdr:colOff>
      <xdr:row>6426</xdr:row>
      <xdr:rowOff>184083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5647" y="1354437308"/>
          <a:ext cx="612965" cy="4970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6431</xdr:row>
      <xdr:rowOff>0</xdr:rowOff>
    </xdr:from>
    <xdr:ext cx="563176" cy="2667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3460825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6464</xdr:row>
      <xdr:rowOff>76200</xdr:rowOff>
    </xdr:from>
    <xdr:ext cx="563176" cy="2667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35314055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6470</xdr:row>
      <xdr:rowOff>38100</xdr:rowOff>
    </xdr:from>
    <xdr:ext cx="760791" cy="1143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67275" y="1354407375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6470</xdr:row>
      <xdr:rowOff>38100</xdr:rowOff>
    </xdr:from>
    <xdr:ext cx="420237" cy="1143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86325" y="1354407375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6470</xdr:row>
      <xdr:rowOff>68033</xdr:rowOff>
    </xdr:from>
    <xdr:to>
      <xdr:col>7</xdr:col>
      <xdr:colOff>1212</xdr:colOff>
      <xdr:row>6472</xdr:row>
      <xdr:rowOff>184083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5647" y="1354437308"/>
          <a:ext cx="612965" cy="4970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6477</xdr:row>
      <xdr:rowOff>0</xdr:rowOff>
    </xdr:from>
    <xdr:ext cx="563176" cy="2667"/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36534207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6509</xdr:row>
      <xdr:rowOff>76200</xdr:rowOff>
    </xdr:from>
    <xdr:ext cx="563176" cy="2667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37240010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6515</xdr:row>
      <xdr:rowOff>38100</xdr:rowOff>
    </xdr:from>
    <xdr:ext cx="760791" cy="1143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67275" y="1373666925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6515</xdr:row>
      <xdr:rowOff>38100</xdr:rowOff>
    </xdr:from>
    <xdr:ext cx="420237" cy="1143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86325" y="1373666925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6515</xdr:row>
      <xdr:rowOff>68033</xdr:rowOff>
    </xdr:from>
    <xdr:to>
      <xdr:col>7</xdr:col>
      <xdr:colOff>1212</xdr:colOff>
      <xdr:row>6517</xdr:row>
      <xdr:rowOff>184083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5647" y="1373696858"/>
          <a:ext cx="612965" cy="4970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114300</xdr:colOff>
      <xdr:row>6562</xdr:row>
      <xdr:rowOff>47625</xdr:rowOff>
    </xdr:from>
    <xdr:to>
      <xdr:col>6</xdr:col>
      <xdr:colOff>304800</xdr:colOff>
      <xdr:row>6564</xdr:row>
      <xdr:rowOff>180975</xdr:rowOff>
    </xdr:to>
    <xdr:pic>
      <xdr:nvPicPr>
        <xdr:cNvPr id="337" name="Picture 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00625" y="1099165950"/>
          <a:ext cx="666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476040</xdr:colOff>
      <xdr:row>6570</xdr:row>
      <xdr:rowOff>0</xdr:rowOff>
    </xdr:from>
    <xdr:to>
      <xdr:col>7</xdr:col>
      <xdr:colOff>284646</xdr:colOff>
      <xdr:row>6570</xdr:row>
      <xdr:rowOff>2667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071210075"/>
          <a:ext cx="789681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403794</xdr:colOff>
      <xdr:row>6610</xdr:row>
      <xdr:rowOff>49698</xdr:rowOff>
    </xdr:from>
    <xdr:to>
      <xdr:col>7</xdr:col>
      <xdr:colOff>32515</xdr:colOff>
      <xdr:row>6612</xdr:row>
      <xdr:rowOff>173523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90119" y="1403044098"/>
          <a:ext cx="609796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6617</xdr:row>
      <xdr:rowOff>0</xdr:rowOff>
    </xdr:from>
    <xdr:to>
      <xdr:col>7</xdr:col>
      <xdr:colOff>205962</xdr:colOff>
      <xdr:row>6617</xdr:row>
      <xdr:rowOff>2667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4198810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6652</xdr:row>
      <xdr:rowOff>76200</xdr:rowOff>
    </xdr:from>
    <xdr:to>
      <xdr:col>7</xdr:col>
      <xdr:colOff>205962</xdr:colOff>
      <xdr:row>6652</xdr:row>
      <xdr:rowOff>78867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426281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6664</xdr:row>
      <xdr:rowOff>0</xdr:rowOff>
    </xdr:from>
    <xdr:to>
      <xdr:col>7</xdr:col>
      <xdr:colOff>205962</xdr:colOff>
      <xdr:row>6664</xdr:row>
      <xdr:rowOff>2667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04337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6699</xdr:row>
      <xdr:rowOff>76200</xdr:rowOff>
    </xdr:from>
    <xdr:to>
      <xdr:col>7</xdr:col>
      <xdr:colOff>205962</xdr:colOff>
      <xdr:row>6699</xdr:row>
      <xdr:rowOff>78867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11852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6710</xdr:row>
      <xdr:rowOff>0</xdr:rowOff>
    </xdr:from>
    <xdr:to>
      <xdr:col>7</xdr:col>
      <xdr:colOff>205962</xdr:colOff>
      <xdr:row>6710</xdr:row>
      <xdr:rowOff>2667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14243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6745</xdr:row>
      <xdr:rowOff>76200</xdr:rowOff>
    </xdr:from>
    <xdr:to>
      <xdr:col>7</xdr:col>
      <xdr:colOff>205962</xdr:colOff>
      <xdr:row>6745</xdr:row>
      <xdr:rowOff>78867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219872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6757</xdr:row>
      <xdr:rowOff>0</xdr:rowOff>
    </xdr:from>
    <xdr:to>
      <xdr:col>7</xdr:col>
      <xdr:colOff>205962</xdr:colOff>
      <xdr:row>6757</xdr:row>
      <xdr:rowOff>2667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04337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6792</xdr:row>
      <xdr:rowOff>76200</xdr:rowOff>
    </xdr:from>
    <xdr:to>
      <xdr:col>7</xdr:col>
      <xdr:colOff>205962</xdr:colOff>
      <xdr:row>6792</xdr:row>
      <xdr:rowOff>78867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11852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6803</xdr:row>
      <xdr:rowOff>0</xdr:rowOff>
    </xdr:from>
    <xdr:to>
      <xdr:col>7</xdr:col>
      <xdr:colOff>205962</xdr:colOff>
      <xdr:row>6803</xdr:row>
      <xdr:rowOff>2667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343030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6835</xdr:row>
      <xdr:rowOff>76200</xdr:rowOff>
    </xdr:from>
    <xdr:to>
      <xdr:col>7</xdr:col>
      <xdr:colOff>205962</xdr:colOff>
      <xdr:row>6835</xdr:row>
      <xdr:rowOff>78867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417421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6848</xdr:row>
      <xdr:rowOff>0</xdr:rowOff>
    </xdr:from>
    <xdr:to>
      <xdr:col>7</xdr:col>
      <xdr:colOff>205962</xdr:colOff>
      <xdr:row>6848</xdr:row>
      <xdr:rowOff>2667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241875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6881</xdr:row>
      <xdr:rowOff>76200</xdr:rowOff>
    </xdr:from>
    <xdr:to>
      <xdr:col>7</xdr:col>
      <xdr:colOff>205962</xdr:colOff>
      <xdr:row>6881</xdr:row>
      <xdr:rowOff>78867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319123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6892</xdr:row>
      <xdr:rowOff>0</xdr:rowOff>
    </xdr:from>
    <xdr:to>
      <xdr:col>7</xdr:col>
      <xdr:colOff>205962</xdr:colOff>
      <xdr:row>6892</xdr:row>
      <xdr:rowOff>2667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549532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6927</xdr:row>
      <xdr:rowOff>76200</xdr:rowOff>
    </xdr:from>
    <xdr:to>
      <xdr:col>7</xdr:col>
      <xdr:colOff>205962</xdr:colOff>
      <xdr:row>6927</xdr:row>
      <xdr:rowOff>78867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628304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6939</xdr:row>
      <xdr:rowOff>0</xdr:rowOff>
    </xdr:from>
    <xdr:to>
      <xdr:col>7</xdr:col>
      <xdr:colOff>205962</xdr:colOff>
      <xdr:row>6939</xdr:row>
      <xdr:rowOff>2667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540007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6972</xdr:row>
      <xdr:rowOff>76200</xdr:rowOff>
    </xdr:from>
    <xdr:to>
      <xdr:col>7</xdr:col>
      <xdr:colOff>205962</xdr:colOff>
      <xdr:row>6972</xdr:row>
      <xdr:rowOff>78867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614969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6984</xdr:row>
      <xdr:rowOff>0</xdr:rowOff>
    </xdr:from>
    <xdr:to>
      <xdr:col>7</xdr:col>
      <xdr:colOff>205962</xdr:colOff>
      <xdr:row>6984</xdr:row>
      <xdr:rowOff>2667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73679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7017</xdr:row>
      <xdr:rowOff>76200</xdr:rowOff>
    </xdr:from>
    <xdr:to>
      <xdr:col>7</xdr:col>
      <xdr:colOff>205962</xdr:colOff>
      <xdr:row>7017</xdr:row>
      <xdr:rowOff>78867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365" y="14810422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295275</xdr:colOff>
      <xdr:row>7023</xdr:row>
      <xdr:rowOff>57150</xdr:rowOff>
    </xdr:from>
    <xdr:to>
      <xdr:col>6</xdr:col>
      <xdr:colOff>432962</xdr:colOff>
      <xdr:row>7025</xdr:row>
      <xdr:rowOff>180975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81600" y="14919388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7030</xdr:row>
      <xdr:rowOff>0</xdr:rowOff>
    </xdr:from>
    <xdr:to>
      <xdr:col>7</xdr:col>
      <xdr:colOff>205962</xdr:colOff>
      <xdr:row>7030</xdr:row>
      <xdr:rowOff>2667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473679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7062</xdr:row>
      <xdr:rowOff>76200</xdr:rowOff>
    </xdr:from>
    <xdr:to>
      <xdr:col>7</xdr:col>
      <xdr:colOff>205962</xdr:colOff>
      <xdr:row>7062</xdr:row>
      <xdr:rowOff>78867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4810422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7076</xdr:row>
      <xdr:rowOff>0</xdr:rowOff>
    </xdr:from>
    <xdr:to>
      <xdr:col>7</xdr:col>
      <xdr:colOff>205962</xdr:colOff>
      <xdr:row>7076</xdr:row>
      <xdr:rowOff>2667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4928723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7108</xdr:row>
      <xdr:rowOff>76200</xdr:rowOff>
    </xdr:from>
    <xdr:to>
      <xdr:col>7</xdr:col>
      <xdr:colOff>205962</xdr:colOff>
      <xdr:row>7108</xdr:row>
      <xdr:rowOff>78867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499863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7168</xdr:row>
      <xdr:rowOff>0</xdr:rowOff>
    </xdr:from>
    <xdr:to>
      <xdr:col>7</xdr:col>
      <xdr:colOff>205962</xdr:colOff>
      <xdr:row>7168</xdr:row>
      <xdr:rowOff>2667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02635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7200</xdr:row>
      <xdr:rowOff>76200</xdr:rowOff>
    </xdr:from>
    <xdr:to>
      <xdr:col>7</xdr:col>
      <xdr:colOff>205962</xdr:colOff>
      <xdr:row>7200</xdr:row>
      <xdr:rowOff>78867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096172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7215</xdr:row>
      <xdr:rowOff>0</xdr:rowOff>
    </xdr:from>
    <xdr:to>
      <xdr:col>7</xdr:col>
      <xdr:colOff>205962</xdr:colOff>
      <xdr:row>7215</xdr:row>
      <xdr:rowOff>2667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9639776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7215</xdr:row>
      <xdr:rowOff>0</xdr:rowOff>
    </xdr:from>
    <xdr:to>
      <xdr:col>7</xdr:col>
      <xdr:colOff>205962</xdr:colOff>
      <xdr:row>7215</xdr:row>
      <xdr:rowOff>2667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9639776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7253</xdr:row>
      <xdr:rowOff>38100</xdr:rowOff>
    </xdr:from>
    <xdr:to>
      <xdr:col>6</xdr:col>
      <xdr:colOff>424562</xdr:colOff>
      <xdr:row>7253</xdr:row>
      <xdr:rowOff>39243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972054825"/>
          <a:ext cx="919862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7253</xdr:row>
      <xdr:rowOff>38100</xdr:rowOff>
    </xdr:from>
    <xdr:to>
      <xdr:col>6</xdr:col>
      <xdr:colOff>214368</xdr:colOff>
      <xdr:row>7253</xdr:row>
      <xdr:rowOff>39624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972054825"/>
          <a:ext cx="690618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7253</xdr:row>
      <xdr:rowOff>95250</xdr:rowOff>
    </xdr:from>
    <xdr:to>
      <xdr:col>7</xdr:col>
      <xdr:colOff>70989</xdr:colOff>
      <xdr:row>7253</xdr:row>
      <xdr:rowOff>97180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72100" y="972111975"/>
          <a:ext cx="594864" cy="19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333375</xdr:colOff>
      <xdr:row>7253</xdr:row>
      <xdr:rowOff>76200</xdr:rowOff>
    </xdr:from>
    <xdr:to>
      <xdr:col>6</xdr:col>
      <xdr:colOff>471062</xdr:colOff>
      <xdr:row>7256</xdr:row>
      <xdr:rowOff>9525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8275" y="9720929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7261</xdr:row>
      <xdr:rowOff>0</xdr:rowOff>
    </xdr:from>
    <xdr:to>
      <xdr:col>7</xdr:col>
      <xdr:colOff>205962</xdr:colOff>
      <xdr:row>7261</xdr:row>
      <xdr:rowOff>2667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32515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7261</xdr:row>
      <xdr:rowOff>0</xdr:rowOff>
    </xdr:from>
    <xdr:to>
      <xdr:col>7</xdr:col>
      <xdr:colOff>205962</xdr:colOff>
      <xdr:row>7261</xdr:row>
      <xdr:rowOff>2667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32515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7299</xdr:row>
      <xdr:rowOff>38100</xdr:rowOff>
    </xdr:from>
    <xdr:to>
      <xdr:col>6</xdr:col>
      <xdr:colOff>424562</xdr:colOff>
      <xdr:row>7299</xdr:row>
      <xdr:rowOff>39243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1540402050"/>
          <a:ext cx="919862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7299</xdr:row>
      <xdr:rowOff>38100</xdr:rowOff>
    </xdr:from>
    <xdr:to>
      <xdr:col>6</xdr:col>
      <xdr:colOff>214368</xdr:colOff>
      <xdr:row>7299</xdr:row>
      <xdr:rowOff>39624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1540402050"/>
          <a:ext cx="690618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7299</xdr:row>
      <xdr:rowOff>95250</xdr:rowOff>
    </xdr:from>
    <xdr:to>
      <xdr:col>7</xdr:col>
      <xdr:colOff>70989</xdr:colOff>
      <xdr:row>7299</xdr:row>
      <xdr:rowOff>97180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72100" y="1540459200"/>
          <a:ext cx="594864" cy="19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333375</xdr:colOff>
      <xdr:row>7299</xdr:row>
      <xdr:rowOff>76200</xdr:rowOff>
    </xdr:from>
    <xdr:to>
      <xdr:col>6</xdr:col>
      <xdr:colOff>471062</xdr:colOff>
      <xdr:row>7302</xdr:row>
      <xdr:rowOff>9525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8275" y="15404401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7333</xdr:row>
      <xdr:rowOff>76200</xdr:rowOff>
    </xdr:from>
    <xdr:to>
      <xdr:col>7</xdr:col>
      <xdr:colOff>139287</xdr:colOff>
      <xdr:row>7333</xdr:row>
      <xdr:rowOff>78867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867128600"/>
          <a:ext cx="796722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209550</xdr:colOff>
      <xdr:row>7343</xdr:row>
      <xdr:rowOff>57150</xdr:rowOff>
    </xdr:from>
    <xdr:to>
      <xdr:col>6</xdr:col>
      <xdr:colOff>347237</xdr:colOff>
      <xdr:row>7345</xdr:row>
      <xdr:rowOff>180975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24450" y="15593187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7391</xdr:row>
      <xdr:rowOff>66675</xdr:rowOff>
    </xdr:from>
    <xdr:to>
      <xdr:col>6</xdr:col>
      <xdr:colOff>490112</xdr:colOff>
      <xdr:row>7394</xdr:row>
      <xdr:rowOff>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67325" y="9618726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7439</xdr:row>
      <xdr:rowOff>38100</xdr:rowOff>
    </xdr:from>
    <xdr:to>
      <xdr:col>6</xdr:col>
      <xdr:colOff>312598</xdr:colOff>
      <xdr:row>7439</xdr:row>
      <xdr:rowOff>39243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684599850"/>
          <a:ext cx="807898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7439</xdr:row>
      <xdr:rowOff>47625</xdr:rowOff>
    </xdr:from>
    <xdr:to>
      <xdr:col>6</xdr:col>
      <xdr:colOff>413602</xdr:colOff>
      <xdr:row>7439</xdr:row>
      <xdr:rowOff>48006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86350" y="684609375"/>
          <a:ext cx="718402" cy="38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276225</xdr:colOff>
      <xdr:row>7439</xdr:row>
      <xdr:rowOff>57150</xdr:rowOff>
    </xdr:from>
    <xdr:to>
      <xdr:col>6</xdr:col>
      <xdr:colOff>413912</xdr:colOff>
      <xdr:row>7441</xdr:row>
      <xdr:rowOff>180975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91125" y="15795212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323850</xdr:colOff>
      <xdr:row>7486</xdr:row>
      <xdr:rowOff>66675</xdr:rowOff>
    </xdr:from>
    <xdr:to>
      <xdr:col>6</xdr:col>
      <xdr:colOff>461537</xdr:colOff>
      <xdr:row>7489</xdr:row>
      <xdr:rowOff>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1589360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323850</xdr:colOff>
      <xdr:row>7533</xdr:row>
      <xdr:rowOff>66675</xdr:rowOff>
    </xdr:from>
    <xdr:to>
      <xdr:col>6</xdr:col>
      <xdr:colOff>461537</xdr:colOff>
      <xdr:row>7536</xdr:row>
      <xdr:rowOff>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1589360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7538</xdr:row>
      <xdr:rowOff>0</xdr:rowOff>
    </xdr:from>
    <xdr:to>
      <xdr:col>7</xdr:col>
      <xdr:colOff>351321</xdr:colOff>
      <xdr:row>7538</xdr:row>
      <xdr:rowOff>2667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1293697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7571</xdr:row>
      <xdr:rowOff>76200</xdr:rowOff>
    </xdr:from>
    <xdr:to>
      <xdr:col>7</xdr:col>
      <xdr:colOff>351321</xdr:colOff>
      <xdr:row>7571</xdr:row>
      <xdr:rowOff>78867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13673255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7628</xdr:row>
      <xdr:rowOff>0</xdr:rowOff>
    </xdr:from>
    <xdr:to>
      <xdr:col>7</xdr:col>
      <xdr:colOff>351321</xdr:colOff>
      <xdr:row>7628</xdr:row>
      <xdr:rowOff>2667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0008570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7661</xdr:row>
      <xdr:rowOff>76200</xdr:rowOff>
    </xdr:from>
    <xdr:to>
      <xdr:col>7</xdr:col>
      <xdr:colOff>351321</xdr:colOff>
      <xdr:row>7661</xdr:row>
      <xdr:rowOff>78867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078295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323850</xdr:colOff>
      <xdr:row>7667</xdr:row>
      <xdr:rowOff>76200</xdr:rowOff>
    </xdr:from>
    <xdr:to>
      <xdr:col>6</xdr:col>
      <xdr:colOff>461537</xdr:colOff>
      <xdr:row>7670</xdr:row>
      <xdr:rowOff>9525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1627460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7718</xdr:row>
      <xdr:rowOff>47624</xdr:rowOff>
    </xdr:from>
    <xdr:to>
      <xdr:col>6</xdr:col>
      <xdr:colOff>191842</xdr:colOff>
      <xdr:row>7718</xdr:row>
      <xdr:rowOff>48767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05375" y="134497762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7716</xdr:row>
      <xdr:rowOff>68033</xdr:rowOff>
    </xdr:from>
    <xdr:to>
      <xdr:col>6</xdr:col>
      <xdr:colOff>496318</xdr:colOff>
      <xdr:row>7718</xdr:row>
      <xdr:rowOff>184082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74503" y="1344617033"/>
          <a:ext cx="612965" cy="49704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7722</xdr:row>
      <xdr:rowOff>0</xdr:rowOff>
    </xdr:from>
    <xdr:to>
      <xdr:col>7</xdr:col>
      <xdr:colOff>205962</xdr:colOff>
      <xdr:row>7722</xdr:row>
      <xdr:rowOff>2667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4791075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7756</xdr:row>
      <xdr:rowOff>76200</xdr:rowOff>
    </xdr:from>
    <xdr:to>
      <xdr:col>7</xdr:col>
      <xdr:colOff>205962</xdr:colOff>
      <xdr:row>7756</xdr:row>
      <xdr:rowOff>78867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4866798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7770</xdr:row>
      <xdr:rowOff>0</xdr:rowOff>
    </xdr:from>
    <xdr:to>
      <xdr:col>7</xdr:col>
      <xdr:colOff>580967</xdr:colOff>
      <xdr:row>7770</xdr:row>
      <xdr:rowOff>2463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6809" y="914752425"/>
          <a:ext cx="1090133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7808</xdr:row>
      <xdr:rowOff>85725</xdr:rowOff>
    </xdr:from>
    <xdr:to>
      <xdr:col>7</xdr:col>
      <xdr:colOff>53082</xdr:colOff>
      <xdr:row>7808</xdr:row>
      <xdr:rowOff>88367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14950" y="922572450"/>
          <a:ext cx="634107" cy="26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301289</xdr:colOff>
      <xdr:row>7808</xdr:row>
      <xdr:rowOff>97190</xdr:rowOff>
    </xdr:from>
    <xdr:to>
      <xdr:col>6</xdr:col>
      <xdr:colOff>438004</xdr:colOff>
      <xdr:row>7811</xdr:row>
      <xdr:rowOff>47426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6189" y="922583915"/>
          <a:ext cx="612965" cy="521736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7814</xdr:row>
      <xdr:rowOff>0</xdr:rowOff>
    </xdr:from>
    <xdr:ext cx="563176" cy="2667"/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35571230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7847</xdr:row>
      <xdr:rowOff>76200</xdr:rowOff>
    </xdr:from>
    <xdr:ext cx="563176" cy="2667"/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3627703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7853</xdr:row>
      <xdr:rowOff>38100</xdr:rowOff>
    </xdr:from>
    <xdr:ext cx="760791" cy="1143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1364037150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7853</xdr:row>
      <xdr:rowOff>38100</xdr:rowOff>
    </xdr:from>
    <xdr:ext cx="420237" cy="1143"/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1364037150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7853</xdr:row>
      <xdr:rowOff>68033</xdr:rowOff>
    </xdr:from>
    <xdr:to>
      <xdr:col>7</xdr:col>
      <xdr:colOff>1212</xdr:colOff>
      <xdr:row>7855</xdr:row>
      <xdr:rowOff>184083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84222" y="1364067083"/>
          <a:ext cx="612965" cy="4970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7860</xdr:row>
      <xdr:rowOff>0</xdr:rowOff>
    </xdr:from>
    <xdr:ext cx="563176" cy="2667"/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5893115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7893</xdr:row>
      <xdr:rowOff>76200</xdr:rowOff>
    </xdr:from>
    <xdr:ext cx="563176" cy="2667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6598917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7899</xdr:row>
      <xdr:rowOff>38100</xdr:rowOff>
    </xdr:from>
    <xdr:ext cx="760791" cy="1143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1667256000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7899</xdr:row>
      <xdr:rowOff>38100</xdr:rowOff>
    </xdr:from>
    <xdr:ext cx="420237" cy="1143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1667256000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7899</xdr:row>
      <xdr:rowOff>68033</xdr:rowOff>
    </xdr:from>
    <xdr:to>
      <xdr:col>7</xdr:col>
      <xdr:colOff>1212</xdr:colOff>
      <xdr:row>7901</xdr:row>
      <xdr:rowOff>184083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84222" y="1667285933"/>
          <a:ext cx="612965" cy="4970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7907</xdr:row>
      <xdr:rowOff>0</xdr:rowOff>
    </xdr:from>
    <xdr:ext cx="563176" cy="2667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685609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7940</xdr:row>
      <xdr:rowOff>76200</xdr:rowOff>
    </xdr:from>
    <xdr:ext cx="563176" cy="2667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7561895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7946</xdr:row>
      <xdr:rowOff>38100</xdr:rowOff>
    </xdr:from>
    <xdr:ext cx="760791" cy="1143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1676885775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7946</xdr:row>
      <xdr:rowOff>38100</xdr:rowOff>
    </xdr:from>
    <xdr:ext cx="420237" cy="1143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1676885775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7946</xdr:row>
      <xdr:rowOff>68033</xdr:rowOff>
    </xdr:from>
    <xdr:to>
      <xdr:col>7</xdr:col>
      <xdr:colOff>1212</xdr:colOff>
      <xdr:row>7948</xdr:row>
      <xdr:rowOff>184083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84222" y="1676915708"/>
          <a:ext cx="612965" cy="4970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7955</xdr:row>
      <xdr:rowOff>0</xdr:rowOff>
    </xdr:from>
    <xdr:to>
      <xdr:col>7</xdr:col>
      <xdr:colOff>205962</xdr:colOff>
      <xdr:row>7955</xdr:row>
      <xdr:rowOff>2667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32515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7955</xdr:row>
      <xdr:rowOff>0</xdr:rowOff>
    </xdr:from>
    <xdr:to>
      <xdr:col>7</xdr:col>
      <xdr:colOff>205962</xdr:colOff>
      <xdr:row>7955</xdr:row>
      <xdr:rowOff>2667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32515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7993</xdr:row>
      <xdr:rowOff>38100</xdr:rowOff>
    </xdr:from>
    <xdr:to>
      <xdr:col>6</xdr:col>
      <xdr:colOff>424562</xdr:colOff>
      <xdr:row>7993</xdr:row>
      <xdr:rowOff>39243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1540402050"/>
          <a:ext cx="919862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7993</xdr:row>
      <xdr:rowOff>38100</xdr:rowOff>
    </xdr:from>
    <xdr:to>
      <xdr:col>6</xdr:col>
      <xdr:colOff>214368</xdr:colOff>
      <xdr:row>7993</xdr:row>
      <xdr:rowOff>39624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1540402050"/>
          <a:ext cx="690618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7993</xdr:row>
      <xdr:rowOff>95250</xdr:rowOff>
    </xdr:from>
    <xdr:to>
      <xdr:col>7</xdr:col>
      <xdr:colOff>70989</xdr:colOff>
      <xdr:row>7993</xdr:row>
      <xdr:rowOff>97180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72100" y="1540459200"/>
          <a:ext cx="594864" cy="19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333375</xdr:colOff>
      <xdr:row>7993</xdr:row>
      <xdr:rowOff>76200</xdr:rowOff>
    </xdr:from>
    <xdr:to>
      <xdr:col>6</xdr:col>
      <xdr:colOff>471062</xdr:colOff>
      <xdr:row>7996</xdr:row>
      <xdr:rowOff>9525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8275" y="15404401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8000</xdr:row>
      <xdr:rowOff>0</xdr:rowOff>
    </xdr:from>
    <xdr:to>
      <xdr:col>7</xdr:col>
      <xdr:colOff>522771</xdr:colOff>
      <xdr:row>8000</xdr:row>
      <xdr:rowOff>2667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390839325"/>
          <a:ext cx="102780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8050</xdr:row>
      <xdr:rowOff>0</xdr:rowOff>
    </xdr:from>
    <xdr:to>
      <xdr:col>7</xdr:col>
      <xdr:colOff>205962</xdr:colOff>
      <xdr:row>8050</xdr:row>
      <xdr:rowOff>2667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32515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8050</xdr:row>
      <xdr:rowOff>0</xdr:rowOff>
    </xdr:from>
    <xdr:to>
      <xdr:col>7</xdr:col>
      <xdr:colOff>205962</xdr:colOff>
      <xdr:row>8050</xdr:row>
      <xdr:rowOff>2667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532515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8088</xdr:row>
      <xdr:rowOff>38100</xdr:rowOff>
    </xdr:from>
    <xdr:to>
      <xdr:col>6</xdr:col>
      <xdr:colOff>424562</xdr:colOff>
      <xdr:row>8088</xdr:row>
      <xdr:rowOff>39243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1540402050"/>
          <a:ext cx="919862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8088</xdr:row>
      <xdr:rowOff>38100</xdr:rowOff>
    </xdr:from>
    <xdr:to>
      <xdr:col>6</xdr:col>
      <xdr:colOff>214368</xdr:colOff>
      <xdr:row>8088</xdr:row>
      <xdr:rowOff>39624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1540402050"/>
          <a:ext cx="690618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8088</xdr:row>
      <xdr:rowOff>95250</xdr:rowOff>
    </xdr:from>
    <xdr:to>
      <xdr:col>7</xdr:col>
      <xdr:colOff>70989</xdr:colOff>
      <xdr:row>8088</xdr:row>
      <xdr:rowOff>97180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72100" y="1540459200"/>
          <a:ext cx="594864" cy="19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333375</xdr:colOff>
      <xdr:row>8088</xdr:row>
      <xdr:rowOff>76200</xdr:rowOff>
    </xdr:from>
    <xdr:to>
      <xdr:col>6</xdr:col>
      <xdr:colOff>471062</xdr:colOff>
      <xdr:row>8091</xdr:row>
      <xdr:rowOff>9525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8275" y="15404401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8134</xdr:row>
      <xdr:rowOff>47624</xdr:rowOff>
    </xdr:from>
    <xdr:to>
      <xdr:col>6</xdr:col>
      <xdr:colOff>191842</xdr:colOff>
      <xdr:row>8134</xdr:row>
      <xdr:rowOff>48767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05375" y="7927371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8181</xdr:row>
      <xdr:rowOff>47624</xdr:rowOff>
    </xdr:from>
    <xdr:to>
      <xdr:col>6</xdr:col>
      <xdr:colOff>191842</xdr:colOff>
      <xdr:row>8181</xdr:row>
      <xdr:rowOff>48767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05375" y="17264157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8228</xdr:row>
      <xdr:rowOff>38100</xdr:rowOff>
    </xdr:from>
    <xdr:to>
      <xdr:col>6</xdr:col>
      <xdr:colOff>366916</xdr:colOff>
      <xdr:row>8228</xdr:row>
      <xdr:rowOff>39243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81525" y="1626022275"/>
          <a:ext cx="96699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8228</xdr:row>
      <xdr:rowOff>38100</xdr:rowOff>
    </xdr:from>
    <xdr:to>
      <xdr:col>6</xdr:col>
      <xdr:colOff>158461</xdr:colOff>
      <xdr:row>8228</xdr:row>
      <xdr:rowOff>39624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00575" y="1626022275"/>
          <a:ext cx="739486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8228</xdr:row>
      <xdr:rowOff>47625</xdr:rowOff>
    </xdr:from>
    <xdr:to>
      <xdr:col>6</xdr:col>
      <xdr:colOff>399159</xdr:colOff>
      <xdr:row>8230</xdr:row>
      <xdr:rowOff>173248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067300" y="1626031800"/>
          <a:ext cx="513459" cy="5066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8317</xdr:row>
      <xdr:rowOff>47624</xdr:rowOff>
    </xdr:from>
    <xdr:to>
      <xdr:col>6</xdr:col>
      <xdr:colOff>191842</xdr:colOff>
      <xdr:row>8317</xdr:row>
      <xdr:rowOff>48767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05375" y="17362455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295275</xdr:colOff>
      <xdr:row>8366</xdr:row>
      <xdr:rowOff>76200</xdr:rowOff>
    </xdr:from>
    <xdr:to>
      <xdr:col>6</xdr:col>
      <xdr:colOff>432962</xdr:colOff>
      <xdr:row>8369</xdr:row>
      <xdr:rowOff>9525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0175" y="17755266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8317</xdr:row>
      <xdr:rowOff>57150</xdr:rowOff>
    </xdr:from>
    <xdr:to>
      <xdr:col>6</xdr:col>
      <xdr:colOff>499637</xdr:colOff>
      <xdr:row>8319</xdr:row>
      <xdr:rowOff>180975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76850" y="17652873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8412</xdr:row>
      <xdr:rowOff>76200</xdr:rowOff>
    </xdr:from>
    <xdr:to>
      <xdr:col>7</xdr:col>
      <xdr:colOff>1778</xdr:colOff>
      <xdr:row>8412</xdr:row>
      <xdr:rowOff>78867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05927525"/>
          <a:ext cx="506813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304800</xdr:colOff>
      <xdr:row>8412</xdr:row>
      <xdr:rowOff>57150</xdr:rowOff>
    </xdr:from>
    <xdr:to>
      <xdr:col>6</xdr:col>
      <xdr:colOff>442487</xdr:colOff>
      <xdr:row>8414</xdr:row>
      <xdr:rowOff>180976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9700" y="105908475"/>
          <a:ext cx="613937" cy="504826"/>
        </a:xfrm>
        <a:prstGeom prst="rect">
          <a:avLst/>
        </a:prstGeom>
        <a:noFill/>
      </xdr:spPr>
    </xdr:pic>
    <xdr:clientData/>
  </xdr:twoCellAnchor>
  <xdr:oneCellAnchor>
    <xdr:from>
      <xdr:col>5</xdr:col>
      <xdr:colOff>476040</xdr:colOff>
      <xdr:row>8418</xdr:row>
      <xdr:rowOff>0</xdr:rowOff>
    </xdr:from>
    <xdr:ext cx="563176" cy="2667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68560925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5</xdr:col>
      <xdr:colOff>476040</xdr:colOff>
      <xdr:row>8451</xdr:row>
      <xdr:rowOff>76200</xdr:rowOff>
    </xdr:from>
    <xdr:ext cx="563176" cy="2667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675618950"/>
          <a:ext cx="563176" cy="266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457200</xdr:colOff>
      <xdr:row>8457</xdr:row>
      <xdr:rowOff>38100</xdr:rowOff>
    </xdr:from>
    <xdr:ext cx="760791" cy="1143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95850" y="1676885775"/>
          <a:ext cx="760791" cy="1143"/>
        </a:xfrm>
        <a:prstGeom prst="rect">
          <a:avLst/>
        </a:prstGeom>
        <a:noFill/>
      </xdr:spPr>
    </xdr:pic>
    <xdr:clientData/>
  </xdr:oneCellAnchor>
  <xdr:oneCellAnchor>
    <xdr:from>
      <xdr:col>4</xdr:col>
      <xdr:colOff>485775</xdr:colOff>
      <xdr:row>8457</xdr:row>
      <xdr:rowOff>38100</xdr:rowOff>
    </xdr:from>
    <xdr:ext cx="420237" cy="1143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14900" y="1676885775"/>
          <a:ext cx="420237" cy="114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369322</xdr:colOff>
      <xdr:row>8457</xdr:row>
      <xdr:rowOff>68033</xdr:rowOff>
    </xdr:from>
    <xdr:to>
      <xdr:col>7</xdr:col>
      <xdr:colOff>1212</xdr:colOff>
      <xdr:row>8459</xdr:row>
      <xdr:rowOff>184083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84222" y="1676915708"/>
          <a:ext cx="612965" cy="4970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8504</xdr:row>
      <xdr:rowOff>76200</xdr:rowOff>
    </xdr:from>
    <xdr:to>
      <xdr:col>7</xdr:col>
      <xdr:colOff>1778</xdr:colOff>
      <xdr:row>8504</xdr:row>
      <xdr:rowOff>78867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785175500"/>
          <a:ext cx="506813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304800</xdr:colOff>
      <xdr:row>8504</xdr:row>
      <xdr:rowOff>57150</xdr:rowOff>
    </xdr:from>
    <xdr:to>
      <xdr:col>6</xdr:col>
      <xdr:colOff>442487</xdr:colOff>
      <xdr:row>8506</xdr:row>
      <xdr:rowOff>180976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9700" y="1785156450"/>
          <a:ext cx="613937" cy="50482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8511</xdr:row>
      <xdr:rowOff>0</xdr:rowOff>
    </xdr:from>
    <xdr:to>
      <xdr:col>7</xdr:col>
      <xdr:colOff>20414</xdr:colOff>
      <xdr:row>8511</xdr:row>
      <xdr:rowOff>2667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3290" y="974550375"/>
          <a:ext cx="56354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8542</xdr:row>
      <xdr:rowOff>76200</xdr:rowOff>
    </xdr:from>
    <xdr:to>
      <xdr:col>7</xdr:col>
      <xdr:colOff>20414</xdr:colOff>
      <xdr:row>8542</xdr:row>
      <xdr:rowOff>78867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3290" y="981227400"/>
          <a:ext cx="56354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333375</xdr:colOff>
      <xdr:row>8834</xdr:row>
      <xdr:rowOff>38100</xdr:rowOff>
    </xdr:from>
    <xdr:to>
      <xdr:col>6</xdr:col>
      <xdr:colOff>471062</xdr:colOff>
      <xdr:row>8836</xdr:row>
      <xdr:rowOff>161925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48275" y="18735770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8882</xdr:row>
      <xdr:rowOff>47624</xdr:rowOff>
    </xdr:from>
    <xdr:to>
      <xdr:col>6</xdr:col>
      <xdr:colOff>191842</xdr:colOff>
      <xdr:row>8882</xdr:row>
      <xdr:rowOff>48767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05375" y="176527777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8882</xdr:row>
      <xdr:rowOff>57150</xdr:rowOff>
    </xdr:from>
    <xdr:to>
      <xdr:col>6</xdr:col>
      <xdr:colOff>499637</xdr:colOff>
      <xdr:row>8884</xdr:row>
      <xdr:rowOff>180975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76850" y="17652873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8930</xdr:row>
      <xdr:rowOff>47624</xdr:rowOff>
    </xdr:from>
    <xdr:to>
      <xdr:col>6</xdr:col>
      <xdr:colOff>191842</xdr:colOff>
      <xdr:row>8930</xdr:row>
      <xdr:rowOff>48767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05375" y="1883606849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8930</xdr:row>
      <xdr:rowOff>57150</xdr:rowOff>
    </xdr:from>
    <xdr:to>
      <xdr:col>6</xdr:col>
      <xdr:colOff>499637</xdr:colOff>
      <xdr:row>8932</xdr:row>
      <xdr:rowOff>180975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76850" y="18836163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8935</xdr:row>
      <xdr:rowOff>0</xdr:rowOff>
    </xdr:from>
    <xdr:to>
      <xdr:col>6</xdr:col>
      <xdr:colOff>468503</xdr:colOff>
      <xdr:row>8935</xdr:row>
      <xdr:rowOff>2667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917801600"/>
          <a:ext cx="554438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8968</xdr:row>
      <xdr:rowOff>76200</xdr:rowOff>
    </xdr:from>
    <xdr:to>
      <xdr:col>6</xdr:col>
      <xdr:colOff>468503</xdr:colOff>
      <xdr:row>8968</xdr:row>
      <xdr:rowOff>78867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924288125"/>
          <a:ext cx="554438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8974</xdr:row>
      <xdr:rowOff>38100</xdr:rowOff>
    </xdr:from>
    <xdr:to>
      <xdr:col>6</xdr:col>
      <xdr:colOff>139394</xdr:colOff>
      <xdr:row>8974</xdr:row>
      <xdr:rowOff>39243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1925554950"/>
          <a:ext cx="853769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8974</xdr:row>
      <xdr:rowOff>38100</xdr:rowOff>
    </xdr:from>
    <xdr:to>
      <xdr:col>5</xdr:col>
      <xdr:colOff>398128</xdr:colOff>
      <xdr:row>8974</xdr:row>
      <xdr:rowOff>39243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52950" y="1925554950"/>
          <a:ext cx="521953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266700</xdr:colOff>
      <xdr:row>8974</xdr:row>
      <xdr:rowOff>38100</xdr:rowOff>
    </xdr:from>
    <xdr:to>
      <xdr:col>6</xdr:col>
      <xdr:colOff>404387</xdr:colOff>
      <xdr:row>8976</xdr:row>
      <xdr:rowOff>161925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81600" y="19028664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8980</xdr:row>
      <xdr:rowOff>0</xdr:rowOff>
    </xdr:from>
    <xdr:to>
      <xdr:col>7</xdr:col>
      <xdr:colOff>205962</xdr:colOff>
      <xdr:row>8980</xdr:row>
      <xdr:rowOff>2667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4198810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9012</xdr:row>
      <xdr:rowOff>76200</xdr:rowOff>
    </xdr:from>
    <xdr:to>
      <xdr:col>7</xdr:col>
      <xdr:colOff>205962</xdr:colOff>
      <xdr:row>9012</xdr:row>
      <xdr:rowOff>78867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426281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9024</xdr:row>
      <xdr:rowOff>0</xdr:rowOff>
    </xdr:from>
    <xdr:to>
      <xdr:col>7</xdr:col>
      <xdr:colOff>205962</xdr:colOff>
      <xdr:row>9024</xdr:row>
      <xdr:rowOff>2667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039998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9056</xdr:row>
      <xdr:rowOff>76200</xdr:rowOff>
    </xdr:from>
    <xdr:to>
      <xdr:col>7</xdr:col>
      <xdr:colOff>205962</xdr:colOff>
      <xdr:row>9056</xdr:row>
      <xdr:rowOff>78867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111245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9109</xdr:row>
      <xdr:rowOff>38100</xdr:rowOff>
    </xdr:from>
    <xdr:to>
      <xdr:col>6</xdr:col>
      <xdr:colOff>366287</xdr:colOff>
      <xdr:row>9111</xdr:row>
      <xdr:rowOff>161925</xdr:rowOff>
    </xdr:to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43500" y="10106691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9155</xdr:row>
      <xdr:rowOff>38100</xdr:rowOff>
    </xdr:from>
    <xdr:to>
      <xdr:col>6</xdr:col>
      <xdr:colOff>366287</xdr:colOff>
      <xdr:row>9157</xdr:row>
      <xdr:rowOff>161925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43500" y="19316795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9163</xdr:row>
      <xdr:rowOff>0</xdr:rowOff>
    </xdr:from>
    <xdr:to>
      <xdr:col>7</xdr:col>
      <xdr:colOff>205962</xdr:colOff>
      <xdr:row>9163</xdr:row>
      <xdr:rowOff>2667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13515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9197</xdr:row>
      <xdr:rowOff>76200</xdr:rowOff>
    </xdr:from>
    <xdr:to>
      <xdr:col>7</xdr:col>
      <xdr:colOff>205962</xdr:colOff>
      <xdr:row>9197</xdr:row>
      <xdr:rowOff>78867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203828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9244</xdr:row>
      <xdr:rowOff>0</xdr:rowOff>
    </xdr:from>
    <xdr:to>
      <xdr:col>7</xdr:col>
      <xdr:colOff>205962</xdr:colOff>
      <xdr:row>9244</xdr:row>
      <xdr:rowOff>2667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430047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9261</xdr:row>
      <xdr:rowOff>0</xdr:rowOff>
    </xdr:from>
    <xdr:to>
      <xdr:col>7</xdr:col>
      <xdr:colOff>205962</xdr:colOff>
      <xdr:row>9261</xdr:row>
      <xdr:rowOff>2667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502532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9263</xdr:row>
      <xdr:rowOff>0</xdr:rowOff>
    </xdr:from>
    <xdr:to>
      <xdr:col>7</xdr:col>
      <xdr:colOff>205962</xdr:colOff>
      <xdr:row>9263</xdr:row>
      <xdr:rowOff>2667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52834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9299</xdr:row>
      <xdr:rowOff>76200</xdr:rowOff>
    </xdr:from>
    <xdr:to>
      <xdr:col>7</xdr:col>
      <xdr:colOff>205962</xdr:colOff>
      <xdr:row>9299</xdr:row>
      <xdr:rowOff>78867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602735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9311</xdr:row>
      <xdr:rowOff>0</xdr:rowOff>
    </xdr:from>
    <xdr:to>
      <xdr:col>7</xdr:col>
      <xdr:colOff>205962</xdr:colOff>
      <xdr:row>9311</xdr:row>
      <xdr:rowOff>2667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626643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9347</xdr:row>
      <xdr:rowOff>76200</xdr:rowOff>
    </xdr:from>
    <xdr:to>
      <xdr:col>7</xdr:col>
      <xdr:colOff>205962</xdr:colOff>
      <xdr:row>9347</xdr:row>
      <xdr:rowOff>78867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702938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9359</xdr:row>
      <xdr:rowOff>0</xdr:rowOff>
    </xdr:from>
    <xdr:to>
      <xdr:col>7</xdr:col>
      <xdr:colOff>205962</xdr:colOff>
      <xdr:row>9359</xdr:row>
      <xdr:rowOff>2667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72684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9395</xdr:row>
      <xdr:rowOff>76200</xdr:rowOff>
    </xdr:from>
    <xdr:to>
      <xdr:col>7</xdr:col>
      <xdr:colOff>205962</xdr:colOff>
      <xdr:row>9395</xdr:row>
      <xdr:rowOff>78867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80314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9407</xdr:row>
      <xdr:rowOff>0</xdr:rowOff>
    </xdr:from>
    <xdr:to>
      <xdr:col>7</xdr:col>
      <xdr:colOff>205962</xdr:colOff>
      <xdr:row>9407</xdr:row>
      <xdr:rowOff>2667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827049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9443</xdr:row>
      <xdr:rowOff>76200</xdr:rowOff>
    </xdr:from>
    <xdr:to>
      <xdr:col>7</xdr:col>
      <xdr:colOff>205962</xdr:colOff>
      <xdr:row>9443</xdr:row>
      <xdr:rowOff>78867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903344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9455</xdr:row>
      <xdr:rowOff>0</xdr:rowOff>
    </xdr:from>
    <xdr:to>
      <xdr:col>7</xdr:col>
      <xdr:colOff>205962</xdr:colOff>
      <xdr:row>9455</xdr:row>
      <xdr:rowOff>2667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927252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9491</xdr:row>
      <xdr:rowOff>76200</xdr:rowOff>
    </xdr:from>
    <xdr:to>
      <xdr:col>7</xdr:col>
      <xdr:colOff>205962</xdr:colOff>
      <xdr:row>9491</xdr:row>
      <xdr:rowOff>78867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20003547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9503</xdr:row>
      <xdr:rowOff>0</xdr:rowOff>
    </xdr:from>
    <xdr:to>
      <xdr:col>7</xdr:col>
      <xdr:colOff>205962</xdr:colOff>
      <xdr:row>9503</xdr:row>
      <xdr:rowOff>2667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430047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9537</xdr:row>
      <xdr:rowOff>76200</xdr:rowOff>
    </xdr:from>
    <xdr:to>
      <xdr:col>7</xdr:col>
      <xdr:colOff>205962</xdr:colOff>
      <xdr:row>9537</xdr:row>
      <xdr:rowOff>78867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502532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476040</xdr:colOff>
      <xdr:row>9549</xdr:row>
      <xdr:rowOff>0</xdr:rowOff>
    </xdr:from>
    <xdr:to>
      <xdr:col>15</xdr:col>
      <xdr:colOff>577437</xdr:colOff>
      <xdr:row>9549</xdr:row>
      <xdr:rowOff>2667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2002745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476040</xdr:colOff>
      <xdr:row>9585</xdr:row>
      <xdr:rowOff>76200</xdr:rowOff>
    </xdr:from>
    <xdr:to>
      <xdr:col>15</xdr:col>
      <xdr:colOff>577437</xdr:colOff>
      <xdr:row>9585</xdr:row>
      <xdr:rowOff>78867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20103750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219075</xdr:colOff>
      <xdr:row>9203</xdr:row>
      <xdr:rowOff>38100</xdr:rowOff>
    </xdr:from>
    <xdr:to>
      <xdr:col>6</xdr:col>
      <xdr:colOff>356762</xdr:colOff>
      <xdr:row>9205</xdr:row>
      <xdr:rowOff>161925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33975" y="19515296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180975</xdr:colOff>
      <xdr:row>9353</xdr:row>
      <xdr:rowOff>19050</xdr:rowOff>
    </xdr:from>
    <xdr:to>
      <xdr:col>6</xdr:col>
      <xdr:colOff>318662</xdr:colOff>
      <xdr:row>9355</xdr:row>
      <xdr:rowOff>142875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19815714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9401</xdr:row>
      <xdr:rowOff>19050</xdr:rowOff>
    </xdr:from>
    <xdr:to>
      <xdr:col>6</xdr:col>
      <xdr:colOff>309137</xdr:colOff>
      <xdr:row>9403</xdr:row>
      <xdr:rowOff>142875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86350" y="19915917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219075</xdr:colOff>
      <xdr:row>9449</xdr:row>
      <xdr:rowOff>28575</xdr:rowOff>
    </xdr:from>
    <xdr:to>
      <xdr:col>6</xdr:col>
      <xdr:colOff>356762</xdr:colOff>
      <xdr:row>9451</xdr:row>
      <xdr:rowOff>152400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33975" y="20016216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209550</xdr:colOff>
      <xdr:row>9497</xdr:row>
      <xdr:rowOff>9525</xdr:rowOff>
    </xdr:from>
    <xdr:to>
      <xdr:col>6</xdr:col>
      <xdr:colOff>347237</xdr:colOff>
      <xdr:row>9499</xdr:row>
      <xdr:rowOff>133350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24450" y="20116228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9543</xdr:row>
      <xdr:rowOff>19050</xdr:rowOff>
    </xdr:from>
    <xdr:to>
      <xdr:col>6</xdr:col>
      <xdr:colOff>328187</xdr:colOff>
      <xdr:row>9545</xdr:row>
      <xdr:rowOff>142875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05400" y="20212716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161925</xdr:colOff>
      <xdr:row>9591</xdr:row>
      <xdr:rowOff>9525</xdr:rowOff>
    </xdr:from>
    <xdr:to>
      <xdr:col>15</xdr:col>
      <xdr:colOff>166262</xdr:colOff>
      <xdr:row>9593</xdr:row>
      <xdr:rowOff>133350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76825" y="20312824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247650</xdr:colOff>
      <xdr:row>9641</xdr:row>
      <xdr:rowOff>190500</xdr:rowOff>
    </xdr:from>
    <xdr:to>
      <xdr:col>15</xdr:col>
      <xdr:colOff>251987</xdr:colOff>
      <xdr:row>9644</xdr:row>
      <xdr:rowOff>114300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62550" y="20414742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9584</xdr:row>
      <xdr:rowOff>38100</xdr:rowOff>
    </xdr:from>
    <xdr:to>
      <xdr:col>1</xdr:col>
      <xdr:colOff>358469</xdr:colOff>
      <xdr:row>9584</xdr:row>
      <xdr:rowOff>39243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24375" y="919743525"/>
          <a:ext cx="939494" cy="114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9584</xdr:row>
      <xdr:rowOff>38100</xdr:rowOff>
    </xdr:from>
    <xdr:to>
      <xdr:col>1</xdr:col>
      <xdr:colOff>130964</xdr:colOff>
      <xdr:row>9584</xdr:row>
      <xdr:rowOff>39624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43425" y="919743525"/>
          <a:ext cx="711989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9549</xdr:row>
      <xdr:rowOff>0</xdr:rowOff>
    </xdr:from>
    <xdr:to>
      <xdr:col>7</xdr:col>
      <xdr:colOff>205962</xdr:colOff>
      <xdr:row>9549</xdr:row>
      <xdr:rowOff>2667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72684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9585</xdr:row>
      <xdr:rowOff>76200</xdr:rowOff>
    </xdr:from>
    <xdr:to>
      <xdr:col>7</xdr:col>
      <xdr:colOff>205962</xdr:colOff>
      <xdr:row>9585</xdr:row>
      <xdr:rowOff>78867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80314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180975</xdr:colOff>
      <xdr:row>9591</xdr:row>
      <xdr:rowOff>19050</xdr:rowOff>
    </xdr:from>
    <xdr:to>
      <xdr:col>6</xdr:col>
      <xdr:colOff>318662</xdr:colOff>
      <xdr:row>9593</xdr:row>
      <xdr:rowOff>142875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19815714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9210</xdr:row>
      <xdr:rowOff>0</xdr:rowOff>
    </xdr:from>
    <xdr:to>
      <xdr:col>7</xdr:col>
      <xdr:colOff>205962</xdr:colOff>
      <xdr:row>9210</xdr:row>
      <xdr:rowOff>2667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599783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9245</xdr:row>
      <xdr:rowOff>76200</xdr:rowOff>
    </xdr:from>
    <xdr:to>
      <xdr:col>7</xdr:col>
      <xdr:colOff>205962</xdr:colOff>
      <xdr:row>9245</xdr:row>
      <xdr:rowOff>78867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90940" y="19674173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9598</xdr:row>
      <xdr:rowOff>0</xdr:rowOff>
    </xdr:from>
    <xdr:to>
      <xdr:col>7</xdr:col>
      <xdr:colOff>205962</xdr:colOff>
      <xdr:row>9598</xdr:row>
      <xdr:rowOff>2667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149470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9635</xdr:row>
      <xdr:rowOff>76200</xdr:rowOff>
    </xdr:from>
    <xdr:to>
      <xdr:col>7</xdr:col>
      <xdr:colOff>205962</xdr:colOff>
      <xdr:row>9635</xdr:row>
      <xdr:rowOff>78867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223480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9641</xdr:row>
      <xdr:rowOff>19050</xdr:rowOff>
    </xdr:from>
    <xdr:to>
      <xdr:col>6</xdr:col>
      <xdr:colOff>328187</xdr:colOff>
      <xdr:row>9643</xdr:row>
      <xdr:rowOff>142875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67300" y="20236053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9648</xdr:row>
      <xdr:rowOff>0</xdr:rowOff>
    </xdr:from>
    <xdr:to>
      <xdr:col>7</xdr:col>
      <xdr:colOff>205962</xdr:colOff>
      <xdr:row>9648</xdr:row>
      <xdr:rowOff>2667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349495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9683</xdr:row>
      <xdr:rowOff>76200</xdr:rowOff>
    </xdr:from>
    <xdr:to>
      <xdr:col>7</xdr:col>
      <xdr:colOff>205962</xdr:colOff>
      <xdr:row>9683</xdr:row>
      <xdr:rowOff>78867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42893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9696</xdr:row>
      <xdr:rowOff>0</xdr:rowOff>
    </xdr:from>
    <xdr:to>
      <xdr:col>7</xdr:col>
      <xdr:colOff>205962</xdr:colOff>
      <xdr:row>9696</xdr:row>
      <xdr:rowOff>2667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454937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9731</xdr:row>
      <xdr:rowOff>76200</xdr:rowOff>
    </xdr:from>
    <xdr:to>
      <xdr:col>7</xdr:col>
      <xdr:colOff>205962</xdr:colOff>
      <xdr:row>9731</xdr:row>
      <xdr:rowOff>78867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528946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390525</xdr:colOff>
      <xdr:row>9737</xdr:row>
      <xdr:rowOff>66675</xdr:rowOff>
    </xdr:from>
    <xdr:to>
      <xdr:col>7</xdr:col>
      <xdr:colOff>23387</xdr:colOff>
      <xdr:row>9740</xdr:row>
      <xdr:rowOff>0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67325" y="20643532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9744</xdr:row>
      <xdr:rowOff>0</xdr:rowOff>
    </xdr:from>
    <xdr:to>
      <xdr:col>7</xdr:col>
      <xdr:colOff>205962</xdr:colOff>
      <xdr:row>9744</xdr:row>
      <xdr:rowOff>2667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554759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9779</xdr:row>
      <xdr:rowOff>76200</xdr:rowOff>
    </xdr:from>
    <xdr:to>
      <xdr:col>7</xdr:col>
      <xdr:colOff>205962</xdr:colOff>
      <xdr:row>9779</xdr:row>
      <xdr:rowOff>78867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630483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390525</xdr:colOff>
      <xdr:row>9785</xdr:row>
      <xdr:rowOff>66675</xdr:rowOff>
    </xdr:from>
    <xdr:to>
      <xdr:col>7</xdr:col>
      <xdr:colOff>23387</xdr:colOff>
      <xdr:row>9788</xdr:row>
      <xdr:rowOff>0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67325" y="20643532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9827</xdr:row>
      <xdr:rowOff>66675</xdr:rowOff>
    </xdr:from>
    <xdr:to>
      <xdr:col>6</xdr:col>
      <xdr:colOff>480587</xdr:colOff>
      <xdr:row>9830</xdr:row>
      <xdr:rowOff>0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9700" y="20833746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323850</xdr:colOff>
      <xdr:row>9875</xdr:row>
      <xdr:rowOff>66675</xdr:rowOff>
    </xdr:from>
    <xdr:to>
      <xdr:col>6</xdr:col>
      <xdr:colOff>461537</xdr:colOff>
      <xdr:row>9878</xdr:row>
      <xdr:rowOff>0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00650" y="1589360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9920</xdr:row>
      <xdr:rowOff>66675</xdr:rowOff>
    </xdr:from>
    <xdr:to>
      <xdr:col>6</xdr:col>
      <xdr:colOff>490112</xdr:colOff>
      <xdr:row>9923</xdr:row>
      <xdr:rowOff>0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29225" y="9618726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9966</xdr:row>
      <xdr:rowOff>66675</xdr:rowOff>
    </xdr:from>
    <xdr:to>
      <xdr:col>6</xdr:col>
      <xdr:colOff>490112</xdr:colOff>
      <xdr:row>9969</xdr:row>
      <xdr:rowOff>0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29225" y="21030057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9973</xdr:row>
      <xdr:rowOff>0</xdr:rowOff>
    </xdr:from>
    <xdr:to>
      <xdr:col>7</xdr:col>
      <xdr:colOff>11302</xdr:colOff>
      <xdr:row>9973</xdr:row>
      <xdr:rowOff>2667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96024500"/>
          <a:ext cx="51633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10007</xdr:row>
      <xdr:rowOff>76200</xdr:rowOff>
    </xdr:from>
    <xdr:to>
      <xdr:col>7</xdr:col>
      <xdr:colOff>11302</xdr:colOff>
      <xdr:row>10007</xdr:row>
      <xdr:rowOff>78867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3273025"/>
          <a:ext cx="516337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10013</xdr:row>
      <xdr:rowOff>38100</xdr:rowOff>
    </xdr:from>
    <xdr:to>
      <xdr:col>6</xdr:col>
      <xdr:colOff>243091</xdr:colOff>
      <xdr:row>10013</xdr:row>
      <xdr:rowOff>39243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57750" y="204549375"/>
          <a:ext cx="73839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10013</xdr:row>
      <xdr:rowOff>38100</xdr:rowOff>
    </xdr:from>
    <xdr:to>
      <xdr:col>5</xdr:col>
      <xdr:colOff>435151</xdr:colOff>
      <xdr:row>10013</xdr:row>
      <xdr:rowOff>39243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76800" y="204549375"/>
          <a:ext cx="435151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481641</xdr:colOff>
      <xdr:row>10013</xdr:row>
      <xdr:rowOff>65057</xdr:rowOff>
    </xdr:from>
    <xdr:to>
      <xdr:col>7</xdr:col>
      <xdr:colOff>14025</xdr:colOff>
      <xdr:row>10016</xdr:row>
      <xdr:rowOff>180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48916" y="204576332"/>
          <a:ext cx="522984" cy="50662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10020</xdr:row>
      <xdr:rowOff>0</xdr:rowOff>
    </xdr:from>
    <xdr:to>
      <xdr:col>7</xdr:col>
      <xdr:colOff>205962</xdr:colOff>
      <xdr:row>10020</xdr:row>
      <xdr:rowOff>2667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1393043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10054</xdr:row>
      <xdr:rowOff>76200</xdr:rowOff>
    </xdr:from>
    <xdr:to>
      <xdr:col>7</xdr:col>
      <xdr:colOff>205962</xdr:colOff>
      <xdr:row>10054</xdr:row>
      <xdr:rowOff>78867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1467052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10060</xdr:row>
      <xdr:rowOff>57150</xdr:rowOff>
    </xdr:from>
    <xdr:to>
      <xdr:col>7</xdr:col>
      <xdr:colOff>51962</xdr:colOff>
      <xdr:row>10062</xdr:row>
      <xdr:rowOff>180975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95900" y="11480006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10068</xdr:row>
      <xdr:rowOff>0</xdr:rowOff>
    </xdr:from>
    <xdr:to>
      <xdr:col>7</xdr:col>
      <xdr:colOff>351321</xdr:colOff>
      <xdr:row>10068</xdr:row>
      <xdr:rowOff>2667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6384250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10102</xdr:row>
      <xdr:rowOff>76200</xdr:rowOff>
    </xdr:from>
    <xdr:to>
      <xdr:col>7</xdr:col>
      <xdr:colOff>351321</xdr:colOff>
      <xdr:row>10102</xdr:row>
      <xdr:rowOff>78867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7121485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10163</xdr:row>
      <xdr:rowOff>0</xdr:rowOff>
    </xdr:from>
    <xdr:to>
      <xdr:col>7</xdr:col>
      <xdr:colOff>351321</xdr:colOff>
      <xdr:row>10163</xdr:row>
      <xdr:rowOff>2667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339143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10197</xdr:row>
      <xdr:rowOff>76200</xdr:rowOff>
    </xdr:from>
    <xdr:to>
      <xdr:col>7</xdr:col>
      <xdr:colOff>351321</xdr:colOff>
      <xdr:row>10197</xdr:row>
      <xdr:rowOff>78867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4129620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10203</xdr:row>
      <xdr:rowOff>47625</xdr:rowOff>
    </xdr:from>
    <xdr:to>
      <xdr:col>6</xdr:col>
      <xdr:colOff>499637</xdr:colOff>
      <xdr:row>10205</xdr:row>
      <xdr:rowOff>171450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216241312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10250</xdr:row>
      <xdr:rowOff>47624</xdr:rowOff>
    </xdr:from>
    <xdr:to>
      <xdr:col>6</xdr:col>
      <xdr:colOff>1342</xdr:colOff>
      <xdr:row>10250</xdr:row>
      <xdr:rowOff>48767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67275" y="1315431074"/>
          <a:ext cx="4871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359603</xdr:colOff>
      <xdr:row>10248</xdr:row>
      <xdr:rowOff>68033</xdr:rowOff>
    </xdr:from>
    <xdr:to>
      <xdr:col>6</xdr:col>
      <xdr:colOff>362968</xdr:colOff>
      <xdr:row>10250</xdr:row>
      <xdr:rowOff>184082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36403" y="1315070483"/>
          <a:ext cx="479615" cy="49704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10255</xdr:row>
      <xdr:rowOff>0</xdr:rowOff>
    </xdr:from>
    <xdr:to>
      <xdr:col>6</xdr:col>
      <xdr:colOff>468503</xdr:colOff>
      <xdr:row>10255</xdr:row>
      <xdr:rowOff>2667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894541550"/>
          <a:ext cx="468713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10288</xdr:row>
      <xdr:rowOff>76200</xdr:rowOff>
    </xdr:from>
    <xdr:to>
      <xdr:col>6</xdr:col>
      <xdr:colOff>468503</xdr:colOff>
      <xdr:row>10288</xdr:row>
      <xdr:rowOff>78867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901618625"/>
          <a:ext cx="468713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10294</xdr:row>
      <xdr:rowOff>38100</xdr:rowOff>
    </xdr:from>
    <xdr:to>
      <xdr:col>6</xdr:col>
      <xdr:colOff>139394</xdr:colOff>
      <xdr:row>10294</xdr:row>
      <xdr:rowOff>39243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57750" y="1902885450"/>
          <a:ext cx="634694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485775</xdr:colOff>
      <xdr:row>10294</xdr:row>
      <xdr:rowOff>38100</xdr:rowOff>
    </xdr:from>
    <xdr:to>
      <xdr:col>5</xdr:col>
      <xdr:colOff>398128</xdr:colOff>
      <xdr:row>10294</xdr:row>
      <xdr:rowOff>39243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76800" y="1902885450"/>
          <a:ext cx="398128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266700</xdr:colOff>
      <xdr:row>10294</xdr:row>
      <xdr:rowOff>38100</xdr:rowOff>
    </xdr:from>
    <xdr:to>
      <xdr:col>6</xdr:col>
      <xdr:colOff>404387</xdr:colOff>
      <xdr:row>10296</xdr:row>
      <xdr:rowOff>161925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43500" y="19028854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10301</xdr:row>
      <xdr:rowOff>0</xdr:rowOff>
    </xdr:from>
    <xdr:to>
      <xdr:col>7</xdr:col>
      <xdr:colOff>205962</xdr:colOff>
      <xdr:row>10301</xdr:row>
      <xdr:rowOff>2667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237416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10335</xdr:row>
      <xdr:rowOff>76200</xdr:rowOff>
    </xdr:from>
    <xdr:to>
      <xdr:col>7</xdr:col>
      <xdr:colOff>205962</xdr:colOff>
      <xdr:row>10335</xdr:row>
      <xdr:rowOff>78867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31142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10341</xdr:row>
      <xdr:rowOff>57150</xdr:rowOff>
    </xdr:from>
    <xdr:to>
      <xdr:col>7</xdr:col>
      <xdr:colOff>51962</xdr:colOff>
      <xdr:row>10343</xdr:row>
      <xdr:rowOff>180975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95900" y="21324379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10348</xdr:row>
      <xdr:rowOff>0</xdr:rowOff>
    </xdr:from>
    <xdr:to>
      <xdr:col>7</xdr:col>
      <xdr:colOff>205962</xdr:colOff>
      <xdr:row>10348</xdr:row>
      <xdr:rowOff>2667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826442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10382</xdr:row>
      <xdr:rowOff>76200</xdr:rowOff>
    </xdr:from>
    <xdr:to>
      <xdr:col>7</xdr:col>
      <xdr:colOff>205962</xdr:colOff>
      <xdr:row>10382</xdr:row>
      <xdr:rowOff>78867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900451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10388</xdr:row>
      <xdr:rowOff>57150</xdr:rowOff>
    </xdr:from>
    <xdr:to>
      <xdr:col>7</xdr:col>
      <xdr:colOff>51962</xdr:colOff>
      <xdr:row>10390</xdr:row>
      <xdr:rowOff>180975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95900" y="21913405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10396</xdr:row>
      <xdr:rowOff>0</xdr:rowOff>
    </xdr:from>
    <xdr:to>
      <xdr:col>7</xdr:col>
      <xdr:colOff>205962</xdr:colOff>
      <xdr:row>10396</xdr:row>
      <xdr:rowOff>2667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924740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10425</xdr:row>
      <xdr:rowOff>76200</xdr:rowOff>
    </xdr:from>
    <xdr:to>
      <xdr:col>7</xdr:col>
      <xdr:colOff>205962</xdr:colOff>
      <xdr:row>10425</xdr:row>
      <xdr:rowOff>78867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1997225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10431</xdr:row>
      <xdr:rowOff>57150</xdr:rowOff>
    </xdr:from>
    <xdr:to>
      <xdr:col>7</xdr:col>
      <xdr:colOff>51962</xdr:colOff>
      <xdr:row>10433</xdr:row>
      <xdr:rowOff>180975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95900" y="22010179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10440</xdr:row>
      <xdr:rowOff>0</xdr:rowOff>
    </xdr:from>
    <xdr:to>
      <xdr:col>7</xdr:col>
      <xdr:colOff>205962</xdr:colOff>
      <xdr:row>10440</xdr:row>
      <xdr:rowOff>2667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024943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10470</xdr:row>
      <xdr:rowOff>76200</xdr:rowOff>
    </xdr:from>
    <xdr:to>
      <xdr:col>7</xdr:col>
      <xdr:colOff>205962</xdr:colOff>
      <xdr:row>10470</xdr:row>
      <xdr:rowOff>78867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08980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419100</xdr:colOff>
      <xdr:row>10476</xdr:row>
      <xdr:rowOff>57150</xdr:rowOff>
    </xdr:from>
    <xdr:to>
      <xdr:col>7</xdr:col>
      <xdr:colOff>51962</xdr:colOff>
      <xdr:row>10478</xdr:row>
      <xdr:rowOff>180975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95900" y="22102762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10517</xdr:row>
      <xdr:rowOff>76200</xdr:rowOff>
    </xdr:from>
    <xdr:to>
      <xdr:col>6</xdr:col>
      <xdr:colOff>451969</xdr:colOff>
      <xdr:row>10517</xdr:row>
      <xdr:rowOff>78867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3290" y="1573853850"/>
          <a:ext cx="49027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381000</xdr:colOff>
      <xdr:row>10517</xdr:row>
      <xdr:rowOff>57150</xdr:rowOff>
    </xdr:from>
    <xdr:to>
      <xdr:col>7</xdr:col>
      <xdr:colOff>13862</xdr:colOff>
      <xdr:row>10519</xdr:row>
      <xdr:rowOff>180975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57800" y="22282213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323850</xdr:colOff>
      <xdr:row>10565</xdr:row>
      <xdr:rowOff>66675</xdr:rowOff>
    </xdr:from>
    <xdr:to>
      <xdr:col>6</xdr:col>
      <xdr:colOff>461537</xdr:colOff>
      <xdr:row>10568</xdr:row>
      <xdr:rowOff>0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00650" y="15991903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10620</xdr:row>
      <xdr:rowOff>0</xdr:rowOff>
    </xdr:from>
    <xdr:to>
      <xdr:col>7</xdr:col>
      <xdr:colOff>205962</xdr:colOff>
      <xdr:row>10620</xdr:row>
      <xdr:rowOff>2667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9946397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10655</xdr:row>
      <xdr:rowOff>76200</xdr:rowOff>
    </xdr:from>
    <xdr:to>
      <xdr:col>7</xdr:col>
      <xdr:colOff>205962</xdr:colOff>
      <xdr:row>10655</xdr:row>
      <xdr:rowOff>78867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0024026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10667</xdr:row>
      <xdr:rowOff>0</xdr:rowOff>
    </xdr:from>
    <xdr:to>
      <xdr:col>7</xdr:col>
      <xdr:colOff>205962</xdr:colOff>
      <xdr:row>10667</xdr:row>
      <xdr:rowOff>2667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497383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10702</xdr:row>
      <xdr:rowOff>76200</xdr:rowOff>
    </xdr:from>
    <xdr:to>
      <xdr:col>7</xdr:col>
      <xdr:colOff>205962</xdr:colOff>
      <xdr:row>10702</xdr:row>
      <xdr:rowOff>78867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57301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10715</xdr:row>
      <xdr:rowOff>0</xdr:rowOff>
    </xdr:from>
    <xdr:to>
      <xdr:col>7</xdr:col>
      <xdr:colOff>205962</xdr:colOff>
      <xdr:row>10715</xdr:row>
      <xdr:rowOff>2667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596919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10750</xdr:row>
      <xdr:rowOff>76200</xdr:rowOff>
    </xdr:from>
    <xdr:to>
      <xdr:col>7</xdr:col>
      <xdr:colOff>205962</xdr:colOff>
      <xdr:row>10750</xdr:row>
      <xdr:rowOff>78867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67273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219075</xdr:colOff>
      <xdr:row>10756</xdr:row>
      <xdr:rowOff>28575</xdr:rowOff>
    </xdr:from>
    <xdr:to>
      <xdr:col>6</xdr:col>
      <xdr:colOff>356762</xdr:colOff>
      <xdr:row>10758</xdr:row>
      <xdr:rowOff>152400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22685406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10763</xdr:row>
      <xdr:rowOff>0</xdr:rowOff>
    </xdr:from>
    <xdr:to>
      <xdr:col>7</xdr:col>
      <xdr:colOff>205962</xdr:colOff>
      <xdr:row>10763</xdr:row>
      <xdr:rowOff>2667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497383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10797</xdr:row>
      <xdr:rowOff>76200</xdr:rowOff>
    </xdr:from>
    <xdr:to>
      <xdr:col>7</xdr:col>
      <xdr:colOff>205962</xdr:colOff>
      <xdr:row>10797</xdr:row>
      <xdr:rowOff>78867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57301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219075</xdr:colOff>
      <xdr:row>10803</xdr:row>
      <xdr:rowOff>28575</xdr:rowOff>
    </xdr:from>
    <xdr:to>
      <xdr:col>6</xdr:col>
      <xdr:colOff>356762</xdr:colOff>
      <xdr:row>10805</xdr:row>
      <xdr:rowOff>152400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22585680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10811</xdr:row>
      <xdr:rowOff>0</xdr:rowOff>
    </xdr:from>
    <xdr:to>
      <xdr:col>7</xdr:col>
      <xdr:colOff>205962</xdr:colOff>
      <xdr:row>10811</xdr:row>
      <xdr:rowOff>2667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799802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10845</xdr:row>
      <xdr:rowOff>76200</xdr:rowOff>
    </xdr:from>
    <xdr:to>
      <xdr:col>7</xdr:col>
      <xdr:colOff>205962</xdr:colOff>
      <xdr:row>10845</xdr:row>
      <xdr:rowOff>78867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872287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10857</xdr:row>
      <xdr:rowOff>0</xdr:rowOff>
    </xdr:from>
    <xdr:to>
      <xdr:col>7</xdr:col>
      <xdr:colOff>205962</xdr:colOff>
      <xdr:row>10857</xdr:row>
      <xdr:rowOff>2667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698551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10892</xdr:row>
      <xdr:rowOff>76200</xdr:rowOff>
    </xdr:from>
    <xdr:to>
      <xdr:col>7</xdr:col>
      <xdr:colOff>205962</xdr:colOff>
      <xdr:row>10892</xdr:row>
      <xdr:rowOff>78867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773989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219075</xdr:colOff>
      <xdr:row>10898</xdr:row>
      <xdr:rowOff>28575</xdr:rowOff>
    </xdr:from>
    <xdr:to>
      <xdr:col>6</xdr:col>
      <xdr:colOff>356762</xdr:colOff>
      <xdr:row>10900</xdr:row>
      <xdr:rowOff>152400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95875" y="22786657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10905</xdr:row>
      <xdr:rowOff>0</xdr:rowOff>
    </xdr:from>
    <xdr:to>
      <xdr:col>7</xdr:col>
      <xdr:colOff>205962</xdr:colOff>
      <xdr:row>10905</xdr:row>
      <xdr:rowOff>2667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997255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10940</xdr:row>
      <xdr:rowOff>76200</xdr:rowOff>
    </xdr:from>
    <xdr:to>
      <xdr:col>7</xdr:col>
      <xdr:colOff>205962</xdr:colOff>
      <xdr:row>10940</xdr:row>
      <xdr:rowOff>78867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07278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10954</xdr:row>
      <xdr:rowOff>0</xdr:rowOff>
    </xdr:from>
    <xdr:to>
      <xdr:col>7</xdr:col>
      <xdr:colOff>205962</xdr:colOff>
      <xdr:row>10954</xdr:row>
      <xdr:rowOff>2667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2997255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10989</xdr:row>
      <xdr:rowOff>76200</xdr:rowOff>
    </xdr:from>
    <xdr:to>
      <xdr:col>7</xdr:col>
      <xdr:colOff>205962</xdr:colOff>
      <xdr:row>10989</xdr:row>
      <xdr:rowOff>78867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072788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11001</xdr:row>
      <xdr:rowOff>0</xdr:rowOff>
    </xdr:from>
    <xdr:to>
      <xdr:col>7</xdr:col>
      <xdr:colOff>205962</xdr:colOff>
      <xdr:row>11001</xdr:row>
      <xdr:rowOff>2667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201852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11036</xdr:row>
      <xdr:rowOff>76200</xdr:rowOff>
    </xdr:from>
    <xdr:to>
      <xdr:col>7</xdr:col>
      <xdr:colOff>205962</xdr:colOff>
      <xdr:row>11036</xdr:row>
      <xdr:rowOff>78867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277671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11049</xdr:row>
      <xdr:rowOff>0</xdr:rowOff>
    </xdr:from>
    <xdr:to>
      <xdr:col>7</xdr:col>
      <xdr:colOff>205962</xdr:colOff>
      <xdr:row>11049</xdr:row>
      <xdr:rowOff>2667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301579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11084</xdr:row>
      <xdr:rowOff>76200</xdr:rowOff>
    </xdr:from>
    <xdr:to>
      <xdr:col>7</xdr:col>
      <xdr:colOff>205962</xdr:colOff>
      <xdr:row>11084</xdr:row>
      <xdr:rowOff>78867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376921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11097</xdr:row>
      <xdr:rowOff>0</xdr:rowOff>
    </xdr:from>
    <xdr:to>
      <xdr:col>7</xdr:col>
      <xdr:colOff>205962</xdr:colOff>
      <xdr:row>11097</xdr:row>
      <xdr:rowOff>2667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402734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11097</xdr:row>
      <xdr:rowOff>0</xdr:rowOff>
    </xdr:from>
    <xdr:to>
      <xdr:col>7</xdr:col>
      <xdr:colOff>205962</xdr:colOff>
      <xdr:row>11097</xdr:row>
      <xdr:rowOff>2667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478363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11098</xdr:row>
      <xdr:rowOff>0</xdr:rowOff>
    </xdr:from>
    <xdr:to>
      <xdr:col>7</xdr:col>
      <xdr:colOff>205962</xdr:colOff>
      <xdr:row>11098</xdr:row>
      <xdr:rowOff>2667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1788044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11130</xdr:row>
      <xdr:rowOff>76200</xdr:rowOff>
    </xdr:from>
    <xdr:to>
      <xdr:col>7</xdr:col>
      <xdr:colOff>205962</xdr:colOff>
      <xdr:row>11130</xdr:row>
      <xdr:rowOff>78867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1862339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11144</xdr:row>
      <xdr:rowOff>0</xdr:rowOff>
    </xdr:from>
    <xdr:to>
      <xdr:col>7</xdr:col>
      <xdr:colOff>205962</xdr:colOff>
      <xdr:row>11144</xdr:row>
      <xdr:rowOff>2667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506080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11176</xdr:row>
      <xdr:rowOff>76200</xdr:rowOff>
    </xdr:from>
    <xdr:to>
      <xdr:col>7</xdr:col>
      <xdr:colOff>205962</xdr:colOff>
      <xdr:row>11176</xdr:row>
      <xdr:rowOff>78867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576851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11189</xdr:row>
      <xdr:rowOff>0</xdr:rowOff>
    </xdr:from>
    <xdr:to>
      <xdr:col>7</xdr:col>
      <xdr:colOff>205962</xdr:colOff>
      <xdr:row>11189</xdr:row>
      <xdr:rowOff>2667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604569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11221</xdr:row>
      <xdr:rowOff>76200</xdr:rowOff>
    </xdr:from>
    <xdr:to>
      <xdr:col>7</xdr:col>
      <xdr:colOff>205962</xdr:colOff>
      <xdr:row>11221</xdr:row>
      <xdr:rowOff>78867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67505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11234</xdr:row>
      <xdr:rowOff>0</xdr:rowOff>
    </xdr:from>
    <xdr:to>
      <xdr:col>7</xdr:col>
      <xdr:colOff>205962</xdr:colOff>
      <xdr:row>11234</xdr:row>
      <xdr:rowOff>2667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7008670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11266</xdr:row>
      <xdr:rowOff>76200</xdr:rowOff>
    </xdr:from>
    <xdr:to>
      <xdr:col>7</xdr:col>
      <xdr:colOff>205962</xdr:colOff>
      <xdr:row>11266</xdr:row>
      <xdr:rowOff>78867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7716377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11279</xdr:row>
      <xdr:rowOff>0</xdr:rowOff>
    </xdr:from>
    <xdr:to>
      <xdr:col>7</xdr:col>
      <xdr:colOff>205962</xdr:colOff>
      <xdr:row>11279</xdr:row>
      <xdr:rowOff>2667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797450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11311</xdr:row>
      <xdr:rowOff>76200</xdr:rowOff>
    </xdr:from>
    <xdr:to>
      <xdr:col>7</xdr:col>
      <xdr:colOff>205962</xdr:colOff>
      <xdr:row>11311</xdr:row>
      <xdr:rowOff>78867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87022150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11324</xdr:row>
      <xdr:rowOff>0</xdr:rowOff>
    </xdr:from>
    <xdr:to>
      <xdr:col>7</xdr:col>
      <xdr:colOff>205962</xdr:colOff>
      <xdr:row>11324</xdr:row>
      <xdr:rowOff>2667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896034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11356</xdr:row>
      <xdr:rowOff>76200</xdr:rowOff>
    </xdr:from>
    <xdr:to>
      <xdr:col>7</xdr:col>
      <xdr:colOff>205962</xdr:colOff>
      <xdr:row>11356</xdr:row>
      <xdr:rowOff>78867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396690025"/>
          <a:ext cx="710997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11369</xdr:row>
      <xdr:rowOff>0</xdr:rowOff>
    </xdr:from>
    <xdr:to>
      <xdr:col>7</xdr:col>
      <xdr:colOff>351321</xdr:colOff>
      <xdr:row>11369</xdr:row>
      <xdr:rowOff>2667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1293697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11403</xdr:row>
      <xdr:rowOff>76200</xdr:rowOff>
    </xdr:from>
    <xdr:to>
      <xdr:col>7</xdr:col>
      <xdr:colOff>351321</xdr:colOff>
      <xdr:row>11403</xdr:row>
      <xdr:rowOff>78867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1136732550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11417</xdr:row>
      <xdr:rowOff>0</xdr:rowOff>
    </xdr:from>
    <xdr:to>
      <xdr:col>7</xdr:col>
      <xdr:colOff>351321</xdr:colOff>
      <xdr:row>11417</xdr:row>
      <xdr:rowOff>2667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40893917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11451</xdr:row>
      <xdr:rowOff>76200</xdr:rowOff>
    </xdr:from>
    <xdr:to>
      <xdr:col>7</xdr:col>
      <xdr:colOff>351321</xdr:colOff>
      <xdr:row>11451</xdr:row>
      <xdr:rowOff>78867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52840" y="2416311525"/>
          <a:ext cx="856356" cy="266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11505</xdr:row>
      <xdr:rowOff>47624</xdr:rowOff>
    </xdr:from>
    <xdr:to>
      <xdr:col>6</xdr:col>
      <xdr:colOff>191842</xdr:colOff>
      <xdr:row>11505</xdr:row>
      <xdr:rowOff>48767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67275" y="1883606849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11505</xdr:row>
      <xdr:rowOff>57150</xdr:rowOff>
    </xdr:from>
    <xdr:to>
      <xdr:col>6</xdr:col>
      <xdr:colOff>499637</xdr:colOff>
      <xdr:row>11507</xdr:row>
      <xdr:rowOff>180975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18836163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11552</xdr:row>
      <xdr:rowOff>47624</xdr:rowOff>
    </xdr:from>
    <xdr:to>
      <xdr:col>6</xdr:col>
      <xdr:colOff>191842</xdr:colOff>
      <xdr:row>11552</xdr:row>
      <xdr:rowOff>48767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67275" y="243799042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11552</xdr:row>
      <xdr:rowOff>57150</xdr:rowOff>
    </xdr:from>
    <xdr:to>
      <xdr:col>6</xdr:col>
      <xdr:colOff>499637</xdr:colOff>
      <xdr:row>11554</xdr:row>
      <xdr:rowOff>180975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24379999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466725</xdr:colOff>
      <xdr:row>11600</xdr:row>
      <xdr:rowOff>47624</xdr:rowOff>
    </xdr:from>
    <xdr:to>
      <xdr:col>6</xdr:col>
      <xdr:colOff>191842</xdr:colOff>
      <xdr:row>11600</xdr:row>
      <xdr:rowOff>48767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67275" y="2448163124"/>
          <a:ext cx="677617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11600</xdr:row>
      <xdr:rowOff>57150</xdr:rowOff>
    </xdr:from>
    <xdr:to>
      <xdr:col>6</xdr:col>
      <xdr:colOff>499637</xdr:colOff>
      <xdr:row>11602</xdr:row>
      <xdr:rowOff>180975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38750" y="24481726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342900</xdr:colOff>
      <xdr:row>11136</xdr:row>
      <xdr:rowOff>28575</xdr:rowOff>
    </xdr:from>
    <xdr:to>
      <xdr:col>6</xdr:col>
      <xdr:colOff>480587</xdr:colOff>
      <xdr:row>11138</xdr:row>
      <xdr:rowOff>152400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19700" y="23589519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11647</xdr:row>
      <xdr:rowOff>57150</xdr:rowOff>
    </xdr:from>
    <xdr:to>
      <xdr:col>6</xdr:col>
      <xdr:colOff>490112</xdr:colOff>
      <xdr:row>11649</xdr:row>
      <xdr:rowOff>180975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29225" y="55734585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11695</xdr:row>
      <xdr:rowOff>57150</xdr:rowOff>
    </xdr:from>
    <xdr:to>
      <xdr:col>6</xdr:col>
      <xdr:colOff>490112</xdr:colOff>
      <xdr:row>11697</xdr:row>
      <xdr:rowOff>180975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29225" y="2467841775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352425</xdr:colOff>
      <xdr:row>11741</xdr:row>
      <xdr:rowOff>57150</xdr:rowOff>
    </xdr:from>
    <xdr:to>
      <xdr:col>6</xdr:col>
      <xdr:colOff>490112</xdr:colOff>
      <xdr:row>11743</xdr:row>
      <xdr:rowOff>180975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229225" y="24778716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11797</xdr:row>
      <xdr:rowOff>0</xdr:rowOff>
    </xdr:from>
    <xdr:to>
      <xdr:col>7</xdr:col>
      <xdr:colOff>20415</xdr:colOff>
      <xdr:row>11797</xdr:row>
      <xdr:rowOff>2667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040" y="1960035450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11825</xdr:row>
      <xdr:rowOff>76200</xdr:rowOff>
    </xdr:from>
    <xdr:to>
      <xdr:col>7</xdr:col>
      <xdr:colOff>20415</xdr:colOff>
      <xdr:row>11825</xdr:row>
      <xdr:rowOff>78867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040" y="1966140975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306471</xdr:colOff>
      <xdr:row>11831</xdr:row>
      <xdr:rowOff>66264</xdr:rowOff>
    </xdr:from>
    <xdr:to>
      <xdr:col>6</xdr:col>
      <xdr:colOff>393610</xdr:colOff>
      <xdr:row>11833</xdr:row>
      <xdr:rowOff>175509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8471" y="1967445489"/>
          <a:ext cx="601489" cy="4902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11790</xdr:row>
      <xdr:rowOff>9525</xdr:rowOff>
    </xdr:from>
    <xdr:to>
      <xdr:col>6</xdr:col>
      <xdr:colOff>290087</xdr:colOff>
      <xdr:row>11792</xdr:row>
      <xdr:rowOff>133350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9200" y="2497683600"/>
          <a:ext cx="613937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11838</xdr:row>
      <xdr:rowOff>0</xdr:rowOff>
    </xdr:from>
    <xdr:to>
      <xdr:col>7</xdr:col>
      <xdr:colOff>139287</xdr:colOff>
      <xdr:row>11838</xdr:row>
      <xdr:rowOff>2667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749771075"/>
          <a:ext cx="796722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11867</xdr:row>
      <xdr:rowOff>76200</xdr:rowOff>
    </xdr:from>
    <xdr:to>
      <xdr:col>7</xdr:col>
      <xdr:colOff>139287</xdr:colOff>
      <xdr:row>11867</xdr:row>
      <xdr:rowOff>78867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52815" y="1756095675"/>
          <a:ext cx="796722" cy="266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B11877"/>
  <sheetViews>
    <sheetView tabSelected="1" zoomScaleSheetLayoutView="55" workbookViewId="0">
      <selection activeCell="K8" sqref="K8"/>
    </sheetView>
  </sheetViews>
  <sheetFormatPr defaultRowHeight="14.4" x14ac:dyDescent="0.3"/>
  <cols>
    <col min="1" max="1" width="5.44140625" customWidth="1"/>
    <col min="2" max="2" width="44" customWidth="1"/>
    <col min="3" max="4" width="8.33203125" customWidth="1"/>
    <col min="5" max="6" width="7.109375" customWidth="1"/>
    <col min="7" max="7" width="7.5546875" customWidth="1"/>
    <col min="8" max="8" width="13.33203125" customWidth="1"/>
    <col min="9" max="9" width="9.109375" style="362"/>
    <col min="10" max="10" width="9.44140625" bestFit="1" customWidth="1"/>
    <col min="11" max="11" width="42.5546875" customWidth="1"/>
    <col min="17" max="17" width="10.6640625" customWidth="1"/>
  </cols>
  <sheetData>
    <row r="1" spans="1:9" ht="44.4" x14ac:dyDescent="0.7">
      <c r="A1" s="469" t="s">
        <v>0</v>
      </c>
      <c r="B1" s="470"/>
      <c r="C1" s="470"/>
      <c r="D1" s="470"/>
      <c r="E1" s="471" t="s">
        <v>1</v>
      </c>
      <c r="F1" s="472"/>
      <c r="G1" s="472"/>
      <c r="H1" s="473"/>
    </row>
    <row r="2" spans="1:9" ht="18" customHeight="1" x14ac:dyDescent="0.35">
      <c r="A2" s="1"/>
      <c r="B2" s="476" t="s">
        <v>2</v>
      </c>
      <c r="C2" s="476"/>
      <c r="D2" s="476"/>
      <c r="E2" s="474"/>
      <c r="F2" s="474"/>
      <c r="G2" s="474"/>
      <c r="H2" s="475"/>
    </row>
    <row r="3" spans="1:9" x14ac:dyDescent="0.3">
      <c r="A3" s="477" t="s">
        <v>3</v>
      </c>
      <c r="B3" s="511"/>
      <c r="C3" s="2" t="s">
        <v>4</v>
      </c>
      <c r="D3" s="3"/>
      <c r="E3" s="499" t="s">
        <v>5</v>
      </c>
      <c r="F3" s="499"/>
      <c r="G3" s="499"/>
      <c r="H3" s="589"/>
    </row>
    <row r="4" spans="1:9" ht="15.6" x14ac:dyDescent="0.3">
      <c r="A4" s="4" t="s">
        <v>6</v>
      </c>
      <c r="B4" s="5"/>
      <c r="C4" s="512" t="s">
        <v>7</v>
      </c>
      <c r="D4" s="513"/>
      <c r="E4" s="482">
        <v>1</v>
      </c>
      <c r="F4" s="482"/>
      <c r="G4" s="7" t="s">
        <v>8</v>
      </c>
      <c r="H4" s="8">
        <v>45720</v>
      </c>
    </row>
    <row r="5" spans="1:9" ht="15.6" x14ac:dyDescent="0.3">
      <c r="A5" s="695" t="s">
        <v>9</v>
      </c>
      <c r="B5" s="515"/>
      <c r="C5" s="516" t="s">
        <v>10</v>
      </c>
      <c r="D5" s="481"/>
      <c r="E5" s="482"/>
      <c r="F5" s="482"/>
      <c r="G5" s="7" t="s">
        <v>8</v>
      </c>
      <c r="H5" s="9"/>
    </row>
    <row r="6" spans="1:9" ht="15" x14ac:dyDescent="0.3">
      <c r="A6" s="695" t="s">
        <v>11</v>
      </c>
      <c r="B6" s="515"/>
      <c r="C6" s="484" t="s">
        <v>12</v>
      </c>
      <c r="D6" s="519"/>
      <c r="E6" s="696"/>
      <c r="F6" s="697"/>
      <c r="G6" s="10" t="s">
        <v>8</v>
      </c>
      <c r="H6" s="11"/>
    </row>
    <row r="7" spans="1:9" ht="15" x14ac:dyDescent="0.3">
      <c r="A7" s="12" t="s">
        <v>13</v>
      </c>
      <c r="B7" s="13" t="s">
        <v>14</v>
      </c>
      <c r="C7" s="521" t="s">
        <v>15</v>
      </c>
      <c r="D7" s="522"/>
      <c r="E7" s="566" t="s">
        <v>16</v>
      </c>
      <c r="F7" s="567"/>
      <c r="G7" s="567"/>
      <c r="H7" s="568"/>
    </row>
    <row r="8" spans="1:9" x14ac:dyDescent="0.3">
      <c r="A8" s="698" t="s">
        <v>17</v>
      </c>
      <c r="B8" s="700" t="s">
        <v>18</v>
      </c>
      <c r="C8" s="701" t="s">
        <v>19</v>
      </c>
      <c r="D8" s="701" t="s">
        <v>20</v>
      </c>
      <c r="E8" s="701" t="s">
        <v>21</v>
      </c>
      <c r="F8" s="701" t="s">
        <v>22</v>
      </c>
      <c r="G8" s="701"/>
      <c r="H8" s="699" t="s">
        <v>23</v>
      </c>
    </row>
    <row r="9" spans="1:9" ht="26.4" x14ac:dyDescent="0.3">
      <c r="A9" s="699"/>
      <c r="B9" s="701"/>
      <c r="C9" s="701"/>
      <c r="D9" s="701"/>
      <c r="E9" s="701"/>
      <c r="F9" s="14" t="s">
        <v>24</v>
      </c>
      <c r="G9" s="14" t="s">
        <v>25</v>
      </c>
      <c r="H9" s="699"/>
    </row>
    <row r="10" spans="1:9" ht="15.75" customHeight="1" x14ac:dyDescent="0.3">
      <c r="A10" s="15">
        <v>1</v>
      </c>
      <c r="B10" s="16" t="s">
        <v>26</v>
      </c>
      <c r="C10" s="15">
        <v>1</v>
      </c>
      <c r="D10" s="17">
        <v>998719</v>
      </c>
      <c r="E10" s="15">
        <v>4000</v>
      </c>
      <c r="F10" s="18">
        <f t="shared" ref="F10:F28" si="0">E10*C10*9%</f>
        <v>360</v>
      </c>
      <c r="G10" s="18">
        <f t="shared" ref="G10:G28" si="1">F10</f>
        <v>360</v>
      </c>
      <c r="H10" s="19">
        <f t="shared" ref="H10:H28" si="2">G10+F10+E10*C10</f>
        <v>4720</v>
      </c>
      <c r="I10" s="362">
        <f>E10*C10</f>
        <v>4000</v>
      </c>
    </row>
    <row r="11" spans="1:9" ht="15.75" customHeight="1" x14ac:dyDescent="0.3">
      <c r="A11" s="15">
        <v>2</v>
      </c>
      <c r="B11" s="16" t="s">
        <v>27</v>
      </c>
      <c r="C11" s="15">
        <v>4</v>
      </c>
      <c r="D11" s="17">
        <v>998719</v>
      </c>
      <c r="E11" s="15">
        <v>2200</v>
      </c>
      <c r="F11" s="18">
        <f t="shared" si="0"/>
        <v>792</v>
      </c>
      <c r="G11" s="18">
        <f t="shared" si="1"/>
        <v>792</v>
      </c>
      <c r="H11" s="19">
        <f t="shared" si="2"/>
        <v>10384</v>
      </c>
      <c r="I11" s="362">
        <f t="shared" ref="I11:I28" si="3">E11*C11</f>
        <v>8800</v>
      </c>
    </row>
    <row r="12" spans="1:9" ht="26.4" x14ac:dyDescent="0.3">
      <c r="A12" s="15">
        <v>3</v>
      </c>
      <c r="B12" s="16" t="s">
        <v>28</v>
      </c>
      <c r="C12" s="15">
        <v>5</v>
      </c>
      <c r="D12" s="17">
        <v>998719</v>
      </c>
      <c r="E12" s="20">
        <v>2200</v>
      </c>
      <c r="F12" s="18">
        <f t="shared" si="0"/>
        <v>990</v>
      </c>
      <c r="G12" s="18">
        <f t="shared" si="1"/>
        <v>990</v>
      </c>
      <c r="H12" s="19">
        <f t="shared" si="2"/>
        <v>12980</v>
      </c>
      <c r="I12" s="362">
        <f t="shared" si="3"/>
        <v>11000</v>
      </c>
    </row>
    <row r="13" spans="1:9" ht="26.4" x14ac:dyDescent="0.3">
      <c r="A13" s="15">
        <v>4</v>
      </c>
      <c r="B13" s="16" t="s">
        <v>29</v>
      </c>
      <c r="C13" s="15">
        <v>3</v>
      </c>
      <c r="D13" s="17">
        <v>998719</v>
      </c>
      <c r="E13" s="15">
        <v>4000</v>
      </c>
      <c r="F13" s="18">
        <f t="shared" si="0"/>
        <v>1080</v>
      </c>
      <c r="G13" s="18">
        <f t="shared" si="1"/>
        <v>1080</v>
      </c>
      <c r="H13" s="19">
        <f t="shared" si="2"/>
        <v>14160</v>
      </c>
      <c r="I13" s="362">
        <f t="shared" si="3"/>
        <v>12000</v>
      </c>
    </row>
    <row r="14" spans="1:9" ht="14.25" customHeight="1" x14ac:dyDescent="0.3">
      <c r="A14" s="15">
        <v>5</v>
      </c>
      <c r="B14" s="16" t="s">
        <v>30</v>
      </c>
      <c r="C14" s="15">
        <v>3</v>
      </c>
      <c r="D14" s="17">
        <v>998719</v>
      </c>
      <c r="E14" s="20">
        <v>2200</v>
      </c>
      <c r="F14" s="18">
        <f t="shared" si="0"/>
        <v>594</v>
      </c>
      <c r="G14" s="18">
        <f t="shared" si="1"/>
        <v>594</v>
      </c>
      <c r="H14" s="19">
        <f t="shared" si="2"/>
        <v>7788</v>
      </c>
      <c r="I14" s="362">
        <f t="shared" si="3"/>
        <v>6600</v>
      </c>
    </row>
    <row r="15" spans="1:9" ht="15" customHeight="1" x14ac:dyDescent="0.3">
      <c r="A15" s="15">
        <v>6</v>
      </c>
      <c r="B15" s="16" t="s">
        <v>31</v>
      </c>
      <c r="C15" s="21">
        <v>1</v>
      </c>
      <c r="D15" s="17">
        <v>998719</v>
      </c>
      <c r="E15" s="20">
        <v>4000</v>
      </c>
      <c r="F15" s="18">
        <f t="shared" si="0"/>
        <v>360</v>
      </c>
      <c r="G15" s="18">
        <f t="shared" si="1"/>
        <v>360</v>
      </c>
      <c r="H15" s="19">
        <f t="shared" si="2"/>
        <v>4720</v>
      </c>
      <c r="I15" s="362">
        <f t="shared" si="3"/>
        <v>4000</v>
      </c>
    </row>
    <row r="16" spans="1:9" x14ac:dyDescent="0.3">
      <c r="A16" s="15">
        <v>7</v>
      </c>
      <c r="B16" s="22" t="s">
        <v>32</v>
      </c>
      <c r="C16" s="15">
        <v>2</v>
      </c>
      <c r="D16" s="17">
        <v>998719</v>
      </c>
      <c r="E16" s="20">
        <v>2200</v>
      </c>
      <c r="F16" s="18">
        <f t="shared" si="0"/>
        <v>396</v>
      </c>
      <c r="G16" s="18">
        <f t="shared" si="1"/>
        <v>396</v>
      </c>
      <c r="H16" s="19">
        <f t="shared" si="2"/>
        <v>5192</v>
      </c>
      <c r="I16" s="362">
        <f t="shared" si="3"/>
        <v>4400</v>
      </c>
    </row>
    <row r="17" spans="1:9" x14ac:dyDescent="0.3">
      <c r="A17" s="15">
        <v>8</v>
      </c>
      <c r="B17" s="22" t="s">
        <v>33</v>
      </c>
      <c r="C17" s="15">
        <v>1</v>
      </c>
      <c r="D17" s="17">
        <v>998719</v>
      </c>
      <c r="E17" s="20">
        <v>4000</v>
      </c>
      <c r="F17" s="18">
        <f t="shared" si="0"/>
        <v>360</v>
      </c>
      <c r="G17" s="18">
        <f t="shared" si="1"/>
        <v>360</v>
      </c>
      <c r="H17" s="19">
        <f t="shared" si="2"/>
        <v>4720</v>
      </c>
      <c r="I17" s="362">
        <f t="shared" si="3"/>
        <v>4000</v>
      </c>
    </row>
    <row r="18" spans="1:9" x14ac:dyDescent="0.3">
      <c r="A18" s="15">
        <v>9</v>
      </c>
      <c r="B18" s="16" t="s">
        <v>34</v>
      </c>
      <c r="C18" s="15">
        <v>17</v>
      </c>
      <c r="D18" s="17">
        <v>998719</v>
      </c>
      <c r="E18" s="15">
        <v>2200</v>
      </c>
      <c r="F18" s="18">
        <f t="shared" si="0"/>
        <v>3366</v>
      </c>
      <c r="G18" s="18">
        <f t="shared" si="1"/>
        <v>3366</v>
      </c>
      <c r="H18" s="19">
        <f t="shared" si="2"/>
        <v>44132</v>
      </c>
      <c r="I18" s="362">
        <f t="shared" si="3"/>
        <v>37400</v>
      </c>
    </row>
    <row r="19" spans="1:9" x14ac:dyDescent="0.3">
      <c r="A19" s="15">
        <v>10</v>
      </c>
      <c r="B19" s="16" t="s">
        <v>35</v>
      </c>
      <c r="C19" s="15">
        <v>3</v>
      </c>
      <c r="D19" s="17">
        <v>998719</v>
      </c>
      <c r="E19" s="15">
        <v>4000</v>
      </c>
      <c r="F19" s="18">
        <f t="shared" si="0"/>
        <v>1080</v>
      </c>
      <c r="G19" s="18">
        <f t="shared" si="1"/>
        <v>1080</v>
      </c>
      <c r="H19" s="19">
        <f t="shared" si="2"/>
        <v>14160</v>
      </c>
      <c r="I19" s="362">
        <f t="shared" si="3"/>
        <v>12000</v>
      </c>
    </row>
    <row r="20" spans="1:9" ht="26.4" x14ac:dyDescent="0.3">
      <c r="A20" s="15">
        <v>11</v>
      </c>
      <c r="B20" s="16" t="s">
        <v>36</v>
      </c>
      <c r="C20" s="15">
        <v>11</v>
      </c>
      <c r="D20" s="17">
        <v>998719</v>
      </c>
      <c r="E20" s="15">
        <v>2200</v>
      </c>
      <c r="F20" s="18">
        <f t="shared" si="0"/>
        <v>2178</v>
      </c>
      <c r="G20" s="18">
        <f t="shared" si="1"/>
        <v>2178</v>
      </c>
      <c r="H20" s="19">
        <f t="shared" si="2"/>
        <v>28556</v>
      </c>
      <c r="I20" s="362">
        <f t="shared" si="3"/>
        <v>24200</v>
      </c>
    </row>
    <row r="21" spans="1:9" ht="26.4" x14ac:dyDescent="0.3">
      <c r="A21" s="15">
        <v>12</v>
      </c>
      <c r="B21" s="16" t="s">
        <v>37</v>
      </c>
      <c r="C21" s="15">
        <v>1</v>
      </c>
      <c r="D21" s="17">
        <v>998719</v>
      </c>
      <c r="E21" s="15">
        <v>4000</v>
      </c>
      <c r="F21" s="15">
        <f t="shared" si="0"/>
        <v>360</v>
      </c>
      <c r="G21" s="15">
        <f t="shared" si="1"/>
        <v>360</v>
      </c>
      <c r="H21" s="15">
        <f t="shared" si="2"/>
        <v>4720</v>
      </c>
      <c r="I21" s="362">
        <f t="shared" si="3"/>
        <v>4000</v>
      </c>
    </row>
    <row r="22" spans="1:9" x14ac:dyDescent="0.3">
      <c r="A22" s="15">
        <v>13</v>
      </c>
      <c r="B22" s="16" t="s">
        <v>38</v>
      </c>
      <c r="C22" s="15">
        <v>11</v>
      </c>
      <c r="D22" s="17">
        <v>998719</v>
      </c>
      <c r="E22" s="15">
        <v>1500</v>
      </c>
      <c r="F22" s="15">
        <f t="shared" si="0"/>
        <v>1485</v>
      </c>
      <c r="G22" s="15">
        <f t="shared" si="1"/>
        <v>1485</v>
      </c>
      <c r="H22" s="15">
        <f t="shared" si="2"/>
        <v>19470</v>
      </c>
      <c r="I22" s="362">
        <f t="shared" si="3"/>
        <v>16500</v>
      </c>
    </row>
    <row r="23" spans="1:9" ht="15.75" customHeight="1" x14ac:dyDescent="0.3">
      <c r="A23" s="15">
        <v>14</v>
      </c>
      <c r="B23" s="23" t="s">
        <v>39</v>
      </c>
      <c r="C23" s="15">
        <v>3</v>
      </c>
      <c r="D23" s="17">
        <v>998719</v>
      </c>
      <c r="E23" s="15">
        <v>2200</v>
      </c>
      <c r="F23" s="15">
        <f t="shared" si="0"/>
        <v>594</v>
      </c>
      <c r="G23" s="15">
        <f t="shared" si="1"/>
        <v>594</v>
      </c>
      <c r="H23" s="15">
        <f t="shared" si="2"/>
        <v>7788</v>
      </c>
      <c r="I23" s="362">
        <f t="shared" si="3"/>
        <v>6600</v>
      </c>
    </row>
    <row r="24" spans="1:9" ht="14.25" customHeight="1" x14ac:dyDescent="0.3">
      <c r="A24" s="15">
        <v>15</v>
      </c>
      <c r="B24" s="23" t="s">
        <v>40</v>
      </c>
      <c r="C24" s="15">
        <v>1</v>
      </c>
      <c r="D24" s="17">
        <v>998719</v>
      </c>
      <c r="E24" s="15">
        <v>4000</v>
      </c>
      <c r="F24" s="15">
        <f t="shared" si="0"/>
        <v>360</v>
      </c>
      <c r="G24" s="15">
        <f t="shared" si="1"/>
        <v>360</v>
      </c>
      <c r="H24" s="15">
        <f t="shared" si="2"/>
        <v>4720</v>
      </c>
      <c r="I24" s="362">
        <f t="shared" si="3"/>
        <v>4000</v>
      </c>
    </row>
    <row r="25" spans="1:9" ht="26.4" x14ac:dyDescent="0.3">
      <c r="A25" s="15">
        <v>16</v>
      </c>
      <c r="B25" s="16" t="s">
        <v>41</v>
      </c>
      <c r="C25" s="15">
        <v>6</v>
      </c>
      <c r="D25" s="17">
        <v>998719</v>
      </c>
      <c r="E25" s="15">
        <v>2200</v>
      </c>
      <c r="F25" s="15">
        <f t="shared" si="0"/>
        <v>1188</v>
      </c>
      <c r="G25" s="15">
        <f t="shared" si="1"/>
        <v>1188</v>
      </c>
      <c r="H25" s="15">
        <f t="shared" si="2"/>
        <v>15576</v>
      </c>
      <c r="I25" s="362">
        <f t="shared" si="3"/>
        <v>13200</v>
      </c>
    </row>
    <row r="26" spans="1:9" ht="23.25" customHeight="1" x14ac:dyDescent="0.3">
      <c r="A26" s="15">
        <v>17</v>
      </c>
      <c r="B26" s="16" t="s">
        <v>42</v>
      </c>
      <c r="C26" s="15">
        <v>1</v>
      </c>
      <c r="D26" s="17">
        <v>998719</v>
      </c>
      <c r="E26" s="15">
        <v>4000</v>
      </c>
      <c r="F26" s="15">
        <f t="shared" si="0"/>
        <v>360</v>
      </c>
      <c r="G26" s="15">
        <f t="shared" si="1"/>
        <v>360</v>
      </c>
      <c r="H26" s="15">
        <f t="shared" si="2"/>
        <v>4720</v>
      </c>
      <c r="I26" s="362">
        <f t="shared" si="3"/>
        <v>4000</v>
      </c>
    </row>
    <row r="27" spans="1:9" ht="24.75" customHeight="1" x14ac:dyDescent="0.3">
      <c r="A27" s="15">
        <v>18</v>
      </c>
      <c r="B27" s="16" t="s">
        <v>43</v>
      </c>
      <c r="C27" s="15">
        <v>9</v>
      </c>
      <c r="D27" s="17">
        <v>998719</v>
      </c>
      <c r="E27" s="15">
        <v>2200</v>
      </c>
      <c r="F27" s="15">
        <f t="shared" si="0"/>
        <v>1782</v>
      </c>
      <c r="G27" s="15">
        <f t="shared" si="1"/>
        <v>1782</v>
      </c>
      <c r="H27" s="15">
        <f t="shared" si="2"/>
        <v>23364</v>
      </c>
      <c r="I27" s="362">
        <f t="shared" si="3"/>
        <v>19800</v>
      </c>
    </row>
    <row r="28" spans="1:9" ht="23.25" customHeight="1" x14ac:dyDescent="0.3">
      <c r="A28" s="15">
        <v>19</v>
      </c>
      <c r="B28" s="16" t="s">
        <v>44</v>
      </c>
      <c r="C28" s="15">
        <v>1</v>
      </c>
      <c r="D28" s="17">
        <v>998719</v>
      </c>
      <c r="E28" s="15">
        <v>4000</v>
      </c>
      <c r="F28" s="15">
        <f t="shared" si="0"/>
        <v>360</v>
      </c>
      <c r="G28" s="15">
        <f t="shared" si="1"/>
        <v>360</v>
      </c>
      <c r="H28" s="15">
        <f t="shared" si="2"/>
        <v>4720</v>
      </c>
      <c r="I28" s="362">
        <f t="shared" si="3"/>
        <v>4000</v>
      </c>
    </row>
    <row r="29" spans="1:9" ht="15.6" x14ac:dyDescent="0.3">
      <c r="A29" s="448" t="s">
        <v>45</v>
      </c>
      <c r="B29" s="449"/>
      <c r="C29" s="24"/>
      <c r="D29" s="25"/>
      <c r="E29" s="25"/>
      <c r="F29" s="447" t="s">
        <v>46</v>
      </c>
      <c r="G29" s="447"/>
      <c r="H29" s="42">
        <v>200500</v>
      </c>
    </row>
    <row r="30" spans="1:9" ht="15.6" x14ac:dyDescent="0.3">
      <c r="A30" s="497" t="s">
        <v>90</v>
      </c>
      <c r="B30" s="498"/>
      <c r="C30" s="498"/>
      <c r="D30" s="498"/>
      <c r="E30" s="498"/>
      <c r="F30" s="447" t="s">
        <v>47</v>
      </c>
      <c r="G30" s="447"/>
      <c r="H30" s="42">
        <f>H29*9%</f>
        <v>18045</v>
      </c>
    </row>
    <row r="31" spans="1:9" ht="15.6" x14ac:dyDescent="0.3">
      <c r="A31" s="27"/>
      <c r="B31" s="28"/>
      <c r="C31" s="24"/>
      <c r="D31" s="25"/>
      <c r="E31" s="25"/>
      <c r="F31" s="447" t="s">
        <v>48</v>
      </c>
      <c r="G31" s="447"/>
      <c r="H31" s="42">
        <f>H30</f>
        <v>18045</v>
      </c>
    </row>
    <row r="32" spans="1:9" ht="15.6" x14ac:dyDescent="0.3">
      <c r="A32" s="448" t="s">
        <v>49</v>
      </c>
      <c r="B32" s="449"/>
      <c r="C32" s="24"/>
      <c r="D32" s="25"/>
      <c r="E32" s="25"/>
      <c r="F32" s="447" t="s">
        <v>50</v>
      </c>
      <c r="G32" s="447"/>
      <c r="H32" s="42">
        <f>H29+H30+H31</f>
        <v>236590</v>
      </c>
    </row>
    <row r="33" spans="1:8" ht="27" x14ac:dyDescent="0.3">
      <c r="A33" s="29" t="s">
        <v>22</v>
      </c>
      <c r="B33" s="30" t="s">
        <v>51</v>
      </c>
      <c r="C33" s="31" t="s">
        <v>24</v>
      </c>
      <c r="D33" s="31" t="s">
        <v>25</v>
      </c>
      <c r="E33" s="528" t="s">
        <v>52</v>
      </c>
      <c r="F33" s="528"/>
      <c r="G33" s="28"/>
      <c r="H33" s="32"/>
    </row>
    <row r="34" spans="1:8" x14ac:dyDescent="0.3">
      <c r="A34" s="33">
        <v>0.18</v>
      </c>
      <c r="B34" s="34">
        <f>H29</f>
        <v>200500</v>
      </c>
      <c r="C34" s="35">
        <f>H30</f>
        <v>18045</v>
      </c>
      <c r="D34" s="35">
        <f>H31</f>
        <v>18045</v>
      </c>
      <c r="E34" s="529">
        <f>C34+D34</f>
        <v>36090</v>
      </c>
      <c r="F34" s="530"/>
      <c r="G34" s="28"/>
      <c r="H34" s="32"/>
    </row>
    <row r="35" spans="1:8" x14ac:dyDescent="0.3">
      <c r="A35" s="452" t="s">
        <v>91</v>
      </c>
      <c r="B35" s="453"/>
      <c r="C35" s="453"/>
      <c r="D35" s="453"/>
      <c r="E35" s="453"/>
      <c r="F35" s="453"/>
      <c r="G35" s="453"/>
      <c r="H35" s="454"/>
    </row>
    <row r="36" spans="1:8" ht="15.6" x14ac:dyDescent="0.3">
      <c r="A36" s="455" t="s">
        <v>53</v>
      </c>
      <c r="B36" s="456"/>
      <c r="C36" s="456"/>
      <c r="D36" s="457"/>
      <c r="E36" s="458" t="s">
        <v>54</v>
      </c>
      <c r="F36" s="459"/>
      <c r="G36" s="459"/>
      <c r="H36" s="460"/>
    </row>
    <row r="37" spans="1:8" x14ac:dyDescent="0.3">
      <c r="A37" s="461" t="s">
        <v>55</v>
      </c>
      <c r="B37" s="462"/>
      <c r="C37" s="462"/>
      <c r="D37" s="463"/>
      <c r="E37" s="39"/>
      <c r="F37" s="25"/>
      <c r="G37" s="28"/>
      <c r="H37" s="32"/>
    </row>
    <row r="38" spans="1:8" x14ac:dyDescent="0.3">
      <c r="A38" s="461" t="s">
        <v>56</v>
      </c>
      <c r="B38" s="462"/>
      <c r="C38" s="462"/>
      <c r="D38" s="463"/>
      <c r="E38" s="39"/>
      <c r="F38" s="25"/>
      <c r="G38" s="28"/>
      <c r="H38" s="32"/>
    </row>
    <row r="39" spans="1:8" x14ac:dyDescent="0.3">
      <c r="A39" s="461" t="s">
        <v>57</v>
      </c>
      <c r="B39" s="462"/>
      <c r="C39" s="462"/>
      <c r="D39" s="463"/>
      <c r="E39" s="25"/>
      <c r="F39" s="25"/>
      <c r="G39" s="28"/>
      <c r="H39" s="32"/>
    </row>
    <row r="40" spans="1:8" ht="15.6" x14ac:dyDescent="0.3">
      <c r="A40" s="464" t="s">
        <v>58</v>
      </c>
      <c r="B40" s="465"/>
      <c r="C40" s="465"/>
      <c r="D40" s="510"/>
      <c r="E40" s="466" t="s">
        <v>59</v>
      </c>
      <c r="F40" s="467"/>
      <c r="G40" s="467"/>
      <c r="H40" s="468"/>
    </row>
    <row r="41" spans="1:8" ht="15.6" x14ac:dyDescent="0.3">
      <c r="A41" s="104"/>
      <c r="B41" s="104"/>
      <c r="C41" s="104"/>
      <c r="D41" s="104"/>
      <c r="E41" s="105"/>
      <c r="F41" s="105"/>
      <c r="G41" s="105"/>
      <c r="H41" s="105"/>
    </row>
    <row r="42" spans="1:8" ht="44.4" x14ac:dyDescent="0.7">
      <c r="A42" s="469" t="s">
        <v>0</v>
      </c>
      <c r="B42" s="470"/>
      <c r="C42" s="470"/>
      <c r="D42" s="470"/>
      <c r="E42" s="471" t="s">
        <v>1</v>
      </c>
      <c r="F42" s="472"/>
      <c r="G42" s="472"/>
      <c r="H42" s="473"/>
    </row>
    <row r="43" spans="1:8" ht="20.399999999999999" x14ac:dyDescent="0.35">
      <c r="A43" s="1"/>
      <c r="B43" s="476" t="s">
        <v>2</v>
      </c>
      <c r="C43" s="476"/>
      <c r="D43" s="476"/>
      <c r="E43" s="474"/>
      <c r="F43" s="474"/>
      <c r="G43" s="474"/>
      <c r="H43" s="475"/>
    </row>
    <row r="44" spans="1:8" x14ac:dyDescent="0.3">
      <c r="A44" s="477" t="s">
        <v>3</v>
      </c>
      <c r="B44" s="478"/>
      <c r="C44" s="479" t="s">
        <v>4</v>
      </c>
      <c r="D44" s="479"/>
      <c r="E44" s="480" t="s">
        <v>5</v>
      </c>
      <c r="F44" s="480"/>
      <c r="G44" s="480"/>
      <c r="H44" s="480"/>
    </row>
    <row r="45" spans="1:8" ht="15.6" x14ac:dyDescent="0.3">
      <c r="A45" s="43" t="s">
        <v>60</v>
      </c>
      <c r="C45" s="481" t="s">
        <v>7</v>
      </c>
      <c r="D45" s="481"/>
      <c r="E45" s="482">
        <v>2</v>
      </c>
      <c r="F45" s="482"/>
      <c r="G45" s="44" t="s">
        <v>8</v>
      </c>
      <c r="H45" s="8">
        <v>45873</v>
      </c>
    </row>
    <row r="46" spans="1:8" ht="15.6" x14ac:dyDescent="0.3">
      <c r="A46" s="45" t="s">
        <v>61</v>
      </c>
      <c r="B46" s="46"/>
      <c r="C46" s="481" t="s">
        <v>10</v>
      </c>
      <c r="D46" s="481"/>
      <c r="E46" s="489"/>
      <c r="F46" s="491"/>
      <c r="G46" s="44" t="s">
        <v>8</v>
      </c>
      <c r="H46" s="47"/>
    </row>
    <row r="47" spans="1:8" ht="15.6" x14ac:dyDescent="0.3">
      <c r="A47" s="45" t="s">
        <v>62</v>
      </c>
      <c r="B47" s="46"/>
      <c r="C47" s="519" t="s">
        <v>12</v>
      </c>
      <c r="D47" s="519"/>
      <c r="E47" s="489"/>
      <c r="F47" s="491"/>
      <c r="G47" s="48" t="s">
        <v>8</v>
      </c>
      <c r="H47" s="8"/>
    </row>
    <row r="48" spans="1:8" ht="15.6" x14ac:dyDescent="0.3">
      <c r="A48" s="691" t="s">
        <v>63</v>
      </c>
      <c r="B48" s="692"/>
      <c r="C48" s="481" t="s">
        <v>15</v>
      </c>
      <c r="D48" s="481"/>
      <c r="E48" s="631" t="s">
        <v>64</v>
      </c>
      <c r="F48" s="632"/>
      <c r="G48" s="633"/>
      <c r="H48" s="49"/>
    </row>
    <row r="49" spans="1:8" ht="15.6" x14ac:dyDescent="0.3">
      <c r="A49" s="693" t="s">
        <v>65</v>
      </c>
      <c r="B49" s="694"/>
      <c r="C49" s="24"/>
      <c r="D49" s="25"/>
      <c r="E49" s="50"/>
      <c r="F49" s="51"/>
      <c r="G49" s="51"/>
      <c r="H49" s="52"/>
    </row>
    <row r="50" spans="1:8" ht="15" x14ac:dyDescent="0.3">
      <c r="A50" s="527" t="s">
        <v>17</v>
      </c>
      <c r="B50" s="505" t="s">
        <v>18</v>
      </c>
      <c r="C50" s="494" t="s">
        <v>19</v>
      </c>
      <c r="D50" s="494" t="s">
        <v>20</v>
      </c>
      <c r="E50" s="494" t="s">
        <v>21</v>
      </c>
      <c r="F50" s="494" t="s">
        <v>22</v>
      </c>
      <c r="G50" s="494"/>
      <c r="H50" s="493" t="s">
        <v>23</v>
      </c>
    </row>
    <row r="51" spans="1:8" ht="27.6" x14ac:dyDescent="0.3">
      <c r="A51" s="492"/>
      <c r="B51" s="494"/>
      <c r="C51" s="494"/>
      <c r="D51" s="494"/>
      <c r="E51" s="494"/>
      <c r="F51" s="53" t="s">
        <v>24</v>
      </c>
      <c r="G51" s="53" t="s">
        <v>25</v>
      </c>
      <c r="H51" s="527"/>
    </row>
    <row r="52" spans="1:8" x14ac:dyDescent="0.3">
      <c r="A52" s="54">
        <v>1</v>
      </c>
      <c r="B52" t="s">
        <v>66</v>
      </c>
      <c r="C52" s="55">
        <v>1</v>
      </c>
      <c r="D52" s="56">
        <v>998719</v>
      </c>
      <c r="E52" s="57">
        <v>2500</v>
      </c>
      <c r="F52" s="58">
        <f>C52*E52*9%</f>
        <v>225</v>
      </c>
      <c r="G52" s="58">
        <f>C52*E52*9%</f>
        <v>225</v>
      </c>
      <c r="H52" s="59">
        <f>C52*E52+F52+G52</f>
        <v>2950</v>
      </c>
    </row>
    <row r="53" spans="1:8" x14ac:dyDescent="0.3">
      <c r="A53" s="54"/>
      <c r="B53" s="60"/>
      <c r="C53" s="54"/>
      <c r="D53" s="61"/>
      <c r="E53" s="54"/>
      <c r="F53" s="58"/>
      <c r="G53" s="58"/>
      <c r="H53" s="62"/>
    </row>
    <row r="54" spans="1:8" x14ac:dyDescent="0.3">
      <c r="A54" s="55"/>
      <c r="B54" s="63"/>
      <c r="C54" s="55"/>
      <c r="D54" s="61"/>
      <c r="E54" s="55"/>
      <c r="F54" s="58"/>
      <c r="G54" s="58"/>
      <c r="H54" s="62"/>
    </row>
    <row r="55" spans="1:8" x14ac:dyDescent="0.3">
      <c r="A55" s="27"/>
      <c r="B55" s="28"/>
      <c r="C55" s="24"/>
      <c r="D55" s="25"/>
      <c r="E55" s="25"/>
      <c r="F55" s="28"/>
      <c r="G55" s="28"/>
      <c r="H55" s="32"/>
    </row>
    <row r="56" spans="1:8" x14ac:dyDescent="0.3">
      <c r="A56" s="27"/>
      <c r="B56" s="28"/>
      <c r="C56" s="24"/>
      <c r="D56" s="25"/>
      <c r="E56" s="25"/>
      <c r="F56" s="28"/>
      <c r="G56" s="28"/>
      <c r="H56" s="32"/>
    </row>
    <row r="57" spans="1:8" x14ac:dyDescent="0.3">
      <c r="A57" s="27"/>
      <c r="B57" s="28"/>
      <c r="C57" s="24"/>
      <c r="D57" s="25"/>
      <c r="E57" s="25"/>
      <c r="F57" s="28"/>
      <c r="G57" s="28"/>
      <c r="H57" s="32"/>
    </row>
    <row r="58" spans="1:8" x14ac:dyDescent="0.3">
      <c r="A58" s="27"/>
      <c r="B58" s="28"/>
      <c r="C58" s="24"/>
      <c r="D58" s="25"/>
      <c r="E58" s="25"/>
      <c r="F58" s="28"/>
      <c r="G58" s="28"/>
      <c r="H58" s="32"/>
    </row>
    <row r="59" spans="1:8" x14ac:dyDescent="0.3">
      <c r="A59" s="27"/>
      <c r="B59" s="28"/>
      <c r="C59" s="24"/>
      <c r="D59" s="25"/>
      <c r="E59" s="25"/>
      <c r="F59" s="28"/>
      <c r="G59" s="28"/>
      <c r="H59" s="32"/>
    </row>
    <row r="60" spans="1:8" x14ac:dyDescent="0.3">
      <c r="A60" s="27"/>
      <c r="B60" s="28"/>
      <c r="C60" s="24"/>
      <c r="D60" s="25"/>
      <c r="E60" s="25"/>
      <c r="F60" s="28"/>
      <c r="G60" s="28"/>
      <c r="H60" s="32"/>
    </row>
    <row r="61" spans="1:8" x14ac:dyDescent="0.3">
      <c r="A61" s="27"/>
      <c r="B61" s="28"/>
      <c r="C61" s="24"/>
      <c r="D61" s="25"/>
      <c r="E61" s="25"/>
      <c r="F61" s="28"/>
      <c r="G61" s="28"/>
      <c r="H61" s="32"/>
    </row>
    <row r="62" spans="1:8" x14ac:dyDescent="0.3">
      <c r="A62" s="27"/>
      <c r="B62" s="28"/>
      <c r="C62" s="24"/>
      <c r="D62" s="25"/>
      <c r="E62" s="25"/>
      <c r="F62" s="28"/>
      <c r="G62" s="28"/>
      <c r="H62" s="32"/>
    </row>
    <row r="63" spans="1:8" x14ac:dyDescent="0.3">
      <c r="A63" s="27"/>
      <c r="B63" s="28"/>
      <c r="C63" s="24"/>
      <c r="D63" s="25"/>
      <c r="E63" s="25"/>
      <c r="F63" s="28"/>
      <c r="G63" s="28"/>
      <c r="H63" s="32"/>
    </row>
    <row r="64" spans="1:8" x14ac:dyDescent="0.3">
      <c r="A64" s="27"/>
      <c r="B64" s="28"/>
      <c r="C64" s="24"/>
      <c r="D64" s="25"/>
      <c r="E64" s="25"/>
      <c r="F64" s="28"/>
      <c r="G64" s="28"/>
      <c r="H64" s="32"/>
    </row>
    <row r="65" spans="1:8" x14ac:dyDescent="0.3">
      <c r="A65" s="27"/>
      <c r="B65" s="28"/>
      <c r="C65" s="24"/>
      <c r="D65" s="25"/>
      <c r="E65" s="25"/>
      <c r="F65" s="28"/>
      <c r="G65" s="28"/>
      <c r="H65" s="32"/>
    </row>
    <row r="66" spans="1:8" x14ac:dyDescent="0.3">
      <c r="A66" s="27"/>
      <c r="B66" s="28"/>
      <c r="C66" s="24"/>
      <c r="D66" s="25"/>
      <c r="E66" s="25"/>
      <c r="F66" s="28"/>
      <c r="G66" s="28"/>
      <c r="H66" s="32"/>
    </row>
    <row r="67" spans="1:8" x14ac:dyDescent="0.3">
      <c r="A67" s="27"/>
      <c r="B67" s="28"/>
      <c r="C67" s="24"/>
      <c r="D67" s="25"/>
      <c r="E67" s="25"/>
      <c r="F67" s="28"/>
      <c r="G67" s="28"/>
      <c r="H67" s="32"/>
    </row>
    <row r="68" spans="1:8" x14ac:dyDescent="0.3">
      <c r="A68" s="27"/>
      <c r="B68" s="28"/>
      <c r="C68" s="24"/>
      <c r="D68" s="25"/>
      <c r="E68" s="25"/>
      <c r="F68" s="28"/>
      <c r="G68" s="28"/>
      <c r="H68" s="32"/>
    </row>
    <row r="69" spans="1:8" x14ac:dyDescent="0.3">
      <c r="A69" s="27"/>
      <c r="B69" s="28"/>
      <c r="C69" s="24"/>
      <c r="D69" s="25"/>
      <c r="E69" s="25"/>
      <c r="F69" s="28"/>
      <c r="G69" s="28"/>
      <c r="H69" s="32"/>
    </row>
    <row r="70" spans="1:8" x14ac:dyDescent="0.3">
      <c r="A70" s="27"/>
      <c r="B70" s="28"/>
      <c r="C70" s="24"/>
      <c r="D70" s="25"/>
      <c r="E70" s="25"/>
      <c r="F70" s="28"/>
      <c r="G70" s="28"/>
      <c r="H70" s="32"/>
    </row>
    <row r="71" spans="1:8" ht="15.6" x14ac:dyDescent="0.3">
      <c r="A71" s="64" t="s">
        <v>45</v>
      </c>
      <c r="B71" s="65"/>
      <c r="C71" s="24"/>
      <c r="D71" s="25"/>
      <c r="E71" s="25"/>
      <c r="F71" s="26" t="s">
        <v>46</v>
      </c>
      <c r="G71" s="26"/>
      <c r="H71" s="66">
        <f>(C52*E52)+(C53*E53)+(C54*E54)+(C55*E55)</f>
        <v>2500</v>
      </c>
    </row>
    <row r="72" spans="1:8" ht="15.6" x14ac:dyDescent="0.3">
      <c r="A72" s="448" t="s">
        <v>67</v>
      </c>
      <c r="B72" s="449"/>
      <c r="C72" s="449"/>
      <c r="D72" s="67"/>
      <c r="E72" s="67"/>
      <c r="F72" s="26" t="s">
        <v>47</v>
      </c>
      <c r="G72" s="26"/>
      <c r="H72" s="66">
        <f>H71*9%</f>
        <v>225</v>
      </c>
    </row>
    <row r="73" spans="1:8" ht="15.6" x14ac:dyDescent="0.3">
      <c r="A73" s="27"/>
      <c r="B73" s="28"/>
      <c r="C73" s="24"/>
      <c r="D73" s="25"/>
      <c r="E73" s="25"/>
      <c r="F73" s="26" t="s">
        <v>48</v>
      </c>
      <c r="G73" s="26"/>
      <c r="H73" s="66">
        <f>H71*9%</f>
        <v>225</v>
      </c>
    </row>
    <row r="74" spans="1:8" ht="15.6" x14ac:dyDescent="0.3">
      <c r="A74" s="448" t="s">
        <v>49</v>
      </c>
      <c r="B74" s="449"/>
      <c r="C74" s="24"/>
      <c r="D74" s="25"/>
      <c r="E74" s="25"/>
      <c r="F74" s="26" t="s">
        <v>50</v>
      </c>
      <c r="G74" s="26"/>
      <c r="H74" s="66">
        <f>SUM(H71:H73)</f>
        <v>2950</v>
      </c>
    </row>
    <row r="75" spans="1:8" ht="27" x14ac:dyDescent="0.3">
      <c r="A75" s="68" t="s">
        <v>22</v>
      </c>
      <c r="B75" s="69" t="s">
        <v>51</v>
      </c>
      <c r="C75" s="70" t="s">
        <v>24</v>
      </c>
      <c r="D75" s="31" t="s">
        <v>25</v>
      </c>
      <c r="E75" s="71" t="s">
        <v>52</v>
      </c>
      <c r="F75" s="71"/>
      <c r="G75" s="28"/>
      <c r="H75" s="32"/>
    </row>
    <row r="76" spans="1:8" x14ac:dyDescent="0.3">
      <c r="A76" s="72">
        <v>0.18</v>
      </c>
      <c r="B76" s="73">
        <f>H71</f>
        <v>2500</v>
      </c>
      <c r="C76" s="74">
        <f>H72</f>
        <v>225</v>
      </c>
      <c r="D76" s="74">
        <f>H73</f>
        <v>225</v>
      </c>
      <c r="E76" s="74">
        <f>C76+D76</f>
        <v>450</v>
      </c>
      <c r="F76" s="74"/>
      <c r="G76" s="74"/>
      <c r="H76" s="75"/>
    </row>
    <row r="77" spans="1:8" x14ac:dyDescent="0.3">
      <c r="A77" s="76" t="s">
        <v>68</v>
      </c>
      <c r="B77" s="77"/>
      <c r="C77" s="77"/>
      <c r="D77" s="77"/>
      <c r="E77" s="78"/>
      <c r="F77" s="36"/>
      <c r="G77" s="36"/>
      <c r="H77" s="79"/>
    </row>
    <row r="78" spans="1:8" ht="15.6" x14ac:dyDescent="0.3">
      <c r="A78" s="455" t="s">
        <v>53</v>
      </c>
      <c r="B78" s="456"/>
      <c r="C78" s="456"/>
      <c r="D78" s="457"/>
      <c r="E78" s="80" t="s">
        <v>69</v>
      </c>
      <c r="F78" s="37"/>
      <c r="G78" s="37"/>
      <c r="H78" s="38"/>
    </row>
    <row r="79" spans="1:8" x14ac:dyDescent="0.3">
      <c r="A79" s="461" t="s">
        <v>55</v>
      </c>
      <c r="B79" s="462"/>
      <c r="C79" s="462"/>
      <c r="D79" s="463"/>
      <c r="E79" s="39"/>
      <c r="F79" s="663"/>
      <c r="G79" s="663"/>
      <c r="H79" s="32"/>
    </row>
    <row r="80" spans="1:8" x14ac:dyDescent="0.3">
      <c r="A80" s="461" t="s">
        <v>56</v>
      </c>
      <c r="B80" s="462"/>
      <c r="C80" s="462"/>
      <c r="D80" s="463"/>
      <c r="E80" s="39"/>
      <c r="F80" s="663"/>
      <c r="G80" s="663"/>
      <c r="H80" s="32"/>
    </row>
    <row r="81" spans="1:8" x14ac:dyDescent="0.3">
      <c r="A81" s="461" t="s">
        <v>57</v>
      </c>
      <c r="B81" s="462"/>
      <c r="C81" s="462"/>
      <c r="D81" s="463"/>
      <c r="E81" s="39"/>
      <c r="F81" s="663"/>
      <c r="G81" s="663"/>
      <c r="H81" s="32"/>
    </row>
    <row r="82" spans="1:8" ht="15.6" x14ac:dyDescent="0.3">
      <c r="A82" s="464" t="s">
        <v>58</v>
      </c>
      <c r="B82" s="465"/>
      <c r="C82" s="465"/>
      <c r="D82" s="510"/>
      <c r="E82" s="81" t="s">
        <v>70</v>
      </c>
      <c r="F82" s="40"/>
      <c r="G82" s="40"/>
      <c r="H82" s="41"/>
    </row>
    <row r="83" spans="1:8" ht="15.6" x14ac:dyDescent="0.3">
      <c r="A83" s="104"/>
      <c r="B83" s="104"/>
      <c r="C83" s="104"/>
      <c r="D83" s="104"/>
      <c r="E83" s="119"/>
      <c r="F83" s="105"/>
      <c r="G83" s="105"/>
      <c r="H83" s="105"/>
    </row>
    <row r="84" spans="1:8" ht="15.6" x14ac:dyDescent="0.3">
      <c r="A84" s="104"/>
      <c r="B84" s="104"/>
      <c r="C84" s="104"/>
      <c r="D84" s="104"/>
      <c r="E84" s="119"/>
      <c r="F84" s="105"/>
      <c r="G84" s="105"/>
      <c r="H84" s="105"/>
    </row>
    <row r="87" spans="1:8" ht="44.4" x14ac:dyDescent="0.7">
      <c r="A87" s="469" t="s">
        <v>0</v>
      </c>
      <c r="B87" s="470"/>
      <c r="C87" s="470"/>
      <c r="D87" s="470"/>
      <c r="E87" s="471" t="s">
        <v>1</v>
      </c>
      <c r="F87" s="472"/>
      <c r="G87" s="472"/>
      <c r="H87" s="473"/>
    </row>
    <row r="88" spans="1:8" ht="20.399999999999999" x14ac:dyDescent="0.35">
      <c r="A88" s="1"/>
      <c r="B88" s="476" t="s">
        <v>2</v>
      </c>
      <c r="C88" s="476"/>
      <c r="D88" s="476"/>
      <c r="E88" s="474"/>
      <c r="F88" s="474"/>
      <c r="G88" s="474"/>
      <c r="H88" s="475"/>
    </row>
    <row r="89" spans="1:8" x14ac:dyDescent="0.3">
      <c r="A89" s="477" t="s">
        <v>3</v>
      </c>
      <c r="B89" s="478"/>
      <c r="C89" s="479" t="s">
        <v>4</v>
      </c>
      <c r="D89" s="479"/>
      <c r="E89" s="480" t="s">
        <v>5</v>
      </c>
      <c r="F89" s="480"/>
      <c r="G89" s="480"/>
      <c r="H89" s="480"/>
    </row>
    <row r="90" spans="1:8" ht="15.6" x14ac:dyDescent="0.3">
      <c r="A90" s="4" t="s">
        <v>6</v>
      </c>
      <c r="B90" s="5"/>
      <c r="C90" s="481" t="s">
        <v>7</v>
      </c>
      <c r="D90" s="481"/>
      <c r="E90" s="482">
        <v>3</v>
      </c>
      <c r="F90" s="482"/>
      <c r="G90" s="7" t="s">
        <v>8</v>
      </c>
      <c r="H90" s="8">
        <v>45873</v>
      </c>
    </row>
    <row r="91" spans="1:8" ht="15.6" x14ac:dyDescent="0.3">
      <c r="A91" s="551" t="s">
        <v>71</v>
      </c>
      <c r="B91" s="552"/>
      <c r="C91" s="481" t="s">
        <v>10</v>
      </c>
      <c r="D91" s="481"/>
      <c r="E91" s="482"/>
      <c r="F91" s="482"/>
      <c r="G91" s="7" t="s">
        <v>8</v>
      </c>
      <c r="H91" s="9"/>
    </row>
    <row r="92" spans="1:8" ht="15" x14ac:dyDescent="0.3">
      <c r="A92" s="517" t="s">
        <v>72</v>
      </c>
      <c r="B92" s="553"/>
      <c r="C92" s="483" t="s">
        <v>12</v>
      </c>
      <c r="D92" s="484"/>
      <c r="E92" s="584"/>
      <c r="F92" s="585"/>
      <c r="G92" s="10" t="s">
        <v>8</v>
      </c>
      <c r="H92" s="82"/>
    </row>
    <row r="93" spans="1:8" ht="15.6" x14ac:dyDescent="0.3">
      <c r="A93" s="556" t="s">
        <v>73</v>
      </c>
      <c r="B93" s="557"/>
      <c r="C93" s="481" t="s">
        <v>15</v>
      </c>
      <c r="D93" s="481"/>
      <c r="E93" s="673" t="s">
        <v>74</v>
      </c>
      <c r="F93" s="674"/>
      <c r="G93" s="674"/>
      <c r="H93" s="675"/>
    </row>
    <row r="94" spans="1:8" ht="15.6" x14ac:dyDescent="0.3">
      <c r="A94" s="558" t="s">
        <v>75</v>
      </c>
      <c r="B94" s="559"/>
      <c r="C94" s="489"/>
      <c r="D94" s="490"/>
      <c r="E94" s="490"/>
      <c r="F94" s="490"/>
      <c r="G94" s="490"/>
      <c r="H94" s="491"/>
    </row>
    <row r="95" spans="1:8" ht="15" x14ac:dyDescent="0.3">
      <c r="A95" s="492" t="s">
        <v>17</v>
      </c>
      <c r="B95" s="494" t="s">
        <v>18</v>
      </c>
      <c r="C95" s="494" t="s">
        <v>19</v>
      </c>
      <c r="D95" s="494" t="s">
        <v>20</v>
      </c>
      <c r="E95" s="494" t="s">
        <v>21</v>
      </c>
      <c r="F95" s="494" t="s">
        <v>22</v>
      </c>
      <c r="G95" s="494"/>
      <c r="H95" s="492" t="s">
        <v>23</v>
      </c>
    </row>
    <row r="96" spans="1:8" ht="27.6" x14ac:dyDescent="0.3">
      <c r="A96" s="492"/>
      <c r="B96" s="494"/>
      <c r="C96" s="494"/>
      <c r="D96" s="494"/>
      <c r="E96" s="494"/>
      <c r="F96" s="53" t="s">
        <v>24</v>
      </c>
      <c r="G96" s="53" t="s">
        <v>25</v>
      </c>
      <c r="H96" s="492"/>
    </row>
    <row r="97" spans="1:8" x14ac:dyDescent="0.3">
      <c r="A97" s="57">
        <v>1</v>
      </c>
      <c r="B97" s="60" t="s">
        <v>76</v>
      </c>
      <c r="C97" s="83">
        <v>1</v>
      </c>
      <c r="D97" s="83">
        <v>85364900</v>
      </c>
      <c r="E97" s="57">
        <v>16340</v>
      </c>
      <c r="F97" s="57">
        <f>E97*C97*9%</f>
        <v>1470.6</v>
      </c>
      <c r="G97" s="57">
        <f>F97</f>
        <v>1470.6</v>
      </c>
      <c r="H97" s="57">
        <f>G97+F97+E97*C97</f>
        <v>19281.2</v>
      </c>
    </row>
    <row r="98" spans="1:8" x14ac:dyDescent="0.3">
      <c r="A98" s="57">
        <v>2</v>
      </c>
      <c r="B98" s="60" t="s">
        <v>77</v>
      </c>
      <c r="C98" s="83">
        <v>1</v>
      </c>
      <c r="D98" s="83">
        <v>998719</v>
      </c>
      <c r="E98" s="57">
        <v>1200</v>
      </c>
      <c r="F98" s="57">
        <f>E98*C98*9%</f>
        <v>108</v>
      </c>
      <c r="G98" s="57">
        <f>F98</f>
        <v>108</v>
      </c>
      <c r="H98" s="57">
        <f>G98+F98+E98*C98</f>
        <v>1416</v>
      </c>
    </row>
    <row r="99" spans="1:8" x14ac:dyDescent="0.3">
      <c r="A99" s="57"/>
      <c r="B99" s="60"/>
      <c r="C99" s="83"/>
      <c r="D99" s="83"/>
      <c r="E99" s="57"/>
      <c r="F99" s="57"/>
      <c r="G99" s="57"/>
      <c r="H99" s="57"/>
    </row>
    <row r="100" spans="1:8" x14ac:dyDescent="0.3">
      <c r="A100" s="57"/>
      <c r="B100" s="60"/>
      <c r="C100" s="83"/>
      <c r="D100" s="83"/>
      <c r="E100" s="57"/>
      <c r="F100" s="57"/>
      <c r="G100" s="57"/>
      <c r="H100" s="57"/>
    </row>
    <row r="101" spans="1:8" x14ac:dyDescent="0.3">
      <c r="A101" s="57"/>
      <c r="B101" s="60"/>
      <c r="C101" s="83"/>
      <c r="D101" s="83"/>
      <c r="E101" s="57"/>
      <c r="F101" s="57"/>
      <c r="G101" s="57"/>
      <c r="H101" s="57"/>
    </row>
    <row r="102" spans="1:8" x14ac:dyDescent="0.3">
      <c r="A102" s="57"/>
      <c r="B102" s="60"/>
      <c r="C102" s="83"/>
      <c r="D102" s="83"/>
      <c r="E102" s="57"/>
      <c r="F102" s="57"/>
      <c r="G102" s="57"/>
      <c r="H102" s="57"/>
    </row>
    <row r="103" spans="1:8" x14ac:dyDescent="0.3">
      <c r="A103" s="57"/>
      <c r="B103" s="60"/>
      <c r="C103" s="83"/>
      <c r="D103" s="83"/>
      <c r="E103" s="57"/>
      <c r="F103" s="57"/>
      <c r="G103" s="57"/>
      <c r="H103" s="57"/>
    </row>
    <row r="104" spans="1:8" x14ac:dyDescent="0.3">
      <c r="A104" s="57"/>
      <c r="B104" s="60"/>
      <c r="C104" s="83"/>
      <c r="D104" s="83"/>
      <c r="E104" s="57"/>
      <c r="F104" s="57"/>
      <c r="G104" s="57"/>
      <c r="H104" s="57"/>
    </row>
    <row r="105" spans="1:8" x14ac:dyDescent="0.3">
      <c r="A105" s="57"/>
      <c r="B105" s="84"/>
      <c r="C105" s="85"/>
      <c r="D105" s="86"/>
      <c r="E105" s="87"/>
      <c r="F105" s="47"/>
      <c r="G105" s="47"/>
      <c r="H105" s="47"/>
    </row>
    <row r="106" spans="1:8" x14ac:dyDescent="0.3">
      <c r="A106" s="57"/>
      <c r="B106" s="84"/>
      <c r="C106" s="85"/>
      <c r="D106" s="86"/>
      <c r="E106" s="87"/>
      <c r="F106" s="47"/>
      <c r="G106" s="47"/>
      <c r="H106" s="47"/>
    </row>
    <row r="107" spans="1:8" x14ac:dyDescent="0.3">
      <c r="A107" s="57"/>
      <c r="B107" s="84"/>
      <c r="C107" s="85"/>
      <c r="D107" s="86"/>
      <c r="E107" s="87"/>
      <c r="F107" s="47"/>
      <c r="G107" s="47"/>
      <c r="H107" s="47"/>
    </row>
    <row r="108" spans="1:8" x14ac:dyDescent="0.3">
      <c r="A108" s="57"/>
      <c r="B108" s="84"/>
      <c r="C108" s="85"/>
      <c r="D108" s="86"/>
      <c r="E108" s="87"/>
      <c r="F108" s="47"/>
      <c r="G108" s="47"/>
      <c r="H108" s="47"/>
    </row>
    <row r="109" spans="1:8" x14ac:dyDescent="0.3">
      <c r="A109" s="57"/>
      <c r="B109" s="84"/>
      <c r="C109" s="85"/>
      <c r="D109" s="86"/>
      <c r="E109" s="47"/>
      <c r="F109" s="47"/>
      <c r="G109" s="47"/>
      <c r="H109" s="47"/>
    </row>
    <row r="110" spans="1:8" x14ac:dyDescent="0.3">
      <c r="A110" s="55"/>
      <c r="B110" s="84"/>
      <c r="C110" s="55"/>
      <c r="D110" s="86"/>
      <c r="E110" s="47"/>
      <c r="F110" s="47"/>
      <c r="G110" s="47"/>
      <c r="H110" s="47"/>
    </row>
    <row r="111" spans="1:8" x14ac:dyDescent="0.3">
      <c r="A111" s="27"/>
      <c r="B111" s="88"/>
      <c r="C111" s="24"/>
      <c r="D111" s="89"/>
      <c r="E111" s="25"/>
      <c r="F111" s="25"/>
      <c r="G111" s="25"/>
      <c r="H111" s="32"/>
    </row>
    <row r="112" spans="1:8" x14ac:dyDescent="0.3">
      <c r="A112" s="27"/>
      <c r="B112" s="88"/>
      <c r="C112" s="24"/>
      <c r="D112" s="89"/>
      <c r="E112" s="25"/>
      <c r="F112" s="25"/>
      <c r="G112" s="25"/>
      <c r="H112" s="32"/>
    </row>
    <row r="113" spans="1:8" x14ac:dyDescent="0.3">
      <c r="A113" s="27"/>
      <c r="B113" s="88"/>
      <c r="C113" s="24"/>
      <c r="D113" s="89"/>
      <c r="E113" s="25"/>
      <c r="F113" s="25"/>
      <c r="G113" s="25"/>
      <c r="H113" s="32"/>
    </row>
    <row r="114" spans="1:8" x14ac:dyDescent="0.3">
      <c r="A114" s="27"/>
      <c r="B114" s="28"/>
      <c r="C114" s="24"/>
      <c r="D114" s="25"/>
      <c r="E114" s="25"/>
      <c r="F114" s="28"/>
      <c r="G114" s="28"/>
      <c r="H114" s="32"/>
    </row>
    <row r="115" spans="1:8" ht="15.6" x14ac:dyDescent="0.3">
      <c r="A115" s="448" t="s">
        <v>45</v>
      </c>
      <c r="B115" s="449"/>
      <c r="C115" s="24"/>
      <c r="D115" s="25"/>
      <c r="E115" s="25"/>
      <c r="F115" s="447" t="s">
        <v>46</v>
      </c>
      <c r="G115" s="447"/>
      <c r="H115" s="66">
        <f>SUM(E97,E98)</f>
        <v>17540</v>
      </c>
    </row>
    <row r="116" spans="1:8" ht="15.6" x14ac:dyDescent="0.3">
      <c r="A116" s="497" t="s">
        <v>78</v>
      </c>
      <c r="B116" s="498"/>
      <c r="C116" s="498"/>
      <c r="D116" s="498"/>
      <c r="E116" s="498"/>
      <c r="F116" s="447" t="s">
        <v>47</v>
      </c>
      <c r="G116" s="447"/>
      <c r="H116" s="66">
        <f>H115*9%</f>
        <v>1578.6</v>
      </c>
    </row>
    <row r="117" spans="1:8" ht="15.6" x14ac:dyDescent="0.3">
      <c r="A117" s="27"/>
      <c r="B117" s="28"/>
      <c r="C117" s="24"/>
      <c r="D117" s="25"/>
      <c r="E117" s="25"/>
      <c r="F117" s="447" t="s">
        <v>48</v>
      </c>
      <c r="G117" s="447"/>
      <c r="H117" s="66">
        <f>H116</f>
        <v>1578.6</v>
      </c>
    </row>
    <row r="118" spans="1:8" ht="15.6" x14ac:dyDescent="0.3">
      <c r="A118" s="90" t="s">
        <v>49</v>
      </c>
      <c r="B118" s="28"/>
      <c r="C118" s="24"/>
      <c r="D118" s="25"/>
      <c r="E118" s="25"/>
      <c r="F118" s="447" t="s">
        <v>50</v>
      </c>
      <c r="G118" s="447"/>
      <c r="H118" s="66">
        <f>SUM(H115:H117)</f>
        <v>20697.199999999997</v>
      </c>
    </row>
    <row r="119" spans="1:8" ht="27" x14ac:dyDescent="0.3">
      <c r="A119" s="68" t="s">
        <v>22</v>
      </c>
      <c r="B119" s="30" t="s">
        <v>51</v>
      </c>
      <c r="C119" s="70" t="s">
        <v>24</v>
      </c>
      <c r="D119" s="31" t="s">
        <v>25</v>
      </c>
      <c r="E119" s="450" t="s">
        <v>52</v>
      </c>
      <c r="F119" s="450"/>
      <c r="G119" s="28"/>
      <c r="H119" s="32"/>
    </row>
    <row r="120" spans="1:8" x14ac:dyDescent="0.3">
      <c r="A120" s="72">
        <v>0.18</v>
      </c>
      <c r="B120" s="73">
        <f>H115</f>
        <v>17540</v>
      </c>
      <c r="C120" s="91">
        <f>H116</f>
        <v>1578.6</v>
      </c>
      <c r="D120" s="91">
        <f>H116</f>
        <v>1578.6</v>
      </c>
      <c r="E120" s="506">
        <f>C120+D120</f>
        <v>3157.2</v>
      </c>
      <c r="F120" s="507"/>
      <c r="G120" s="74"/>
      <c r="H120" s="75"/>
    </row>
    <row r="121" spans="1:8" x14ac:dyDescent="0.3">
      <c r="A121" s="508" t="s">
        <v>87</v>
      </c>
      <c r="B121" s="509"/>
      <c r="C121" s="509"/>
      <c r="D121" s="509"/>
      <c r="E121" s="453"/>
      <c r="F121" s="453"/>
      <c r="G121" s="453"/>
      <c r="H121" s="454"/>
    </row>
    <row r="122" spans="1:8" ht="15.6" x14ac:dyDescent="0.3">
      <c r="A122" s="455" t="s">
        <v>53</v>
      </c>
      <c r="B122" s="456"/>
      <c r="C122" s="456"/>
      <c r="D122" s="457"/>
      <c r="E122" s="458" t="s">
        <v>54</v>
      </c>
      <c r="F122" s="459"/>
      <c r="G122" s="459"/>
      <c r="H122" s="460"/>
    </row>
    <row r="123" spans="1:8" x14ac:dyDescent="0.3">
      <c r="A123" s="461" t="s">
        <v>55</v>
      </c>
      <c r="B123" s="462"/>
      <c r="C123" s="462"/>
      <c r="D123" s="463"/>
      <c r="E123" s="39"/>
      <c r="F123" s="28"/>
      <c r="G123" s="28"/>
      <c r="H123" s="32"/>
    </row>
    <row r="124" spans="1:8" x14ac:dyDescent="0.3">
      <c r="A124" s="461" t="s">
        <v>56</v>
      </c>
      <c r="B124" s="462"/>
      <c r="C124" s="462"/>
      <c r="D124" s="463"/>
      <c r="E124" s="39"/>
      <c r="F124" s="28"/>
      <c r="G124" s="28"/>
      <c r="H124" s="32"/>
    </row>
    <row r="125" spans="1:8" x14ac:dyDescent="0.3">
      <c r="A125" s="461" t="s">
        <v>57</v>
      </c>
      <c r="B125" s="462"/>
      <c r="C125" s="462"/>
      <c r="D125" s="463"/>
      <c r="E125" s="39"/>
      <c r="F125" s="28"/>
      <c r="G125" s="28"/>
      <c r="H125" s="32"/>
    </row>
    <row r="126" spans="1:8" ht="15.6" x14ac:dyDescent="0.3">
      <c r="A126" s="464" t="s">
        <v>58</v>
      </c>
      <c r="B126" s="465"/>
      <c r="C126" s="465"/>
      <c r="D126" s="465"/>
      <c r="E126" s="466" t="s">
        <v>59</v>
      </c>
      <c r="F126" s="467"/>
      <c r="G126" s="467"/>
      <c r="H126" s="468"/>
    </row>
    <row r="132" spans="1:9" ht="44.4" x14ac:dyDescent="0.7">
      <c r="A132" s="469" t="s">
        <v>0</v>
      </c>
      <c r="B132" s="470"/>
      <c r="C132" s="470"/>
      <c r="D132" s="470"/>
      <c r="E132" s="471" t="s">
        <v>1</v>
      </c>
      <c r="F132" s="472"/>
      <c r="G132" s="472"/>
      <c r="H132" s="473"/>
    </row>
    <row r="133" spans="1:9" ht="20.399999999999999" x14ac:dyDescent="0.35">
      <c r="A133" s="1"/>
      <c r="B133" s="476" t="s">
        <v>2</v>
      </c>
      <c r="C133" s="476"/>
      <c r="D133" s="476"/>
      <c r="E133" s="474"/>
      <c r="F133" s="474"/>
      <c r="G133" s="474"/>
      <c r="H133" s="475"/>
    </row>
    <row r="134" spans="1:9" x14ac:dyDescent="0.3">
      <c r="A134" s="477" t="s">
        <v>3</v>
      </c>
      <c r="B134" s="478"/>
      <c r="C134" s="479" t="s">
        <v>4</v>
      </c>
      <c r="D134" s="479"/>
      <c r="E134" s="480" t="s">
        <v>5</v>
      </c>
      <c r="F134" s="480"/>
      <c r="G134" s="480"/>
      <c r="H134" s="480"/>
    </row>
    <row r="135" spans="1:9" ht="15.6" x14ac:dyDescent="0.3">
      <c r="A135" s="4" t="s">
        <v>6</v>
      </c>
      <c r="B135" s="5"/>
      <c r="C135" s="481" t="s">
        <v>7</v>
      </c>
      <c r="D135" s="481"/>
      <c r="E135" s="482">
        <v>4</v>
      </c>
      <c r="F135" s="482"/>
      <c r="G135" s="7" t="s">
        <v>8</v>
      </c>
      <c r="H135" s="8">
        <v>45873</v>
      </c>
    </row>
    <row r="136" spans="1:9" ht="15.6" x14ac:dyDescent="0.3">
      <c r="A136" s="556" t="s">
        <v>79</v>
      </c>
      <c r="B136" s="557"/>
      <c r="C136" s="481" t="s">
        <v>10</v>
      </c>
      <c r="D136" s="481"/>
      <c r="E136" s="482"/>
      <c r="F136" s="482"/>
      <c r="G136" s="7" t="s">
        <v>8</v>
      </c>
      <c r="H136" s="9"/>
    </row>
    <row r="137" spans="1:9" ht="15.6" x14ac:dyDescent="0.3">
      <c r="A137" s="556" t="s">
        <v>80</v>
      </c>
      <c r="B137" s="557"/>
      <c r="C137" s="481" t="s">
        <v>12</v>
      </c>
      <c r="D137" s="481"/>
      <c r="E137" s="482"/>
      <c r="F137" s="482"/>
      <c r="G137" s="7" t="s">
        <v>8</v>
      </c>
      <c r="H137" s="6"/>
    </row>
    <row r="138" spans="1:9" ht="15.6" x14ac:dyDescent="0.3">
      <c r="A138" s="556" t="s">
        <v>81</v>
      </c>
      <c r="B138" s="557"/>
      <c r="C138" s="481" t="s">
        <v>15</v>
      </c>
      <c r="D138" s="481"/>
      <c r="E138" s="702" t="s">
        <v>82</v>
      </c>
      <c r="F138" s="703"/>
      <c r="G138" s="703"/>
      <c r="H138" s="704"/>
    </row>
    <row r="139" spans="1:9" ht="15.6" x14ac:dyDescent="0.3">
      <c r="A139" s="558" t="s">
        <v>83</v>
      </c>
      <c r="B139" s="559"/>
      <c r="C139" s="569"/>
      <c r="D139" s="570"/>
      <c r="E139" s="570"/>
      <c r="F139" s="570"/>
      <c r="G139" s="570"/>
      <c r="H139" s="571"/>
    </row>
    <row r="140" spans="1:9" ht="15" x14ac:dyDescent="0.3">
      <c r="A140" s="492" t="s">
        <v>17</v>
      </c>
      <c r="B140" s="494" t="s">
        <v>18</v>
      </c>
      <c r="C140" s="494" t="s">
        <v>19</v>
      </c>
      <c r="D140" s="494" t="s">
        <v>20</v>
      </c>
      <c r="E140" s="494" t="s">
        <v>21</v>
      </c>
      <c r="F140" s="494" t="s">
        <v>22</v>
      </c>
      <c r="G140" s="494"/>
      <c r="H140" s="492" t="s">
        <v>23</v>
      </c>
    </row>
    <row r="141" spans="1:9" ht="27.6" x14ac:dyDescent="0.3">
      <c r="A141" s="492"/>
      <c r="B141" s="494"/>
      <c r="C141" s="494"/>
      <c r="D141" s="494"/>
      <c r="E141" s="494"/>
      <c r="F141" s="53" t="s">
        <v>24</v>
      </c>
      <c r="G141" s="53" t="s">
        <v>25</v>
      </c>
      <c r="H141" s="492"/>
    </row>
    <row r="142" spans="1:9" x14ac:dyDescent="0.3">
      <c r="A142" s="55">
        <v>1</v>
      </c>
      <c r="B142" s="103" t="s">
        <v>84</v>
      </c>
      <c r="C142" s="55">
        <v>3</v>
      </c>
      <c r="D142" s="92">
        <v>85365010</v>
      </c>
      <c r="E142" s="47">
        <v>3450</v>
      </c>
      <c r="F142" s="93">
        <f>E142*C142*9%</f>
        <v>931.5</v>
      </c>
      <c r="G142" s="93">
        <f>F142</f>
        <v>931.5</v>
      </c>
      <c r="H142" s="62">
        <f>G142+F142+E142*C142</f>
        <v>12213</v>
      </c>
      <c r="I142" s="362">
        <f>E142*C142</f>
        <v>10350</v>
      </c>
    </row>
    <row r="143" spans="1:9" s="99" customFormat="1" x14ac:dyDescent="0.3">
      <c r="A143" s="57">
        <v>2</v>
      </c>
      <c r="B143" s="60" t="s">
        <v>85</v>
      </c>
      <c r="C143" s="57">
        <v>1</v>
      </c>
      <c r="D143" s="15">
        <v>998719</v>
      </c>
      <c r="E143" s="57">
        <v>1500</v>
      </c>
      <c r="F143" s="58">
        <f>E143*C143*9%</f>
        <v>135</v>
      </c>
      <c r="G143" s="58">
        <f>F143</f>
        <v>135</v>
      </c>
      <c r="H143" s="59">
        <f>G143+F143+E143*C143</f>
        <v>1770</v>
      </c>
      <c r="I143" s="362">
        <f>E143*C143</f>
        <v>1500</v>
      </c>
    </row>
    <row r="144" spans="1:9" x14ac:dyDescent="0.3">
      <c r="A144" s="55">
        <v>3</v>
      </c>
      <c r="B144" s="60" t="s">
        <v>86</v>
      </c>
      <c r="C144" s="55">
        <v>1</v>
      </c>
      <c r="D144" s="15">
        <v>998719</v>
      </c>
      <c r="E144" s="47">
        <v>2500</v>
      </c>
      <c r="F144" s="93">
        <f>E144*C144*9%</f>
        <v>225</v>
      </c>
      <c r="G144" s="93">
        <f>F144</f>
        <v>225</v>
      </c>
      <c r="H144" s="62">
        <f>G144+F144+E144*C144</f>
        <v>2950</v>
      </c>
      <c r="I144" s="362">
        <f>E144*C144</f>
        <v>2500</v>
      </c>
    </row>
    <row r="145" spans="1:8" x14ac:dyDescent="0.3">
      <c r="A145" s="57"/>
      <c r="B145" s="60"/>
      <c r="C145" s="57"/>
      <c r="D145" s="57"/>
      <c r="E145" s="57"/>
      <c r="F145" s="58"/>
      <c r="G145" s="58"/>
      <c r="H145" s="59"/>
    </row>
    <row r="146" spans="1:8" x14ac:dyDescent="0.3">
      <c r="A146" s="55"/>
      <c r="B146" s="94"/>
      <c r="C146" s="55"/>
      <c r="D146" s="47"/>
      <c r="E146" s="47"/>
      <c r="F146" s="93"/>
      <c r="G146" s="93"/>
      <c r="H146" s="62"/>
    </row>
    <row r="147" spans="1:8" x14ac:dyDescent="0.3">
      <c r="A147" s="27"/>
      <c r="B147" s="28"/>
      <c r="C147" s="24"/>
      <c r="D147" s="25"/>
      <c r="E147" s="25"/>
      <c r="F147" s="28"/>
      <c r="G147" s="28"/>
      <c r="H147" s="32"/>
    </row>
    <row r="148" spans="1:8" x14ac:dyDescent="0.3">
      <c r="A148" s="27"/>
      <c r="B148" s="28"/>
      <c r="C148" s="24"/>
      <c r="D148" s="25"/>
      <c r="E148" s="25"/>
      <c r="F148" s="28"/>
      <c r="G148" s="28"/>
      <c r="H148" s="32"/>
    </row>
    <row r="149" spans="1:8" x14ac:dyDescent="0.3">
      <c r="A149" s="27"/>
      <c r="B149" s="28"/>
      <c r="C149" s="24"/>
      <c r="D149" s="25"/>
      <c r="E149" s="25"/>
      <c r="F149" s="28"/>
      <c r="G149" s="28"/>
      <c r="H149" s="32"/>
    </row>
    <row r="150" spans="1:8" x14ac:dyDescent="0.3">
      <c r="A150" s="27"/>
      <c r="B150" s="28"/>
      <c r="C150" s="24"/>
      <c r="D150" s="25"/>
      <c r="E150" s="25"/>
      <c r="F150" s="28"/>
      <c r="G150" s="28"/>
      <c r="H150" s="32"/>
    </row>
    <row r="151" spans="1:8" x14ac:dyDescent="0.3">
      <c r="A151" s="27"/>
      <c r="B151" s="28"/>
      <c r="C151" s="24"/>
      <c r="D151" s="25"/>
      <c r="E151" s="25"/>
      <c r="F151" s="28"/>
      <c r="G151" s="28"/>
      <c r="H151" s="32"/>
    </row>
    <row r="152" spans="1:8" x14ac:dyDescent="0.3">
      <c r="A152" s="27"/>
      <c r="B152" s="28"/>
      <c r="C152" s="24"/>
      <c r="D152" s="25"/>
      <c r="E152" s="25"/>
      <c r="F152" s="28"/>
      <c r="G152" s="28"/>
      <c r="H152" s="32"/>
    </row>
    <row r="153" spans="1:8" x14ac:dyDescent="0.3">
      <c r="A153" s="27"/>
      <c r="B153" s="28"/>
      <c r="C153" s="24"/>
      <c r="D153" s="25"/>
      <c r="E153" s="25"/>
      <c r="F153" s="28"/>
      <c r="G153" s="28"/>
      <c r="H153" s="32"/>
    </row>
    <row r="154" spans="1:8" x14ac:dyDescent="0.3">
      <c r="A154" s="27"/>
      <c r="B154" s="28"/>
      <c r="C154" s="24"/>
      <c r="D154" s="25"/>
      <c r="E154" s="25"/>
      <c r="F154" s="28"/>
      <c r="G154" s="28"/>
      <c r="H154" s="32"/>
    </row>
    <row r="155" spans="1:8" x14ac:dyDescent="0.3">
      <c r="A155" s="27"/>
      <c r="B155" s="28"/>
      <c r="C155" s="24"/>
      <c r="D155" s="25"/>
      <c r="E155" s="25"/>
      <c r="F155" s="28"/>
      <c r="G155" s="28"/>
      <c r="H155" s="32"/>
    </row>
    <row r="156" spans="1:8" x14ac:dyDescent="0.3">
      <c r="A156" s="27"/>
      <c r="B156" s="28"/>
      <c r="C156" s="24"/>
      <c r="D156" s="25"/>
      <c r="E156" s="25"/>
      <c r="F156" s="28"/>
      <c r="G156" s="28"/>
      <c r="H156" s="32"/>
    </row>
    <row r="157" spans="1:8" x14ac:dyDescent="0.3">
      <c r="A157" s="27"/>
      <c r="B157" s="28"/>
      <c r="C157" s="24"/>
      <c r="D157" s="25"/>
      <c r="E157" s="25"/>
      <c r="F157" s="28"/>
      <c r="G157" s="28"/>
      <c r="H157" s="32"/>
    </row>
    <row r="158" spans="1:8" x14ac:dyDescent="0.3">
      <c r="A158" s="27"/>
      <c r="B158" s="28"/>
      <c r="C158" s="24"/>
      <c r="D158" s="25"/>
      <c r="E158" s="25"/>
      <c r="F158" s="28"/>
      <c r="G158" s="28"/>
      <c r="H158" s="32"/>
    </row>
    <row r="159" spans="1:8" x14ac:dyDescent="0.3">
      <c r="A159" s="27"/>
      <c r="B159" s="28"/>
      <c r="C159" s="24"/>
      <c r="D159" s="25"/>
      <c r="E159" s="25"/>
      <c r="F159" s="28"/>
      <c r="G159" s="28"/>
      <c r="H159" s="32"/>
    </row>
    <row r="160" spans="1:8" x14ac:dyDescent="0.3">
      <c r="A160" s="27"/>
      <c r="B160" s="28"/>
      <c r="C160" s="24"/>
      <c r="D160" s="25"/>
      <c r="E160" s="25"/>
      <c r="F160" s="28"/>
      <c r="G160" s="28"/>
      <c r="H160" s="32"/>
    </row>
    <row r="161" spans="1:8" x14ac:dyDescent="0.3">
      <c r="A161" s="27"/>
      <c r="B161" s="28"/>
      <c r="C161" s="24"/>
      <c r="D161" s="25"/>
      <c r="E161" s="25"/>
      <c r="F161" s="28"/>
      <c r="G161" s="28"/>
      <c r="H161" s="32"/>
    </row>
    <row r="162" spans="1:8" x14ac:dyDescent="0.3">
      <c r="A162" s="27"/>
      <c r="B162" s="28"/>
      <c r="C162" s="24"/>
      <c r="D162" s="25"/>
      <c r="E162" s="25"/>
      <c r="F162" s="28"/>
      <c r="G162" s="28"/>
      <c r="H162" s="32"/>
    </row>
    <row r="163" spans="1:8" ht="15.6" x14ac:dyDescent="0.3">
      <c r="A163" s="448" t="s">
        <v>45</v>
      </c>
      <c r="B163" s="449"/>
      <c r="C163" s="449"/>
      <c r="D163" s="25"/>
      <c r="E163" s="25"/>
      <c r="F163" s="447" t="s">
        <v>46</v>
      </c>
      <c r="G163" s="447"/>
      <c r="H163" s="66">
        <v>14350</v>
      </c>
    </row>
    <row r="164" spans="1:8" ht="15.6" x14ac:dyDescent="0.3">
      <c r="A164" s="497" t="s">
        <v>88</v>
      </c>
      <c r="B164" s="498"/>
      <c r="C164" s="498"/>
      <c r="D164" s="498"/>
      <c r="E164" s="498"/>
      <c r="F164" s="447" t="s">
        <v>47</v>
      </c>
      <c r="G164" s="447"/>
      <c r="H164" s="66">
        <f>H163*9%</f>
        <v>1291.5</v>
      </c>
    </row>
    <row r="165" spans="1:8" ht="15.6" x14ac:dyDescent="0.3">
      <c r="A165" s="27"/>
      <c r="B165" s="28"/>
      <c r="C165" s="24"/>
      <c r="D165" s="25"/>
      <c r="E165" s="25"/>
      <c r="F165" s="447" t="s">
        <v>48</v>
      </c>
      <c r="G165" s="447"/>
      <c r="H165" s="66">
        <f>H163*9%</f>
        <v>1291.5</v>
      </c>
    </row>
    <row r="166" spans="1:8" ht="15.6" x14ac:dyDescent="0.3">
      <c r="A166" s="448" t="s">
        <v>49</v>
      </c>
      <c r="B166" s="449"/>
      <c r="C166" s="449"/>
      <c r="D166" s="449"/>
      <c r="E166" s="25"/>
      <c r="F166" s="447" t="s">
        <v>50</v>
      </c>
      <c r="G166" s="447"/>
      <c r="H166" s="66">
        <v>16933</v>
      </c>
    </row>
    <row r="167" spans="1:8" ht="27" x14ac:dyDescent="0.3">
      <c r="A167" s="95" t="s">
        <v>22</v>
      </c>
      <c r="B167" s="69" t="s">
        <v>51</v>
      </c>
      <c r="C167" s="70" t="s">
        <v>24</v>
      </c>
      <c r="D167" s="31" t="s">
        <v>25</v>
      </c>
      <c r="E167" s="450" t="s">
        <v>52</v>
      </c>
      <c r="F167" s="450"/>
      <c r="G167" s="28"/>
      <c r="H167" s="32"/>
    </row>
    <row r="168" spans="1:8" x14ac:dyDescent="0.3">
      <c r="A168" s="96">
        <v>0.18</v>
      </c>
      <c r="B168" s="74">
        <v>14350</v>
      </c>
      <c r="C168" s="74">
        <f>H164</f>
        <v>1291.5</v>
      </c>
      <c r="D168" s="74">
        <f>H165</f>
        <v>1291.5</v>
      </c>
      <c r="E168" s="507">
        <f>C168+D168</f>
        <v>2583</v>
      </c>
      <c r="F168" s="507"/>
      <c r="G168" s="74"/>
      <c r="H168" s="75"/>
    </row>
    <row r="169" spans="1:8" x14ac:dyDescent="0.3">
      <c r="A169" s="452" t="s">
        <v>89</v>
      </c>
      <c r="B169" s="453"/>
      <c r="C169" s="453"/>
      <c r="D169" s="453"/>
      <c r="E169" s="453"/>
      <c r="F169" s="453"/>
      <c r="G169" s="453"/>
      <c r="H169" s="454"/>
    </row>
    <row r="170" spans="1:8" ht="15.6" x14ac:dyDescent="0.3">
      <c r="A170" s="455" t="s">
        <v>53</v>
      </c>
      <c r="B170" s="456"/>
      <c r="C170" s="456"/>
      <c r="D170" s="457"/>
      <c r="E170" s="458" t="s">
        <v>54</v>
      </c>
      <c r="F170" s="459"/>
      <c r="G170" s="459"/>
      <c r="H170" s="460"/>
    </row>
    <row r="171" spans="1:8" x14ac:dyDescent="0.3">
      <c r="A171" s="461" t="s">
        <v>55</v>
      </c>
      <c r="B171" s="462"/>
      <c r="C171" s="462"/>
      <c r="D171" s="463"/>
      <c r="E171" s="39"/>
      <c r="F171" s="663"/>
      <c r="G171" s="663"/>
      <c r="H171" s="32"/>
    </row>
    <row r="172" spans="1:8" x14ac:dyDescent="0.3">
      <c r="A172" s="461" t="s">
        <v>56</v>
      </c>
      <c r="B172" s="462"/>
      <c r="C172" s="462"/>
      <c r="D172" s="463"/>
      <c r="E172" s="39"/>
      <c r="F172" s="663"/>
      <c r="G172" s="663"/>
      <c r="H172" s="32"/>
    </row>
    <row r="173" spans="1:8" ht="15.6" x14ac:dyDescent="0.3">
      <c r="A173" s="461" t="s">
        <v>57</v>
      </c>
      <c r="B173" s="462"/>
      <c r="C173" s="462"/>
      <c r="D173" s="463"/>
      <c r="E173" s="97"/>
      <c r="F173" s="663"/>
      <c r="G173" s="663"/>
      <c r="H173" s="98"/>
    </row>
    <row r="174" spans="1:8" ht="15.6" x14ac:dyDescent="0.3">
      <c r="A174" s="464" t="s">
        <v>58</v>
      </c>
      <c r="B174" s="465"/>
      <c r="C174" s="465"/>
      <c r="D174" s="510"/>
      <c r="E174" s="466" t="s">
        <v>59</v>
      </c>
      <c r="F174" s="467"/>
      <c r="G174" s="467"/>
      <c r="H174" s="468"/>
    </row>
    <row r="178" spans="1:8" ht="44.4" x14ac:dyDescent="0.7">
      <c r="A178" s="469" t="s">
        <v>0</v>
      </c>
      <c r="B178" s="470"/>
      <c r="C178" s="470"/>
      <c r="D178" s="470"/>
      <c r="E178" s="471" t="s">
        <v>92</v>
      </c>
      <c r="F178" s="471"/>
      <c r="G178" s="471"/>
      <c r="H178" s="604"/>
    </row>
    <row r="179" spans="1:8" ht="20.399999999999999" x14ac:dyDescent="0.35">
      <c r="A179" s="1"/>
      <c r="B179" s="535" t="s">
        <v>2</v>
      </c>
      <c r="C179" s="535"/>
      <c r="D179" s="535"/>
      <c r="E179" s="676"/>
      <c r="F179" s="676"/>
      <c r="G179" s="676"/>
      <c r="H179" s="677"/>
    </row>
    <row r="180" spans="1:8" x14ac:dyDescent="0.3">
      <c r="A180" s="477" t="s">
        <v>3</v>
      </c>
      <c r="B180" s="478"/>
      <c r="C180" s="479" t="s">
        <v>4</v>
      </c>
      <c r="D180" s="479"/>
      <c r="E180" s="480" t="s">
        <v>5</v>
      </c>
      <c r="F180" s="480"/>
      <c r="G180" s="480"/>
      <c r="H180" s="480"/>
    </row>
    <row r="181" spans="1:8" ht="15.6" x14ac:dyDescent="0.3">
      <c r="A181" s="4" t="s">
        <v>6</v>
      </c>
      <c r="B181" s="5"/>
      <c r="C181" s="536" t="s">
        <v>7</v>
      </c>
      <c r="D181" s="516"/>
      <c r="E181" s="489">
        <v>5</v>
      </c>
      <c r="F181" s="491"/>
      <c r="G181" s="44" t="s">
        <v>8</v>
      </c>
      <c r="H181" s="8" t="s">
        <v>98</v>
      </c>
    </row>
    <row r="182" spans="1:8" ht="15.6" x14ac:dyDescent="0.3">
      <c r="A182" s="106" t="s">
        <v>93</v>
      </c>
      <c r="B182" s="107"/>
      <c r="C182" s="536" t="s">
        <v>10</v>
      </c>
      <c r="D182" s="516"/>
      <c r="E182" s="489"/>
      <c r="F182" s="491"/>
      <c r="G182" s="44" t="s">
        <v>8</v>
      </c>
      <c r="H182" s="6"/>
    </row>
    <row r="183" spans="1:8" ht="15" x14ac:dyDescent="0.3">
      <c r="A183" s="108" t="s">
        <v>94</v>
      </c>
      <c r="B183" s="106"/>
      <c r="C183" s="483" t="s">
        <v>12</v>
      </c>
      <c r="D183" s="484"/>
      <c r="E183" s="613"/>
      <c r="F183" s="614"/>
      <c r="G183" s="48" t="s">
        <v>8</v>
      </c>
      <c r="H183" s="109"/>
    </row>
    <row r="184" spans="1:8" ht="15.6" x14ac:dyDescent="0.3">
      <c r="A184" s="108"/>
      <c r="B184" s="106"/>
      <c r="C184" s="536" t="s">
        <v>15</v>
      </c>
      <c r="D184" s="516"/>
      <c r="E184" s="110" t="s">
        <v>95</v>
      </c>
      <c r="F184" s="111"/>
      <c r="G184" s="112"/>
      <c r="H184" s="49"/>
    </row>
    <row r="185" spans="1:8" ht="15.6" x14ac:dyDescent="0.3">
      <c r="A185" s="539" t="s">
        <v>96</v>
      </c>
      <c r="B185" s="540"/>
      <c r="C185" s="24"/>
      <c r="D185" s="25"/>
      <c r="E185" s="50"/>
      <c r="F185" s="50"/>
      <c r="G185" s="51"/>
      <c r="H185" s="52"/>
    </row>
    <row r="186" spans="1:8" ht="15" x14ac:dyDescent="0.3">
      <c r="A186" s="493" t="s">
        <v>17</v>
      </c>
      <c r="B186" s="495" t="s">
        <v>18</v>
      </c>
      <c r="C186" s="495" t="s">
        <v>19</v>
      </c>
      <c r="D186" s="495" t="s">
        <v>20</v>
      </c>
      <c r="E186" s="495" t="s">
        <v>21</v>
      </c>
      <c r="F186" s="541" t="s">
        <v>22</v>
      </c>
      <c r="G186" s="542"/>
      <c r="H186" s="493" t="s">
        <v>23</v>
      </c>
    </row>
    <row r="187" spans="1:8" ht="27.6" x14ac:dyDescent="0.3">
      <c r="A187" s="527"/>
      <c r="B187" s="505"/>
      <c r="C187" s="505"/>
      <c r="D187" s="505"/>
      <c r="E187" s="505"/>
      <c r="F187" s="53" t="s">
        <v>24</v>
      </c>
      <c r="G187" s="53" t="s">
        <v>25</v>
      </c>
      <c r="H187" s="527"/>
    </row>
    <row r="188" spans="1:8" ht="43.2" x14ac:dyDescent="0.3">
      <c r="A188" s="56">
        <v>1</v>
      </c>
      <c r="B188" s="113" t="s">
        <v>100</v>
      </c>
      <c r="C188" s="114">
        <v>1</v>
      </c>
      <c r="D188" s="56">
        <v>998719</v>
      </c>
      <c r="E188" s="56">
        <v>10000</v>
      </c>
      <c r="F188" s="56">
        <f>E188*C188*9%</f>
        <v>900</v>
      </c>
      <c r="G188" s="56">
        <f>F188</f>
        <v>900</v>
      </c>
      <c r="H188" s="57">
        <f>G188+F188+E188*C188</f>
        <v>11800</v>
      </c>
    </row>
    <row r="189" spans="1:8" ht="28.8" x14ac:dyDescent="0.3">
      <c r="A189" s="56">
        <v>2</v>
      </c>
      <c r="B189" s="113" t="s">
        <v>99</v>
      </c>
      <c r="C189" s="114">
        <v>1</v>
      </c>
      <c r="D189" s="56">
        <v>998719</v>
      </c>
      <c r="E189" s="56">
        <v>10000</v>
      </c>
      <c r="F189" s="56">
        <f>E189*C189*9%</f>
        <v>900</v>
      </c>
      <c r="G189" s="56">
        <f>F189</f>
        <v>900</v>
      </c>
      <c r="H189" s="57">
        <f>G189+F189+E189*C189</f>
        <v>11800</v>
      </c>
    </row>
    <row r="190" spans="1:8" x14ac:dyDescent="0.3">
      <c r="A190" s="55"/>
      <c r="B190" s="113"/>
      <c r="C190" s="55"/>
      <c r="D190" s="47"/>
      <c r="E190" s="47"/>
      <c r="F190" s="56"/>
      <c r="G190" s="56"/>
      <c r="H190" s="47"/>
    </row>
    <row r="191" spans="1:8" x14ac:dyDescent="0.3">
      <c r="A191" s="55"/>
      <c r="B191" s="94"/>
      <c r="C191" s="55"/>
      <c r="D191" s="47"/>
      <c r="E191" s="47"/>
      <c r="F191" s="115"/>
      <c r="G191" s="115"/>
      <c r="H191" s="47"/>
    </row>
    <row r="192" spans="1:8" x14ac:dyDescent="0.3">
      <c r="A192" s="27"/>
      <c r="B192" s="28"/>
      <c r="C192" s="24"/>
      <c r="D192" s="25"/>
      <c r="E192" s="25"/>
      <c r="F192" s="25"/>
      <c r="G192" s="28"/>
      <c r="H192" s="32"/>
    </row>
    <row r="193" spans="1:10" x14ac:dyDescent="0.3">
      <c r="A193" s="27"/>
      <c r="B193" s="28"/>
      <c r="C193" s="24"/>
      <c r="D193" s="25"/>
      <c r="E193" s="25"/>
      <c r="F193" s="25"/>
      <c r="G193" s="28"/>
      <c r="H193" s="32"/>
    </row>
    <row r="194" spans="1:10" x14ac:dyDescent="0.3">
      <c r="A194" s="27"/>
      <c r="B194" s="28"/>
      <c r="C194" s="24"/>
      <c r="D194" s="25"/>
      <c r="E194" s="25"/>
      <c r="F194" s="25"/>
      <c r="G194" s="28"/>
      <c r="H194" s="32"/>
    </row>
    <row r="195" spans="1:10" x14ac:dyDescent="0.3">
      <c r="A195" s="27"/>
      <c r="B195" s="28"/>
      <c r="C195" s="24"/>
      <c r="D195" s="25"/>
      <c r="E195" s="25"/>
      <c r="F195" s="25"/>
      <c r="G195" s="28"/>
      <c r="H195" s="32"/>
    </row>
    <row r="196" spans="1:10" x14ac:dyDescent="0.3">
      <c r="A196" s="27"/>
      <c r="B196" s="28"/>
      <c r="C196" s="24"/>
      <c r="D196" s="25"/>
      <c r="E196" s="25"/>
      <c r="F196" s="25"/>
      <c r="G196" s="28"/>
      <c r="H196" s="32"/>
      <c r="J196" t="s">
        <v>283</v>
      </c>
    </row>
    <row r="197" spans="1:10" x14ac:dyDescent="0.3">
      <c r="A197" s="27"/>
      <c r="B197" s="28"/>
      <c r="C197" s="24"/>
      <c r="D197" s="25"/>
      <c r="E197" s="25"/>
      <c r="F197" s="25"/>
      <c r="G197" s="28"/>
      <c r="H197" s="32"/>
      <c r="J197" t="s">
        <v>284</v>
      </c>
    </row>
    <row r="198" spans="1:10" x14ac:dyDescent="0.3">
      <c r="A198" s="27"/>
      <c r="B198" s="28"/>
      <c r="C198" s="24"/>
      <c r="D198" s="25"/>
      <c r="E198" s="25"/>
      <c r="F198" s="25"/>
      <c r="G198" s="28"/>
      <c r="H198" s="32"/>
      <c r="J198" t="s">
        <v>286</v>
      </c>
    </row>
    <row r="199" spans="1:10" x14ac:dyDescent="0.3">
      <c r="A199" s="27"/>
      <c r="B199" s="28"/>
      <c r="C199" s="24"/>
      <c r="D199" s="25"/>
      <c r="E199" s="25"/>
      <c r="F199" s="25"/>
      <c r="G199" s="28"/>
      <c r="H199" s="32"/>
      <c r="J199" t="s">
        <v>285</v>
      </c>
    </row>
    <row r="200" spans="1:10" x14ac:dyDescent="0.3">
      <c r="A200" s="27"/>
      <c r="B200" s="28"/>
      <c r="C200" s="24"/>
      <c r="D200" s="25"/>
      <c r="E200" s="25"/>
      <c r="F200" s="25"/>
      <c r="G200" s="28"/>
      <c r="H200" s="32"/>
    </row>
    <row r="201" spans="1:10" x14ac:dyDescent="0.3">
      <c r="A201" s="27"/>
      <c r="B201" s="28"/>
      <c r="C201" s="24"/>
      <c r="D201" s="25"/>
      <c r="E201" s="25"/>
      <c r="F201" s="25"/>
      <c r="G201" s="28"/>
      <c r="H201" s="32"/>
    </row>
    <row r="202" spans="1:10" x14ac:dyDescent="0.3">
      <c r="A202" s="27"/>
      <c r="B202" s="28"/>
      <c r="C202" s="24"/>
      <c r="D202" s="25"/>
      <c r="E202" s="25"/>
      <c r="F202" s="25"/>
      <c r="G202" s="28"/>
      <c r="H202" s="32"/>
    </row>
    <row r="203" spans="1:10" x14ac:dyDescent="0.3">
      <c r="A203" s="27"/>
      <c r="B203" s="28"/>
      <c r="C203" s="24"/>
      <c r="D203" s="25"/>
      <c r="E203" s="25"/>
      <c r="F203" s="25"/>
      <c r="G203" s="28"/>
      <c r="H203" s="32"/>
    </row>
    <row r="204" spans="1:10" x14ac:dyDescent="0.3">
      <c r="A204" s="27"/>
      <c r="B204" s="28"/>
      <c r="C204" s="24"/>
      <c r="D204" s="25"/>
      <c r="E204" s="25"/>
      <c r="F204" s="25"/>
      <c r="G204" s="28"/>
      <c r="H204" s="32"/>
    </row>
    <row r="205" spans="1:10" x14ac:dyDescent="0.3">
      <c r="A205" s="27"/>
      <c r="B205" s="28"/>
      <c r="C205" s="24"/>
      <c r="D205" s="25"/>
      <c r="E205" s="25"/>
      <c r="F205" s="25"/>
      <c r="G205" s="28"/>
      <c r="H205" s="32"/>
    </row>
    <row r="206" spans="1:10" x14ac:dyDescent="0.3">
      <c r="A206" s="27"/>
      <c r="B206" s="28"/>
      <c r="C206" s="24"/>
      <c r="D206" s="25"/>
      <c r="E206" s="25"/>
      <c r="F206" s="25"/>
      <c r="G206" s="28"/>
      <c r="H206" s="32"/>
    </row>
    <row r="207" spans="1:10" ht="15.6" x14ac:dyDescent="0.3">
      <c r="A207" s="497" t="s">
        <v>97</v>
      </c>
      <c r="B207" s="498"/>
      <c r="C207" s="24"/>
      <c r="D207" s="25"/>
      <c r="E207" s="25"/>
      <c r="F207" s="116" t="s">
        <v>46</v>
      </c>
      <c r="G207" s="26"/>
      <c r="H207" s="66">
        <v>20000</v>
      </c>
    </row>
    <row r="208" spans="1:10" ht="15.6" x14ac:dyDescent="0.3">
      <c r="A208" s="497" t="s">
        <v>101</v>
      </c>
      <c r="B208" s="498"/>
      <c r="C208" s="498"/>
      <c r="D208" s="498"/>
      <c r="E208" s="67"/>
      <c r="F208" s="116" t="s">
        <v>47</v>
      </c>
      <c r="G208" s="26"/>
      <c r="H208" s="66">
        <f>H209</f>
        <v>1800</v>
      </c>
    </row>
    <row r="209" spans="1:8" ht="15.6" x14ac:dyDescent="0.3">
      <c r="A209" s="27"/>
      <c r="B209" s="28"/>
      <c r="C209" s="24"/>
      <c r="D209" s="25"/>
      <c r="E209" s="25"/>
      <c r="F209" s="116" t="s">
        <v>48</v>
      </c>
      <c r="G209" s="26"/>
      <c r="H209" s="66">
        <f>H207*9%</f>
        <v>1800</v>
      </c>
    </row>
    <row r="210" spans="1:8" ht="15.6" x14ac:dyDescent="0.3">
      <c r="A210" s="497" t="s">
        <v>49</v>
      </c>
      <c r="B210" s="498"/>
      <c r="C210" s="498"/>
      <c r="D210" s="25"/>
      <c r="E210" s="25"/>
      <c r="F210" s="116" t="s">
        <v>50</v>
      </c>
      <c r="G210" s="26"/>
      <c r="H210" s="66">
        <f>H207+H208+H209</f>
        <v>23600</v>
      </c>
    </row>
    <row r="211" spans="1:8" ht="27" x14ac:dyDescent="0.3">
      <c r="A211" s="68" t="s">
        <v>22</v>
      </c>
      <c r="B211" s="69" t="s">
        <v>51</v>
      </c>
      <c r="C211" s="70" t="s">
        <v>24</v>
      </c>
      <c r="D211" s="31" t="s">
        <v>25</v>
      </c>
      <c r="E211" s="528" t="s">
        <v>52</v>
      </c>
      <c r="F211" s="528"/>
      <c r="G211" s="28"/>
      <c r="H211" s="32"/>
    </row>
    <row r="212" spans="1:8" x14ac:dyDescent="0.3">
      <c r="A212" s="72">
        <v>0.18</v>
      </c>
      <c r="B212" s="73">
        <f>H207</f>
        <v>20000</v>
      </c>
      <c r="C212" s="74">
        <f>H208</f>
        <v>1800</v>
      </c>
      <c r="D212" s="74">
        <f>H209</f>
        <v>1800</v>
      </c>
      <c r="E212" s="507">
        <f>C212+D212</f>
        <v>3600</v>
      </c>
      <c r="F212" s="507"/>
      <c r="G212" s="74"/>
      <c r="H212" s="75"/>
    </row>
    <row r="213" spans="1:8" x14ac:dyDescent="0.3">
      <c r="A213" s="452" t="s">
        <v>102</v>
      </c>
      <c r="B213" s="453"/>
      <c r="C213" s="453"/>
      <c r="D213" s="453"/>
      <c r="E213" s="453"/>
      <c r="F213" s="78"/>
      <c r="G213" s="36"/>
      <c r="H213" s="79"/>
    </row>
    <row r="214" spans="1:8" ht="15.6" x14ac:dyDescent="0.3">
      <c r="A214" s="455" t="s">
        <v>53</v>
      </c>
      <c r="B214" s="456"/>
      <c r="C214" s="456"/>
      <c r="D214" s="117"/>
      <c r="E214" s="118" t="s">
        <v>54</v>
      </c>
      <c r="F214" s="37"/>
      <c r="G214" s="37"/>
      <c r="H214" s="38"/>
    </row>
    <row r="215" spans="1:8" x14ac:dyDescent="0.3">
      <c r="A215" s="100" t="s">
        <v>55</v>
      </c>
      <c r="B215" s="101"/>
      <c r="C215" s="101"/>
      <c r="D215" s="102"/>
      <c r="E215" s="25"/>
      <c r="F215" s="25"/>
      <c r="G215" s="28"/>
      <c r="H215" s="32"/>
    </row>
    <row r="216" spans="1:8" x14ac:dyDescent="0.3">
      <c r="A216" s="461" t="s">
        <v>56</v>
      </c>
      <c r="B216" s="462"/>
      <c r="C216" s="462"/>
      <c r="D216" s="463"/>
      <c r="E216" s="25"/>
      <c r="F216" s="25"/>
      <c r="G216" s="28"/>
      <c r="H216" s="32"/>
    </row>
    <row r="217" spans="1:8" x14ac:dyDescent="0.3">
      <c r="A217" s="461" t="s">
        <v>57</v>
      </c>
      <c r="B217" s="462"/>
      <c r="C217" s="462"/>
      <c r="D217" s="463"/>
      <c r="E217" s="25"/>
      <c r="F217" s="25"/>
      <c r="G217" s="28"/>
      <c r="H217" s="32"/>
    </row>
    <row r="218" spans="1:8" ht="15.6" x14ac:dyDescent="0.3">
      <c r="A218" s="464" t="s">
        <v>58</v>
      </c>
      <c r="B218" s="465"/>
      <c r="C218" s="465"/>
      <c r="D218" s="510"/>
      <c r="E218" s="466" t="s">
        <v>59</v>
      </c>
      <c r="F218" s="467"/>
      <c r="G218" s="467"/>
      <c r="H218" s="468"/>
    </row>
    <row r="222" spans="1:8" ht="44.4" x14ac:dyDescent="0.7">
      <c r="A222" s="469" t="s">
        <v>0</v>
      </c>
      <c r="B222" s="470"/>
      <c r="C222" s="470"/>
      <c r="D222" s="470"/>
      <c r="E222" s="471" t="s">
        <v>92</v>
      </c>
      <c r="F222" s="471"/>
      <c r="G222" s="471"/>
      <c r="H222" s="604"/>
    </row>
    <row r="223" spans="1:8" ht="20.399999999999999" x14ac:dyDescent="0.35">
      <c r="A223" s="1"/>
      <c r="B223" s="535" t="s">
        <v>2</v>
      </c>
      <c r="C223" s="535"/>
      <c r="D223" s="535"/>
      <c r="E223" s="676"/>
      <c r="F223" s="676"/>
      <c r="G223" s="676"/>
      <c r="H223" s="677"/>
    </row>
    <row r="224" spans="1:8" x14ac:dyDescent="0.3">
      <c r="A224" s="477" t="s">
        <v>3</v>
      </c>
      <c r="B224" s="478"/>
      <c r="C224" s="479" t="s">
        <v>4</v>
      </c>
      <c r="D224" s="479"/>
      <c r="E224" s="480" t="s">
        <v>5</v>
      </c>
      <c r="F224" s="480"/>
      <c r="G224" s="480"/>
      <c r="H224" s="480"/>
    </row>
    <row r="225" spans="1:9" ht="15.6" x14ac:dyDescent="0.3">
      <c r="A225" s="4" t="s">
        <v>6</v>
      </c>
      <c r="B225" s="5"/>
      <c r="C225" s="536" t="s">
        <v>7</v>
      </c>
      <c r="D225" s="516"/>
      <c r="E225" s="489">
        <v>6</v>
      </c>
      <c r="F225" s="491"/>
      <c r="G225" s="44" t="s">
        <v>8</v>
      </c>
      <c r="H225" s="122" t="s">
        <v>108</v>
      </c>
    </row>
    <row r="226" spans="1:9" ht="15.6" x14ac:dyDescent="0.3">
      <c r="A226" s="121" t="s">
        <v>103</v>
      </c>
      <c r="B226" s="107"/>
      <c r="C226" s="536" t="s">
        <v>10</v>
      </c>
      <c r="D226" s="516"/>
      <c r="E226" s="489">
        <v>9</v>
      </c>
      <c r="F226" s="491"/>
      <c r="G226" s="44" t="s">
        <v>8</v>
      </c>
      <c r="H226" s="122">
        <v>45547</v>
      </c>
    </row>
    <row r="227" spans="1:9" ht="15" x14ac:dyDescent="0.3">
      <c r="A227" s="108" t="s">
        <v>104</v>
      </c>
      <c r="B227" s="106"/>
      <c r="C227" s="483" t="s">
        <v>12</v>
      </c>
      <c r="D227" s="484"/>
      <c r="E227" s="613"/>
      <c r="F227" s="614"/>
      <c r="G227" s="48" t="s">
        <v>8</v>
      </c>
      <c r="H227" s="109"/>
    </row>
    <row r="228" spans="1:9" ht="15.6" x14ac:dyDescent="0.3">
      <c r="A228" s="108" t="s">
        <v>105</v>
      </c>
      <c r="B228" s="106"/>
      <c r="C228" s="536" t="s">
        <v>15</v>
      </c>
      <c r="D228" s="516"/>
      <c r="E228" s="110" t="s">
        <v>106</v>
      </c>
      <c r="F228" s="111"/>
      <c r="G228" s="112"/>
      <c r="H228" s="49"/>
    </row>
    <row r="229" spans="1:9" ht="15.6" x14ac:dyDescent="0.3">
      <c r="A229" s="539" t="s">
        <v>107</v>
      </c>
      <c r="B229" s="540"/>
      <c r="C229" s="24"/>
      <c r="D229" s="25"/>
      <c r="E229" s="50"/>
      <c r="F229" s="50"/>
      <c r="G229" s="51"/>
      <c r="H229" s="52"/>
    </row>
    <row r="230" spans="1:9" ht="15" x14ac:dyDescent="0.3">
      <c r="A230" s="493" t="s">
        <v>17</v>
      </c>
      <c r="B230" s="495" t="s">
        <v>18</v>
      </c>
      <c r="C230" s="495" t="s">
        <v>19</v>
      </c>
      <c r="D230" s="495" t="s">
        <v>20</v>
      </c>
      <c r="E230" s="495" t="s">
        <v>21</v>
      </c>
      <c r="F230" s="541" t="s">
        <v>22</v>
      </c>
      <c r="G230" s="542"/>
      <c r="H230" s="493" t="s">
        <v>23</v>
      </c>
    </row>
    <row r="231" spans="1:9" ht="27.6" x14ac:dyDescent="0.3">
      <c r="A231" s="527"/>
      <c r="B231" s="505"/>
      <c r="C231" s="505"/>
      <c r="D231" s="505"/>
      <c r="E231" s="505"/>
      <c r="F231" s="53" t="s">
        <v>24</v>
      </c>
      <c r="G231" s="53" t="s">
        <v>25</v>
      </c>
      <c r="H231" s="527"/>
    </row>
    <row r="232" spans="1:9" x14ac:dyDescent="0.3">
      <c r="A232" s="56">
        <v>1</v>
      </c>
      <c r="B232" s="113" t="s">
        <v>109</v>
      </c>
      <c r="C232" s="114">
        <v>3</v>
      </c>
      <c r="D232" s="17">
        <v>85043100</v>
      </c>
      <c r="E232" s="56">
        <v>18000</v>
      </c>
      <c r="F232" s="56">
        <f>E232*C232*9%</f>
        <v>4860</v>
      </c>
      <c r="G232" s="56">
        <f>F232</f>
        <v>4860</v>
      </c>
      <c r="H232" s="55">
        <f>G232+F232+E232*C232</f>
        <v>63720</v>
      </c>
      <c r="I232" s="362">
        <f>E232*C232</f>
        <v>54000</v>
      </c>
    </row>
    <row r="233" spans="1:9" x14ac:dyDescent="0.3">
      <c r="A233" s="56">
        <v>2</v>
      </c>
      <c r="B233" s="113" t="s">
        <v>110</v>
      </c>
      <c r="C233" s="114">
        <v>3</v>
      </c>
      <c r="D233" s="56">
        <v>998719</v>
      </c>
      <c r="E233" s="56">
        <v>2000</v>
      </c>
      <c r="F233" s="56">
        <f>E233*C233*9%</f>
        <v>540</v>
      </c>
      <c r="G233" s="56">
        <f>F233</f>
        <v>540</v>
      </c>
      <c r="H233" s="55">
        <f>G233+F233+E233*C233</f>
        <v>7080</v>
      </c>
      <c r="I233" s="362">
        <f>E233*C233</f>
        <v>6000</v>
      </c>
    </row>
    <row r="234" spans="1:9" x14ac:dyDescent="0.3">
      <c r="A234" s="55"/>
      <c r="B234" s="113"/>
      <c r="C234" s="55"/>
      <c r="D234" s="47"/>
      <c r="E234" s="47"/>
      <c r="F234" s="56"/>
      <c r="G234" s="56"/>
      <c r="H234" s="47"/>
    </row>
    <row r="235" spans="1:9" x14ac:dyDescent="0.3">
      <c r="A235" s="55"/>
      <c r="B235" s="94"/>
      <c r="C235" s="55"/>
      <c r="D235" s="47"/>
      <c r="E235" s="47"/>
      <c r="F235" s="115"/>
      <c r="G235" s="115"/>
      <c r="H235" s="47"/>
    </row>
    <row r="236" spans="1:9" x14ac:dyDescent="0.3">
      <c r="A236" s="27"/>
      <c r="B236" s="28"/>
      <c r="C236" s="24"/>
      <c r="D236" s="25"/>
      <c r="E236" s="25"/>
      <c r="F236" s="25"/>
      <c r="G236" s="28"/>
      <c r="H236" s="32"/>
    </row>
    <row r="237" spans="1:9" x14ac:dyDescent="0.3">
      <c r="A237" s="27"/>
      <c r="B237" s="28"/>
      <c r="C237" s="24"/>
      <c r="D237" s="25"/>
      <c r="E237" s="25"/>
      <c r="F237" s="25"/>
      <c r="G237" s="28"/>
      <c r="H237" s="32"/>
    </row>
    <row r="238" spans="1:9" x14ac:dyDescent="0.3">
      <c r="A238" s="27"/>
      <c r="B238" s="28"/>
      <c r="C238" s="24"/>
      <c r="D238" s="25"/>
      <c r="E238" s="25"/>
      <c r="F238" s="25"/>
      <c r="G238" s="28"/>
      <c r="H238" s="32"/>
    </row>
    <row r="239" spans="1:9" x14ac:dyDescent="0.3">
      <c r="A239" s="27"/>
      <c r="B239" s="28"/>
      <c r="C239" s="24"/>
      <c r="D239" s="25"/>
      <c r="E239" s="25"/>
      <c r="F239" s="25"/>
      <c r="G239" s="28"/>
      <c r="H239" s="32"/>
    </row>
    <row r="240" spans="1:9" x14ac:dyDescent="0.3">
      <c r="A240" s="27"/>
      <c r="B240" s="28"/>
      <c r="C240" s="24"/>
      <c r="D240" s="25"/>
      <c r="E240" s="25"/>
      <c r="F240" s="25"/>
      <c r="G240" s="28"/>
      <c r="H240" s="32"/>
    </row>
    <row r="241" spans="1:8" x14ac:dyDescent="0.3">
      <c r="A241" s="27"/>
      <c r="B241" s="28"/>
      <c r="C241" s="24"/>
      <c r="D241" s="25"/>
      <c r="E241" s="25"/>
      <c r="F241" s="25"/>
      <c r="G241" s="28"/>
      <c r="H241" s="32"/>
    </row>
    <row r="242" spans="1:8" x14ac:dyDescent="0.3">
      <c r="A242" s="27"/>
      <c r="B242" s="28"/>
      <c r="C242" s="24"/>
      <c r="D242" s="25"/>
      <c r="E242" s="25"/>
      <c r="F242" s="25"/>
      <c r="G242" s="28"/>
      <c r="H242" s="32"/>
    </row>
    <row r="243" spans="1:8" x14ac:dyDescent="0.3">
      <c r="A243" s="27"/>
      <c r="B243" s="28"/>
      <c r="C243" s="24"/>
      <c r="D243" s="25"/>
      <c r="E243" s="25"/>
      <c r="F243" s="25"/>
      <c r="G243" s="28"/>
      <c r="H243" s="32"/>
    </row>
    <row r="244" spans="1:8" x14ac:dyDescent="0.3">
      <c r="A244" s="27"/>
      <c r="B244" s="28"/>
      <c r="C244" s="24"/>
      <c r="D244" s="25"/>
      <c r="E244" s="25"/>
      <c r="F244" s="25"/>
      <c r="G244" s="28"/>
      <c r="H244" s="32"/>
    </row>
    <row r="245" spans="1:8" x14ac:dyDescent="0.3">
      <c r="A245" s="27"/>
      <c r="B245" s="28"/>
      <c r="C245" s="24"/>
      <c r="D245" s="25"/>
      <c r="E245" s="25"/>
      <c r="F245" s="25"/>
      <c r="G245" s="28"/>
      <c r="H245" s="32"/>
    </row>
    <row r="246" spans="1:8" x14ac:dyDescent="0.3">
      <c r="A246" s="27"/>
      <c r="B246" s="28"/>
      <c r="C246" s="24"/>
      <c r="D246" s="25"/>
      <c r="E246" s="25"/>
      <c r="F246" s="25"/>
      <c r="G246" s="28"/>
      <c r="H246" s="32"/>
    </row>
    <row r="247" spans="1:8" x14ac:dyDescent="0.3">
      <c r="A247" s="27"/>
      <c r="B247" s="28"/>
      <c r="C247" s="24"/>
      <c r="D247" s="25"/>
      <c r="E247" s="25"/>
      <c r="F247" s="25"/>
      <c r="G247" s="28"/>
      <c r="H247" s="32"/>
    </row>
    <row r="248" spans="1:8" x14ac:dyDescent="0.3">
      <c r="A248" s="27"/>
      <c r="B248" s="28"/>
      <c r="C248" s="24"/>
      <c r="D248" s="25"/>
      <c r="E248" s="25"/>
      <c r="F248" s="25"/>
      <c r="G248" s="28"/>
      <c r="H248" s="32"/>
    </row>
    <row r="249" spans="1:8" x14ac:dyDescent="0.3">
      <c r="A249" s="27"/>
      <c r="B249" s="28"/>
      <c r="C249" s="24"/>
      <c r="D249" s="25"/>
      <c r="E249" s="25"/>
      <c r="F249" s="25"/>
      <c r="G249" s="28"/>
      <c r="H249" s="32"/>
    </row>
    <row r="250" spans="1:8" x14ac:dyDescent="0.3">
      <c r="A250" s="27"/>
      <c r="B250" s="28"/>
      <c r="C250" s="24"/>
      <c r="D250" s="25"/>
      <c r="E250" s="25"/>
      <c r="F250" s="25"/>
      <c r="G250" s="28"/>
      <c r="H250" s="32"/>
    </row>
    <row r="251" spans="1:8" ht="15.6" x14ac:dyDescent="0.3">
      <c r="A251" s="497" t="s">
        <v>97</v>
      </c>
      <c r="B251" s="498"/>
      <c r="C251" s="24"/>
      <c r="D251" s="25"/>
      <c r="E251" s="25"/>
      <c r="F251" s="116" t="s">
        <v>46</v>
      </c>
      <c r="G251" s="26"/>
      <c r="H251" s="66">
        <v>60000</v>
      </c>
    </row>
    <row r="252" spans="1:8" ht="15.6" x14ac:dyDescent="0.3">
      <c r="A252" s="497" t="s">
        <v>111</v>
      </c>
      <c r="B252" s="498"/>
      <c r="C252" s="498"/>
      <c r="D252" s="498"/>
      <c r="E252" s="67"/>
      <c r="F252" s="116" t="s">
        <v>47</v>
      </c>
      <c r="G252" s="26"/>
      <c r="H252" s="66">
        <f>H253</f>
        <v>5400</v>
      </c>
    </row>
    <row r="253" spans="1:8" ht="15.6" x14ac:dyDescent="0.3">
      <c r="A253" s="27"/>
      <c r="B253" s="28"/>
      <c r="C253" s="24"/>
      <c r="D253" s="25"/>
      <c r="E253" s="25"/>
      <c r="F253" s="116" t="s">
        <v>48</v>
      </c>
      <c r="G253" s="26"/>
      <c r="H253" s="66">
        <f>H251*9%</f>
        <v>5400</v>
      </c>
    </row>
    <row r="254" spans="1:8" ht="15.6" x14ac:dyDescent="0.3">
      <c r="A254" s="497" t="s">
        <v>49</v>
      </c>
      <c r="B254" s="498"/>
      <c r="C254" s="498"/>
      <c r="D254" s="25"/>
      <c r="E254" s="25"/>
      <c r="F254" s="116" t="s">
        <v>50</v>
      </c>
      <c r="G254" s="26"/>
      <c r="H254" s="66">
        <f>H251+H252+H253</f>
        <v>70800</v>
      </c>
    </row>
    <row r="255" spans="1:8" ht="27" x14ac:dyDescent="0.3">
      <c r="A255" s="68" t="s">
        <v>22</v>
      </c>
      <c r="B255" s="69" t="s">
        <v>51</v>
      </c>
      <c r="C255" s="70" t="s">
        <v>24</v>
      </c>
      <c r="D255" s="31" t="s">
        <v>25</v>
      </c>
      <c r="E255" s="528" t="s">
        <v>52</v>
      </c>
      <c r="F255" s="528"/>
      <c r="G255" s="28"/>
      <c r="H255" s="32"/>
    </row>
    <row r="256" spans="1:8" x14ac:dyDescent="0.3">
      <c r="A256" s="72">
        <v>0.18</v>
      </c>
      <c r="B256" s="73">
        <f>H251</f>
        <v>60000</v>
      </c>
      <c r="C256" s="74">
        <f>H252</f>
        <v>5400</v>
      </c>
      <c r="D256" s="74">
        <f>H253</f>
        <v>5400</v>
      </c>
      <c r="E256" s="507">
        <f>C256+D256</f>
        <v>10800</v>
      </c>
      <c r="F256" s="507"/>
      <c r="G256" s="74"/>
      <c r="H256" s="75"/>
    </row>
    <row r="257" spans="1:17" x14ac:dyDescent="0.3">
      <c r="A257" s="452" t="s">
        <v>112</v>
      </c>
      <c r="B257" s="453"/>
      <c r="C257" s="453"/>
      <c r="D257" s="453"/>
      <c r="E257" s="453"/>
      <c r="F257" s="78"/>
      <c r="G257" s="36"/>
      <c r="H257" s="79"/>
    </row>
    <row r="258" spans="1:17" ht="15.6" x14ac:dyDescent="0.3">
      <c r="A258" s="455" t="s">
        <v>53</v>
      </c>
      <c r="B258" s="456"/>
      <c r="C258" s="456"/>
      <c r="D258" s="117"/>
      <c r="E258" s="118" t="s">
        <v>54</v>
      </c>
      <c r="F258" s="37"/>
      <c r="G258" s="37"/>
      <c r="H258" s="38"/>
    </row>
    <row r="259" spans="1:17" x14ac:dyDescent="0.3">
      <c r="A259" s="100" t="s">
        <v>55</v>
      </c>
      <c r="B259" s="101"/>
      <c r="C259" s="101"/>
      <c r="D259" s="102"/>
      <c r="E259" s="25"/>
      <c r="F259" s="25"/>
      <c r="G259" s="28"/>
      <c r="H259" s="32"/>
    </row>
    <row r="260" spans="1:17" x14ac:dyDescent="0.3">
      <c r="A260" s="461" t="s">
        <v>56</v>
      </c>
      <c r="B260" s="462"/>
      <c r="C260" s="462"/>
      <c r="D260" s="463"/>
      <c r="E260" s="25"/>
      <c r="F260" s="25"/>
      <c r="G260" s="28"/>
      <c r="H260" s="32"/>
    </row>
    <row r="261" spans="1:17" x14ac:dyDescent="0.3">
      <c r="A261" s="461" t="s">
        <v>57</v>
      </c>
      <c r="B261" s="462"/>
      <c r="C261" s="462"/>
      <c r="D261" s="463"/>
      <c r="E261" s="25"/>
      <c r="F261" s="25"/>
      <c r="G261" s="28"/>
      <c r="H261" s="32"/>
    </row>
    <row r="262" spans="1:17" ht="15.6" x14ac:dyDescent="0.3">
      <c r="A262" s="464" t="s">
        <v>58</v>
      </c>
      <c r="B262" s="465"/>
      <c r="C262" s="465"/>
      <c r="D262" s="510"/>
      <c r="E262" s="466" t="s">
        <v>59</v>
      </c>
      <c r="F262" s="467"/>
      <c r="G262" s="467"/>
      <c r="H262" s="468"/>
    </row>
    <row r="263" spans="1:17" ht="15.6" x14ac:dyDescent="0.3">
      <c r="A263" s="104"/>
      <c r="B263" s="104"/>
      <c r="C263" s="104"/>
      <c r="D263" s="104"/>
      <c r="E263" s="105"/>
      <c r="F263" s="105"/>
      <c r="G263" s="105"/>
      <c r="H263" s="105"/>
    </row>
    <row r="264" spans="1:17" ht="15.6" x14ac:dyDescent="0.3">
      <c r="A264" s="104"/>
      <c r="B264" s="104"/>
      <c r="C264" s="104"/>
      <c r="D264" s="104"/>
      <c r="E264" s="105"/>
      <c r="F264" s="105"/>
      <c r="G264" s="105"/>
      <c r="H264" s="105"/>
    </row>
    <row r="265" spans="1:17" ht="15.6" x14ac:dyDescent="0.3">
      <c r="A265" s="104"/>
      <c r="B265" s="104"/>
      <c r="C265" s="104"/>
      <c r="D265" s="104"/>
      <c r="E265" s="105"/>
      <c r="F265" s="105"/>
      <c r="G265" s="105"/>
      <c r="H265" s="105"/>
    </row>
    <row r="268" spans="1:17" ht="44.4" x14ac:dyDescent="0.7">
      <c r="A268" s="469" t="s">
        <v>0</v>
      </c>
      <c r="B268" s="470"/>
      <c r="C268" s="470"/>
      <c r="D268" s="470"/>
      <c r="E268" s="471" t="s">
        <v>1</v>
      </c>
      <c r="F268" s="472"/>
      <c r="G268" s="472"/>
      <c r="H268" s="473"/>
      <c r="J268" s="469"/>
      <c r="K268" s="470"/>
      <c r="L268" s="470"/>
      <c r="M268" s="470"/>
      <c r="N268" s="471"/>
      <c r="O268" s="472"/>
      <c r="P268" s="472"/>
      <c r="Q268" s="473"/>
    </row>
    <row r="269" spans="1:17" ht="20.399999999999999" x14ac:dyDescent="0.35">
      <c r="A269" s="1"/>
      <c r="B269" s="476" t="s">
        <v>2</v>
      </c>
      <c r="C269" s="476"/>
      <c r="D269" s="476"/>
      <c r="E269" s="474"/>
      <c r="F269" s="474"/>
      <c r="G269" s="474"/>
      <c r="H269" s="475"/>
      <c r="J269" s="1"/>
      <c r="K269" s="476"/>
      <c r="L269" s="476"/>
      <c r="M269" s="476"/>
      <c r="N269" s="474"/>
      <c r="O269" s="474"/>
      <c r="P269" s="474"/>
      <c r="Q269" s="475"/>
    </row>
    <row r="270" spans="1:17" x14ac:dyDescent="0.3">
      <c r="A270" s="477" t="s">
        <v>3</v>
      </c>
      <c r="B270" s="478"/>
      <c r="C270" s="479" t="s">
        <v>4</v>
      </c>
      <c r="D270" s="479"/>
      <c r="E270" s="548" t="s">
        <v>5</v>
      </c>
      <c r="F270" s="549"/>
      <c r="G270" s="549"/>
      <c r="H270" s="550"/>
      <c r="J270" s="477"/>
      <c r="K270" s="478"/>
      <c r="L270" s="479"/>
      <c r="M270" s="479"/>
      <c r="N270" s="548"/>
      <c r="O270" s="549"/>
      <c r="P270" s="549"/>
      <c r="Q270" s="550"/>
    </row>
    <row r="271" spans="1:17" ht="15.6" x14ac:dyDescent="0.3">
      <c r="A271" s="138" t="s">
        <v>6</v>
      </c>
      <c r="B271" s="5"/>
      <c r="C271" s="512" t="s">
        <v>7</v>
      </c>
      <c r="D271" s="513"/>
      <c r="E271" s="594">
        <v>7</v>
      </c>
      <c r="F271" s="594"/>
      <c r="G271" s="179" t="s">
        <v>8</v>
      </c>
      <c r="H271" s="9" t="s">
        <v>121</v>
      </c>
      <c r="J271" s="138"/>
      <c r="K271" s="5"/>
      <c r="L271" s="512"/>
      <c r="M271" s="513"/>
      <c r="N271" s="594"/>
      <c r="O271" s="594"/>
      <c r="P271" s="179"/>
      <c r="Q271" s="9"/>
    </row>
    <row r="272" spans="1:17" ht="15.6" x14ac:dyDescent="0.3">
      <c r="A272" s="514" t="s">
        <v>310</v>
      </c>
      <c r="B272" s="515"/>
      <c r="C272" s="516" t="s">
        <v>10</v>
      </c>
      <c r="D272" s="481"/>
      <c r="E272" s="482"/>
      <c r="F272" s="482"/>
      <c r="G272" s="7" t="s">
        <v>8</v>
      </c>
      <c r="H272" s="9"/>
      <c r="J272" s="514"/>
      <c r="K272" s="515"/>
      <c r="L272" s="516"/>
      <c r="M272" s="481"/>
      <c r="N272" s="482"/>
      <c r="O272" s="482"/>
      <c r="P272" s="7"/>
      <c r="Q272" s="9"/>
    </row>
    <row r="273" spans="1:17" ht="15" x14ac:dyDescent="0.3">
      <c r="A273" s="517" t="s">
        <v>311</v>
      </c>
      <c r="B273" s="518"/>
      <c r="C273" s="484" t="s">
        <v>12</v>
      </c>
      <c r="D273" s="519"/>
      <c r="E273" s="520"/>
      <c r="F273" s="520"/>
      <c r="G273" s="10" t="s">
        <v>8</v>
      </c>
      <c r="H273" s="11"/>
      <c r="J273" s="517"/>
      <c r="K273" s="518"/>
      <c r="L273" s="484"/>
      <c r="M273" s="519"/>
      <c r="N273" s="520"/>
      <c r="O273" s="520"/>
      <c r="P273" s="10"/>
      <c r="Q273" s="11"/>
    </row>
    <row r="274" spans="1:17" ht="15.6" x14ac:dyDescent="0.3">
      <c r="A274" s="210" t="s">
        <v>14</v>
      </c>
      <c r="B274" s="211"/>
      <c r="C274" s="521" t="s">
        <v>15</v>
      </c>
      <c r="D274" s="522"/>
      <c r="E274" s="523" t="s">
        <v>312</v>
      </c>
      <c r="F274" s="524"/>
      <c r="G274" s="524"/>
      <c r="H274" s="6"/>
      <c r="J274" s="210"/>
      <c r="K274" s="211"/>
      <c r="L274" s="521"/>
      <c r="M274" s="522"/>
      <c r="N274" s="523"/>
      <c r="O274" s="524"/>
      <c r="P274" s="524"/>
      <c r="Q274" s="6"/>
    </row>
    <row r="275" spans="1:17" ht="15.6" x14ac:dyDescent="0.3">
      <c r="A275" s="180" t="s">
        <v>13</v>
      </c>
      <c r="B275" s="181" t="s">
        <v>313</v>
      </c>
      <c r="C275" s="182"/>
      <c r="D275" s="50"/>
      <c r="E275" s="183"/>
      <c r="F275" s="183"/>
      <c r="G275" s="183"/>
      <c r="H275" s="52"/>
      <c r="J275" s="180"/>
      <c r="K275" s="181"/>
      <c r="L275" s="182"/>
      <c r="M275" s="50"/>
      <c r="N275" s="183"/>
      <c r="O275" s="183"/>
      <c r="P275" s="183"/>
      <c r="Q275" s="52"/>
    </row>
    <row r="276" spans="1:17" ht="15" x14ac:dyDescent="0.3">
      <c r="A276" s="527" t="s">
        <v>17</v>
      </c>
      <c r="B276" s="505" t="s">
        <v>18</v>
      </c>
      <c r="C276" s="505" t="s">
        <v>19</v>
      </c>
      <c r="D276" s="505" t="s">
        <v>20</v>
      </c>
      <c r="E276" s="505" t="s">
        <v>21</v>
      </c>
      <c r="F276" s="505" t="s">
        <v>22</v>
      </c>
      <c r="G276" s="505"/>
      <c r="H276" s="527" t="s">
        <v>23</v>
      </c>
      <c r="J276" s="527"/>
      <c r="K276" s="505"/>
      <c r="L276" s="505"/>
      <c r="M276" s="505"/>
      <c r="N276" s="505"/>
      <c r="O276" s="505"/>
      <c r="P276" s="505"/>
      <c r="Q276" s="527"/>
    </row>
    <row r="277" spans="1:17" ht="27.6" x14ac:dyDescent="0.3">
      <c r="A277" s="492"/>
      <c r="B277" s="494"/>
      <c r="C277" s="494"/>
      <c r="D277" s="494"/>
      <c r="E277" s="494"/>
      <c r="F277" s="53" t="s">
        <v>24</v>
      </c>
      <c r="G277" s="53" t="s">
        <v>25</v>
      </c>
      <c r="H277" s="492"/>
      <c r="J277" s="492"/>
      <c r="K277" s="494"/>
      <c r="L277" s="494"/>
      <c r="M277" s="494"/>
      <c r="N277" s="494"/>
      <c r="O277" s="53"/>
      <c r="P277" s="53"/>
      <c r="Q277" s="492"/>
    </row>
    <row r="278" spans="1:17" x14ac:dyDescent="0.3">
      <c r="A278" s="184">
        <v>1</v>
      </c>
      <c r="B278" s="212" t="s">
        <v>314</v>
      </c>
      <c r="C278" s="57">
        <v>1</v>
      </c>
      <c r="D278" s="56">
        <v>998719</v>
      </c>
      <c r="E278" s="185">
        <v>8000</v>
      </c>
      <c r="F278" s="58">
        <f>E278*C278*9%</f>
        <v>720</v>
      </c>
      <c r="G278" s="58">
        <f>F278</f>
        <v>720</v>
      </c>
      <c r="H278" s="59">
        <f>E278*C278+F278+G278</f>
        <v>9440</v>
      </c>
      <c r="I278" s="362">
        <f>E278*C278</f>
        <v>8000</v>
      </c>
      <c r="J278" s="184"/>
      <c r="K278" s="212"/>
      <c r="L278" s="57"/>
      <c r="M278" s="56"/>
      <c r="N278" s="185"/>
      <c r="O278" s="58"/>
      <c r="P278" s="58"/>
      <c r="Q278" s="59"/>
    </row>
    <row r="279" spans="1:17" x14ac:dyDescent="0.3">
      <c r="A279" s="186">
        <v>2</v>
      </c>
      <c r="B279" s="212" t="s">
        <v>315</v>
      </c>
      <c r="C279" s="188">
        <v>4</v>
      </c>
      <c r="D279" s="56">
        <v>998719</v>
      </c>
      <c r="E279" s="57">
        <v>3500</v>
      </c>
      <c r="F279" s="58">
        <f>E279*C279*9%</f>
        <v>1260</v>
      </c>
      <c r="G279" s="58">
        <f>F279</f>
        <v>1260</v>
      </c>
      <c r="H279" s="59">
        <f>E279*C279+F279+G279</f>
        <v>16520</v>
      </c>
      <c r="I279" s="362">
        <f>E279*C279</f>
        <v>14000</v>
      </c>
      <c r="J279" s="186"/>
      <c r="K279" s="187"/>
      <c r="L279" s="188"/>
      <c r="M279" s="56"/>
      <c r="N279" s="57"/>
      <c r="O279" s="58"/>
      <c r="P279" s="58"/>
      <c r="Q279" s="59"/>
    </row>
    <row r="280" spans="1:17" x14ac:dyDescent="0.3">
      <c r="A280" s="57">
        <v>3</v>
      </c>
      <c r="B280" s="60" t="s">
        <v>316</v>
      </c>
      <c r="C280" s="57">
        <v>1</v>
      </c>
      <c r="D280" s="56">
        <v>998719</v>
      </c>
      <c r="E280" s="57">
        <v>3500</v>
      </c>
      <c r="F280" s="58">
        <f>E280*C280*9%</f>
        <v>315</v>
      </c>
      <c r="G280" s="58">
        <f>F280</f>
        <v>315</v>
      </c>
      <c r="H280" s="59">
        <f>E280*C280+F280+G280</f>
        <v>4130</v>
      </c>
      <c r="I280" s="362">
        <f>E280*C280</f>
        <v>3500</v>
      </c>
      <c r="J280" s="57"/>
      <c r="K280" s="60"/>
      <c r="L280" s="57"/>
      <c r="M280" s="56"/>
      <c r="N280" s="57"/>
      <c r="O280" s="58"/>
      <c r="P280" s="58"/>
      <c r="Q280" s="59"/>
    </row>
    <row r="281" spans="1:17" x14ac:dyDescent="0.3">
      <c r="A281" s="173"/>
      <c r="B281" s="174"/>
      <c r="C281" s="175"/>
      <c r="D281" s="152"/>
      <c r="E281" s="175"/>
      <c r="F281" s="165"/>
      <c r="G281" s="165"/>
      <c r="H281" s="166"/>
      <c r="J281" s="173"/>
      <c r="K281" s="174"/>
      <c r="L281" s="175"/>
      <c r="M281" s="152"/>
      <c r="N281" s="175"/>
      <c r="O281" s="165"/>
      <c r="P281" s="165"/>
      <c r="Q281" s="166"/>
    </row>
    <row r="282" spans="1:17" x14ac:dyDescent="0.3">
      <c r="A282" s="173"/>
      <c r="B282" s="174"/>
      <c r="C282" s="175"/>
      <c r="D282" s="152"/>
      <c r="E282" s="175"/>
      <c r="F282" s="165"/>
      <c r="G282" s="165"/>
      <c r="H282" s="166"/>
      <c r="J282" s="173"/>
      <c r="K282" s="174"/>
      <c r="L282" s="175"/>
      <c r="M282" s="152"/>
      <c r="N282" s="175"/>
      <c r="O282" s="165"/>
      <c r="P282" s="165"/>
      <c r="Q282" s="166"/>
    </row>
    <row r="283" spans="1:17" x14ac:dyDescent="0.3">
      <c r="A283" s="173"/>
      <c r="B283" s="174"/>
      <c r="C283" s="175"/>
      <c r="D283" s="152"/>
      <c r="E283" s="175"/>
      <c r="F283" s="165"/>
      <c r="G283" s="165"/>
      <c r="H283" s="166"/>
      <c r="J283" s="173"/>
      <c r="K283" s="174"/>
      <c r="L283" s="175"/>
      <c r="M283" s="152"/>
      <c r="N283" s="175"/>
      <c r="O283" s="165"/>
      <c r="P283" s="165"/>
      <c r="Q283" s="166"/>
    </row>
    <row r="284" spans="1:17" x14ac:dyDescent="0.3">
      <c r="A284" s="173"/>
      <c r="B284" s="174"/>
      <c r="C284" s="175"/>
      <c r="D284" s="152"/>
      <c r="E284" s="175"/>
      <c r="F284" s="165"/>
      <c r="G284" s="165"/>
      <c r="H284" s="166"/>
      <c r="J284" s="173"/>
      <c r="K284" s="174"/>
      <c r="L284" s="175"/>
      <c r="M284" s="152"/>
      <c r="N284" s="175"/>
      <c r="O284" s="165"/>
      <c r="P284" s="165"/>
      <c r="Q284" s="166"/>
    </row>
    <row r="285" spans="1:17" x14ac:dyDescent="0.3">
      <c r="A285" s="173"/>
      <c r="B285" s="174"/>
      <c r="C285" s="175"/>
      <c r="D285" s="152"/>
      <c r="E285" s="175"/>
      <c r="F285" s="165"/>
      <c r="G285" s="165"/>
      <c r="H285" s="166"/>
      <c r="J285" s="173"/>
      <c r="K285" s="174"/>
      <c r="L285" s="175"/>
      <c r="M285" s="152"/>
      <c r="N285" s="175"/>
      <c r="O285" s="165"/>
      <c r="P285" s="165"/>
      <c r="Q285" s="166"/>
    </row>
    <row r="286" spans="1:17" x14ac:dyDescent="0.3">
      <c r="A286" s="173"/>
      <c r="B286" s="174"/>
      <c r="C286" s="175"/>
      <c r="D286" s="152"/>
      <c r="E286" s="175"/>
      <c r="F286" s="165"/>
      <c r="G286" s="165"/>
      <c r="H286" s="166"/>
      <c r="J286" s="173"/>
      <c r="K286" s="174"/>
      <c r="L286" s="175"/>
      <c r="M286" s="152"/>
      <c r="N286" s="175"/>
      <c r="O286" s="165"/>
      <c r="P286" s="165"/>
      <c r="Q286" s="166"/>
    </row>
    <row r="287" spans="1:17" x14ac:dyDescent="0.3">
      <c r="A287" s="173"/>
      <c r="B287" s="174"/>
      <c r="C287" s="175"/>
      <c r="D287" s="152"/>
      <c r="E287" s="175"/>
      <c r="F287" s="165"/>
      <c r="G287" s="165"/>
      <c r="H287" s="166"/>
      <c r="J287" s="173"/>
      <c r="K287" s="174"/>
      <c r="L287" s="175"/>
      <c r="M287" s="152"/>
      <c r="N287" s="175"/>
      <c r="O287" s="165"/>
      <c r="P287" s="165"/>
      <c r="Q287" s="166"/>
    </row>
    <row r="288" spans="1:17" x14ac:dyDescent="0.3">
      <c r="A288" s="173"/>
      <c r="B288" s="174"/>
      <c r="C288" s="175"/>
      <c r="D288" s="152"/>
      <c r="E288" s="175"/>
      <c r="F288" s="165"/>
      <c r="G288" s="165"/>
      <c r="H288" s="166"/>
      <c r="J288" s="173"/>
      <c r="K288" s="174"/>
      <c r="L288" s="175"/>
      <c r="M288" s="152"/>
      <c r="N288" s="175"/>
      <c r="O288" s="165"/>
      <c r="P288" s="165"/>
      <c r="Q288" s="166"/>
    </row>
    <row r="289" spans="1:17" x14ac:dyDescent="0.3">
      <c r="A289" s="173"/>
      <c r="B289" s="174"/>
      <c r="C289" s="175"/>
      <c r="D289" s="152"/>
      <c r="E289" s="175"/>
      <c r="F289" s="165"/>
      <c r="G289" s="165"/>
      <c r="H289" s="166"/>
      <c r="J289" s="173"/>
      <c r="K289" s="174"/>
      <c r="L289" s="175"/>
      <c r="M289" s="152"/>
      <c r="N289" s="175"/>
      <c r="O289" s="165"/>
      <c r="P289" s="165"/>
      <c r="Q289" s="166"/>
    </row>
    <row r="290" spans="1:17" x14ac:dyDescent="0.3">
      <c r="A290" s="173"/>
      <c r="B290" s="174"/>
      <c r="C290" s="175"/>
      <c r="D290" s="152"/>
      <c r="E290" s="175"/>
      <c r="F290" s="165"/>
      <c r="G290" s="165"/>
      <c r="H290" s="166"/>
      <c r="J290" s="173"/>
      <c r="K290" s="174"/>
      <c r="L290" s="175"/>
      <c r="M290" s="152"/>
      <c r="N290" s="175"/>
      <c r="O290" s="165"/>
      <c r="P290" s="165"/>
      <c r="Q290" s="166"/>
    </row>
    <row r="291" spans="1:17" x14ac:dyDescent="0.3">
      <c r="A291" s="173"/>
      <c r="B291" s="174"/>
      <c r="C291" s="175"/>
      <c r="D291" s="152"/>
      <c r="E291" s="175"/>
      <c r="F291" s="165"/>
      <c r="G291" s="165"/>
      <c r="H291" s="166"/>
      <c r="J291" s="173"/>
      <c r="K291" s="174"/>
      <c r="L291" s="175"/>
      <c r="M291" s="152"/>
      <c r="N291" s="175"/>
      <c r="O291" s="165"/>
      <c r="P291" s="165"/>
      <c r="Q291" s="166"/>
    </row>
    <row r="292" spans="1:17" x14ac:dyDescent="0.3">
      <c r="A292" s="173"/>
      <c r="B292" s="174"/>
      <c r="C292" s="175"/>
      <c r="D292" s="152"/>
      <c r="E292" s="175"/>
      <c r="F292" s="165"/>
      <c r="G292" s="165"/>
      <c r="H292" s="166"/>
      <c r="J292" s="173"/>
      <c r="K292" s="174"/>
      <c r="L292" s="175"/>
      <c r="M292" s="152"/>
      <c r="N292" s="175"/>
      <c r="O292" s="165"/>
      <c r="P292" s="165"/>
      <c r="Q292" s="166"/>
    </row>
    <row r="293" spans="1:17" x14ac:dyDescent="0.3">
      <c r="A293" s="173"/>
      <c r="B293" s="174"/>
      <c r="C293" s="175"/>
      <c r="D293" s="152"/>
      <c r="E293" s="175"/>
      <c r="F293" s="165"/>
      <c r="G293" s="165"/>
      <c r="H293" s="166"/>
      <c r="J293" s="173"/>
      <c r="K293" s="174"/>
      <c r="L293" s="175"/>
      <c r="M293" s="152"/>
      <c r="N293" s="175"/>
      <c r="O293" s="165"/>
      <c r="P293" s="165"/>
      <c r="Q293" s="166"/>
    </row>
    <row r="294" spans="1:17" x14ac:dyDescent="0.3">
      <c r="A294" s="27"/>
      <c r="B294" s="174"/>
      <c r="C294" s="24"/>
      <c r="D294" s="152"/>
      <c r="E294" s="175"/>
      <c r="F294" s="175"/>
      <c r="G294" s="162"/>
      <c r="H294" s="154"/>
      <c r="J294" s="27"/>
      <c r="K294" s="174"/>
      <c r="L294" s="24"/>
      <c r="M294" s="152"/>
      <c r="N294" s="175"/>
      <c r="O294" s="175"/>
      <c r="P294" s="162"/>
      <c r="Q294" s="154"/>
    </row>
    <row r="295" spans="1:17" x14ac:dyDescent="0.3">
      <c r="A295" s="27"/>
      <c r="B295" s="174"/>
      <c r="C295" s="24"/>
      <c r="D295" s="152"/>
      <c r="E295" s="25"/>
      <c r="F295" s="175"/>
      <c r="G295" s="162"/>
      <c r="H295" s="154"/>
      <c r="J295" s="27"/>
      <c r="K295" s="174"/>
      <c r="L295" s="24"/>
      <c r="M295" s="152"/>
      <c r="N295" s="25"/>
      <c r="O295" s="175"/>
      <c r="P295" s="162"/>
      <c r="Q295" s="154"/>
    </row>
    <row r="296" spans="1:17" x14ac:dyDescent="0.3">
      <c r="A296" s="27"/>
      <c r="B296" s="28"/>
      <c r="C296" s="24"/>
      <c r="D296" s="152"/>
      <c r="E296" s="25"/>
      <c r="F296" s="175"/>
      <c r="G296" s="162"/>
      <c r="H296" s="154"/>
      <c r="J296" s="27"/>
      <c r="K296" s="28"/>
      <c r="L296" s="24"/>
      <c r="M296" s="152"/>
      <c r="N296" s="25"/>
      <c r="O296" s="175"/>
      <c r="P296" s="162"/>
      <c r="Q296" s="154"/>
    </row>
    <row r="297" spans="1:17" x14ac:dyDescent="0.3">
      <c r="A297" s="27"/>
      <c r="B297" s="28"/>
      <c r="C297" s="24"/>
      <c r="D297" s="25"/>
      <c r="E297" s="25"/>
      <c r="F297" s="25"/>
      <c r="G297" s="28"/>
      <c r="H297" s="32"/>
      <c r="J297" s="27"/>
      <c r="K297" s="28"/>
      <c r="L297" s="24"/>
      <c r="M297" s="25"/>
      <c r="N297" s="25"/>
      <c r="O297" s="25"/>
      <c r="P297" s="28"/>
      <c r="Q297" s="32"/>
    </row>
    <row r="298" spans="1:17" ht="15.6" x14ac:dyDescent="0.3">
      <c r="A298" s="448" t="s">
        <v>45</v>
      </c>
      <c r="B298" s="449"/>
      <c r="C298" s="24"/>
      <c r="D298" s="25"/>
      <c r="E298" s="25"/>
      <c r="F298" s="447" t="s">
        <v>46</v>
      </c>
      <c r="G298" s="447"/>
      <c r="H298" s="66">
        <v>25500</v>
      </c>
      <c r="J298" s="448"/>
      <c r="K298" s="449"/>
      <c r="L298" s="24"/>
      <c r="M298" s="25"/>
      <c r="N298" s="25"/>
      <c r="O298" s="447"/>
      <c r="P298" s="447"/>
      <c r="Q298" s="66"/>
    </row>
    <row r="299" spans="1:17" ht="15.6" x14ac:dyDescent="0.3">
      <c r="A299" s="497" t="s">
        <v>317</v>
      </c>
      <c r="B299" s="498"/>
      <c r="C299" s="498"/>
      <c r="D299" s="498"/>
      <c r="E299" s="498"/>
      <c r="F299" s="447" t="s">
        <v>47</v>
      </c>
      <c r="G299" s="447"/>
      <c r="H299" s="66">
        <f>H298*9%</f>
        <v>2295</v>
      </c>
      <c r="J299" s="497"/>
      <c r="K299" s="498"/>
      <c r="L299" s="498"/>
      <c r="M299" s="498"/>
      <c r="N299" s="498"/>
      <c r="O299" s="447"/>
      <c r="P299" s="447"/>
      <c r="Q299" s="66"/>
    </row>
    <row r="300" spans="1:17" ht="15.6" x14ac:dyDescent="0.3">
      <c r="A300" s="27"/>
      <c r="B300" s="28"/>
      <c r="C300" s="24"/>
      <c r="D300" s="25"/>
      <c r="E300" s="25"/>
      <c r="F300" s="447" t="s">
        <v>48</v>
      </c>
      <c r="G300" s="447"/>
      <c r="H300" s="66">
        <f>H299</f>
        <v>2295</v>
      </c>
      <c r="J300" s="27"/>
      <c r="K300" s="28"/>
      <c r="L300" s="24"/>
      <c r="M300" s="25"/>
      <c r="N300" s="25"/>
      <c r="O300" s="447"/>
      <c r="P300" s="447"/>
      <c r="Q300" s="66"/>
    </row>
    <row r="301" spans="1:17" ht="15.6" x14ac:dyDescent="0.3">
      <c r="A301" s="448" t="s">
        <v>49</v>
      </c>
      <c r="B301" s="449"/>
      <c r="C301" s="24"/>
      <c r="D301" s="25"/>
      <c r="E301" s="25"/>
      <c r="F301" s="447" t="s">
        <v>50</v>
      </c>
      <c r="G301" s="447"/>
      <c r="H301" s="66">
        <f>H298+H299+H300</f>
        <v>30090</v>
      </c>
      <c r="J301" s="448"/>
      <c r="K301" s="449"/>
      <c r="L301" s="24"/>
      <c r="M301" s="25"/>
      <c r="N301" s="25"/>
      <c r="O301" s="447"/>
      <c r="P301" s="447"/>
      <c r="Q301" s="66"/>
    </row>
    <row r="302" spans="1:17" ht="15.6" x14ac:dyDescent="0.3">
      <c r="A302" s="90"/>
      <c r="B302" s="177"/>
      <c r="C302" s="24"/>
      <c r="D302" s="25"/>
      <c r="E302" s="25"/>
      <c r="F302" s="26"/>
      <c r="G302" s="26"/>
      <c r="H302" s="66"/>
      <c r="J302" s="90"/>
      <c r="K302" s="177"/>
      <c r="L302" s="24"/>
      <c r="M302" s="25"/>
      <c r="N302" s="25"/>
      <c r="O302" s="26"/>
      <c r="P302" s="26"/>
      <c r="Q302" s="66"/>
    </row>
    <row r="303" spans="1:17" ht="27" x14ac:dyDescent="0.3">
      <c r="A303" s="29" t="s">
        <v>22</v>
      </c>
      <c r="B303" s="30" t="s">
        <v>51</v>
      </c>
      <c r="C303" s="31" t="s">
        <v>24</v>
      </c>
      <c r="D303" s="31" t="s">
        <v>25</v>
      </c>
      <c r="E303" s="528" t="s">
        <v>52</v>
      </c>
      <c r="F303" s="528"/>
      <c r="G303" s="28"/>
      <c r="H303" s="32"/>
      <c r="J303" s="29"/>
      <c r="K303" s="30"/>
      <c r="L303" s="31"/>
      <c r="M303" s="31"/>
      <c r="N303" s="528"/>
      <c r="O303" s="528"/>
      <c r="P303" s="28"/>
      <c r="Q303" s="32"/>
    </row>
    <row r="304" spans="1:17" x14ac:dyDescent="0.3">
      <c r="A304" s="33">
        <v>0.18</v>
      </c>
      <c r="B304" s="34">
        <f>H298</f>
        <v>25500</v>
      </c>
      <c r="C304" s="35">
        <f>H299</f>
        <v>2295</v>
      </c>
      <c r="D304" s="35">
        <f>H300</f>
        <v>2295</v>
      </c>
      <c r="E304" s="529">
        <f>C304+D304</f>
        <v>4590</v>
      </c>
      <c r="F304" s="530"/>
      <c r="G304" s="28"/>
      <c r="H304" s="32"/>
      <c r="J304" s="33"/>
      <c r="K304" s="34"/>
      <c r="L304" s="35"/>
      <c r="M304" s="35"/>
      <c r="N304" s="529"/>
      <c r="O304" s="530"/>
      <c r="P304" s="28"/>
      <c r="Q304" s="32"/>
    </row>
    <row r="305" spans="1:17" x14ac:dyDescent="0.3">
      <c r="A305" s="452" t="s">
        <v>318</v>
      </c>
      <c r="B305" s="453"/>
      <c r="C305" s="453"/>
      <c r="D305" s="453"/>
      <c r="E305" s="453"/>
      <c r="F305" s="453"/>
      <c r="G305" s="453"/>
      <c r="H305" s="454"/>
      <c r="J305" s="452"/>
      <c r="K305" s="453"/>
      <c r="L305" s="453"/>
      <c r="M305" s="453"/>
      <c r="N305" s="453"/>
      <c r="O305" s="453"/>
      <c r="P305" s="453"/>
      <c r="Q305" s="454"/>
    </row>
    <row r="306" spans="1:17" ht="15.6" x14ac:dyDescent="0.3">
      <c r="A306" s="455" t="s">
        <v>53</v>
      </c>
      <c r="B306" s="456"/>
      <c r="C306" s="456"/>
      <c r="D306" s="457"/>
      <c r="E306" s="458" t="s">
        <v>54</v>
      </c>
      <c r="F306" s="459"/>
      <c r="G306" s="459"/>
      <c r="H306" s="460"/>
      <c r="J306" s="455"/>
      <c r="K306" s="456"/>
      <c r="L306" s="456"/>
      <c r="M306" s="457"/>
      <c r="N306" s="458"/>
      <c r="O306" s="459"/>
      <c r="P306" s="459"/>
      <c r="Q306" s="460"/>
    </row>
    <row r="307" spans="1:17" x14ac:dyDescent="0.3">
      <c r="A307" s="461" t="s">
        <v>55</v>
      </c>
      <c r="B307" s="462"/>
      <c r="C307" s="462"/>
      <c r="D307" s="463"/>
      <c r="E307" s="39"/>
      <c r="F307" s="25"/>
      <c r="G307" s="28"/>
      <c r="H307" s="32"/>
      <c r="J307" s="461"/>
      <c r="K307" s="462"/>
      <c r="L307" s="462"/>
      <c r="M307" s="463"/>
      <c r="N307" s="39"/>
      <c r="O307" s="25"/>
      <c r="P307" s="28"/>
      <c r="Q307" s="32"/>
    </row>
    <row r="308" spans="1:17" x14ac:dyDescent="0.3">
      <c r="A308" s="461" t="s">
        <v>56</v>
      </c>
      <c r="B308" s="462"/>
      <c r="C308" s="462"/>
      <c r="D308" s="463"/>
      <c r="E308" s="39"/>
      <c r="F308" s="25"/>
      <c r="G308" s="28"/>
      <c r="H308" s="32"/>
      <c r="J308" s="461"/>
      <c r="K308" s="462"/>
      <c r="L308" s="462"/>
      <c r="M308" s="463"/>
      <c r="N308" s="39"/>
      <c r="O308" s="25"/>
      <c r="P308" s="28"/>
      <c r="Q308" s="32"/>
    </row>
    <row r="309" spans="1:17" x14ac:dyDescent="0.3">
      <c r="A309" s="461" t="s">
        <v>57</v>
      </c>
      <c r="B309" s="462"/>
      <c r="C309" s="462"/>
      <c r="D309" s="463"/>
      <c r="E309" s="25"/>
      <c r="F309" s="25"/>
      <c r="G309" s="28"/>
      <c r="H309" s="32"/>
      <c r="J309" s="461"/>
      <c r="K309" s="462"/>
      <c r="L309" s="462"/>
      <c r="M309" s="463"/>
      <c r="N309" s="25"/>
      <c r="O309" s="25"/>
      <c r="P309" s="28"/>
      <c r="Q309" s="32"/>
    </row>
    <row r="310" spans="1:17" ht="15.6" x14ac:dyDescent="0.3">
      <c r="A310" s="464" t="s">
        <v>58</v>
      </c>
      <c r="B310" s="465"/>
      <c r="C310" s="465"/>
      <c r="D310" s="510"/>
      <c r="E310" s="466" t="s">
        <v>59</v>
      </c>
      <c r="F310" s="467"/>
      <c r="G310" s="467"/>
      <c r="H310" s="468"/>
      <c r="J310" s="685"/>
      <c r="K310" s="686"/>
      <c r="L310" s="686"/>
      <c r="M310" s="687"/>
      <c r="N310" s="572"/>
      <c r="O310" s="573"/>
      <c r="P310" s="573"/>
      <c r="Q310" s="574"/>
    </row>
    <row r="311" spans="1:17" x14ac:dyDescent="0.3">
      <c r="A311" s="462"/>
      <c r="B311" s="462"/>
      <c r="C311" s="462"/>
      <c r="D311" s="462"/>
      <c r="E311" s="25"/>
      <c r="F311" s="25"/>
      <c r="G311" s="28"/>
      <c r="H311" s="25"/>
    </row>
    <row r="312" spans="1:17" ht="15.6" x14ac:dyDescent="0.3">
      <c r="A312" s="686"/>
      <c r="B312" s="686"/>
      <c r="C312" s="686"/>
      <c r="D312" s="686"/>
      <c r="E312" s="573"/>
      <c r="F312" s="573"/>
      <c r="G312" s="573"/>
      <c r="H312" s="573"/>
    </row>
    <row r="318" spans="1:17" ht="44.4" x14ac:dyDescent="0.7">
      <c r="A318" s="469" t="s">
        <v>0</v>
      </c>
      <c r="B318" s="470"/>
      <c r="C318" s="470"/>
      <c r="D318" s="470"/>
      <c r="E318" s="471" t="s">
        <v>92</v>
      </c>
      <c r="F318" s="471"/>
      <c r="G318" s="471"/>
      <c r="H318" s="604"/>
    </row>
    <row r="319" spans="1:17" ht="20.399999999999999" x14ac:dyDescent="0.35">
      <c r="A319" s="1"/>
      <c r="B319" s="535" t="s">
        <v>2</v>
      </c>
      <c r="C319" s="535"/>
      <c r="D319" s="535"/>
      <c r="E319" s="676"/>
      <c r="F319" s="676"/>
      <c r="G319" s="676"/>
      <c r="H319" s="677"/>
    </row>
    <row r="320" spans="1:17" x14ac:dyDescent="0.3">
      <c r="A320" s="477" t="s">
        <v>3</v>
      </c>
      <c r="B320" s="478"/>
      <c r="C320" s="479" t="s">
        <v>4</v>
      </c>
      <c r="D320" s="479"/>
      <c r="E320" s="480" t="s">
        <v>5</v>
      </c>
      <c r="F320" s="480"/>
      <c r="G320" s="480"/>
      <c r="H320" s="480"/>
    </row>
    <row r="321" spans="1:8" ht="15.6" x14ac:dyDescent="0.3">
      <c r="A321" s="4" t="s">
        <v>6</v>
      </c>
      <c r="B321" s="5"/>
      <c r="C321" s="536" t="s">
        <v>7</v>
      </c>
      <c r="D321" s="516"/>
      <c r="E321" s="489">
        <v>8</v>
      </c>
      <c r="F321" s="491"/>
      <c r="G321" s="44" t="s">
        <v>8</v>
      </c>
      <c r="H321" s="8" t="s">
        <v>108</v>
      </c>
    </row>
    <row r="322" spans="1:8" ht="15.6" x14ac:dyDescent="0.3">
      <c r="A322" s="121" t="s">
        <v>113</v>
      </c>
      <c r="B322" s="107"/>
      <c r="C322" s="536" t="s">
        <v>10</v>
      </c>
      <c r="D322" s="516"/>
      <c r="E322" s="489"/>
      <c r="F322" s="491"/>
      <c r="G322" s="44" t="s">
        <v>8</v>
      </c>
      <c r="H322" s="6"/>
    </row>
    <row r="323" spans="1:8" ht="15" x14ac:dyDescent="0.3">
      <c r="A323" s="108" t="s">
        <v>115</v>
      </c>
      <c r="B323" s="106"/>
      <c r="C323" s="483" t="s">
        <v>12</v>
      </c>
      <c r="D323" s="484"/>
      <c r="E323" s="613"/>
      <c r="F323" s="614"/>
      <c r="G323" s="48" t="s">
        <v>8</v>
      </c>
      <c r="H323" s="109"/>
    </row>
    <row r="324" spans="1:8" ht="15.6" x14ac:dyDescent="0.3">
      <c r="A324" s="108" t="s">
        <v>116</v>
      </c>
      <c r="B324" s="106"/>
      <c r="C324" s="536" t="s">
        <v>15</v>
      </c>
      <c r="D324" s="516"/>
      <c r="E324" s="688" t="s">
        <v>114</v>
      </c>
      <c r="F324" s="689"/>
      <c r="G324" s="690"/>
      <c r="H324" s="49"/>
    </row>
    <row r="325" spans="1:8" ht="15.6" x14ac:dyDescent="0.3">
      <c r="A325" s="539" t="s">
        <v>117</v>
      </c>
      <c r="B325" s="540"/>
      <c r="C325" s="24"/>
      <c r="D325" s="25"/>
      <c r="E325" s="50"/>
      <c r="F325" s="50"/>
      <c r="G325" s="51"/>
      <c r="H325" s="52"/>
    </row>
    <row r="326" spans="1:8" ht="15" x14ac:dyDescent="0.3">
      <c r="A326" s="493" t="s">
        <v>17</v>
      </c>
      <c r="B326" s="495" t="s">
        <v>18</v>
      </c>
      <c r="C326" s="495" t="s">
        <v>19</v>
      </c>
      <c r="D326" s="495" t="s">
        <v>20</v>
      </c>
      <c r="E326" s="495" t="s">
        <v>21</v>
      </c>
      <c r="F326" s="541" t="s">
        <v>22</v>
      </c>
      <c r="G326" s="542"/>
      <c r="H326" s="493" t="s">
        <v>23</v>
      </c>
    </row>
    <row r="327" spans="1:8" ht="27.6" x14ac:dyDescent="0.3">
      <c r="A327" s="527"/>
      <c r="B327" s="505"/>
      <c r="C327" s="505"/>
      <c r="D327" s="505"/>
      <c r="E327" s="505"/>
      <c r="F327" s="53" t="s">
        <v>24</v>
      </c>
      <c r="G327" s="53" t="s">
        <v>25</v>
      </c>
      <c r="H327" s="527"/>
    </row>
    <row r="328" spans="1:8" x14ac:dyDescent="0.3">
      <c r="A328" s="56">
        <v>1</v>
      </c>
      <c r="B328" s="113" t="s">
        <v>118</v>
      </c>
      <c r="C328" s="114">
        <v>2</v>
      </c>
      <c r="D328" s="56">
        <v>854690</v>
      </c>
      <c r="E328" s="56">
        <v>3000</v>
      </c>
      <c r="F328" s="56">
        <f>E328*C328*9%</f>
        <v>540</v>
      </c>
      <c r="G328" s="56">
        <f>F328</f>
        <v>540</v>
      </c>
      <c r="H328" s="57">
        <f>G328+F328+E328*C328</f>
        <v>7080</v>
      </c>
    </row>
    <row r="329" spans="1:8" x14ac:dyDescent="0.3">
      <c r="A329" s="56"/>
      <c r="B329" s="113"/>
      <c r="C329" s="114"/>
      <c r="D329" s="56"/>
      <c r="E329" s="56"/>
      <c r="F329" s="56"/>
      <c r="G329" s="56"/>
      <c r="H329" s="55"/>
    </row>
    <row r="330" spans="1:8" x14ac:dyDescent="0.3">
      <c r="A330" s="55"/>
      <c r="B330" s="113"/>
      <c r="C330" s="55"/>
      <c r="D330" s="47"/>
      <c r="E330" s="47"/>
      <c r="F330" s="56"/>
      <c r="G330" s="56"/>
      <c r="H330" s="47"/>
    </row>
    <row r="331" spans="1:8" x14ac:dyDescent="0.3">
      <c r="A331" s="55"/>
      <c r="B331" s="94"/>
      <c r="C331" s="55"/>
      <c r="D331" s="47"/>
      <c r="E331" s="47"/>
      <c r="F331" s="115"/>
      <c r="G331" s="115"/>
      <c r="H331" s="47"/>
    </row>
    <row r="332" spans="1:8" x14ac:dyDescent="0.3">
      <c r="A332" s="27"/>
      <c r="B332" s="28"/>
      <c r="C332" s="24"/>
      <c r="D332" s="25"/>
      <c r="E332" s="25"/>
      <c r="F332" s="25"/>
      <c r="G332" s="28"/>
      <c r="H332" s="32"/>
    </row>
    <row r="333" spans="1:8" x14ac:dyDescent="0.3">
      <c r="A333" s="27"/>
      <c r="B333" s="28"/>
      <c r="C333" s="24"/>
      <c r="D333" s="25"/>
      <c r="E333" s="25"/>
      <c r="F333" s="25"/>
      <c r="G333" s="28"/>
      <c r="H333" s="32"/>
    </row>
    <row r="334" spans="1:8" x14ac:dyDescent="0.3">
      <c r="A334" s="27"/>
      <c r="B334" s="28"/>
      <c r="C334" s="24"/>
      <c r="D334" s="25"/>
      <c r="E334" s="25"/>
      <c r="F334" s="25"/>
      <c r="G334" s="28"/>
      <c r="H334" s="32"/>
    </row>
    <row r="335" spans="1:8" x14ac:dyDescent="0.3">
      <c r="A335" s="27"/>
      <c r="B335" s="28"/>
      <c r="C335" s="24"/>
      <c r="D335" s="25"/>
      <c r="E335" s="25"/>
      <c r="F335" s="25"/>
      <c r="G335" s="28"/>
      <c r="H335" s="32"/>
    </row>
    <row r="336" spans="1:8" x14ac:dyDescent="0.3">
      <c r="A336" s="27"/>
      <c r="B336" s="28"/>
      <c r="C336" s="24"/>
      <c r="D336" s="25"/>
      <c r="E336" s="25"/>
      <c r="F336" s="25"/>
      <c r="G336" s="28"/>
      <c r="H336" s="32"/>
    </row>
    <row r="337" spans="1:8" x14ac:dyDescent="0.3">
      <c r="A337" s="27"/>
      <c r="B337" s="28"/>
      <c r="C337" s="24"/>
      <c r="D337" s="25"/>
      <c r="E337" s="25"/>
      <c r="F337" s="25"/>
      <c r="G337" s="28"/>
      <c r="H337" s="32"/>
    </row>
    <row r="338" spans="1:8" x14ac:dyDescent="0.3">
      <c r="A338" s="27"/>
      <c r="B338" s="28"/>
      <c r="C338" s="24"/>
      <c r="D338" s="25"/>
      <c r="E338" s="25"/>
      <c r="F338" s="25"/>
      <c r="G338" s="28"/>
      <c r="H338" s="32"/>
    </row>
    <row r="339" spans="1:8" x14ac:dyDescent="0.3">
      <c r="A339" s="27"/>
      <c r="B339" s="28"/>
      <c r="C339" s="24"/>
      <c r="D339" s="25"/>
      <c r="E339" s="25"/>
      <c r="F339" s="25"/>
      <c r="G339" s="28"/>
      <c r="H339" s="32"/>
    </row>
    <row r="340" spans="1:8" x14ac:dyDescent="0.3">
      <c r="A340" s="27"/>
      <c r="B340" s="28"/>
      <c r="C340" s="24"/>
      <c r="D340" s="25"/>
      <c r="E340" s="25"/>
      <c r="F340" s="25"/>
      <c r="G340" s="28"/>
      <c r="H340" s="32"/>
    </row>
    <row r="341" spans="1:8" x14ac:dyDescent="0.3">
      <c r="A341" s="27"/>
      <c r="B341" s="28"/>
      <c r="C341" s="24"/>
      <c r="D341" s="25"/>
      <c r="E341" s="25"/>
      <c r="F341" s="25"/>
      <c r="G341" s="28"/>
      <c r="H341" s="32"/>
    </row>
    <row r="342" spans="1:8" x14ac:dyDescent="0.3">
      <c r="A342" s="27"/>
      <c r="B342" s="28"/>
      <c r="C342" s="24"/>
      <c r="D342" s="25"/>
      <c r="E342" s="25"/>
      <c r="F342" s="25"/>
      <c r="G342" s="28"/>
      <c r="H342" s="32"/>
    </row>
    <row r="343" spans="1:8" x14ac:dyDescent="0.3">
      <c r="A343" s="27"/>
      <c r="B343" s="28"/>
      <c r="C343" s="24"/>
      <c r="D343" s="25"/>
      <c r="E343" s="25"/>
      <c r="F343" s="25"/>
      <c r="G343" s="28"/>
      <c r="H343" s="32"/>
    </row>
    <row r="344" spans="1:8" x14ac:dyDescent="0.3">
      <c r="A344" s="27"/>
      <c r="B344" s="28"/>
      <c r="C344" s="24"/>
      <c r="D344" s="25"/>
      <c r="E344" s="25"/>
      <c r="F344" s="25"/>
      <c r="G344" s="28"/>
      <c r="H344" s="32"/>
    </row>
    <row r="345" spans="1:8" x14ac:dyDescent="0.3">
      <c r="A345" s="27"/>
      <c r="B345" s="28"/>
      <c r="C345" s="24"/>
      <c r="D345" s="25"/>
      <c r="E345" s="25"/>
      <c r="F345" s="25"/>
      <c r="G345" s="28"/>
      <c r="H345" s="32"/>
    </row>
    <row r="346" spans="1:8" x14ac:dyDescent="0.3">
      <c r="A346" s="27"/>
      <c r="B346" s="28"/>
      <c r="C346" s="24"/>
      <c r="D346" s="25"/>
      <c r="E346" s="25"/>
      <c r="F346" s="25"/>
      <c r="G346" s="28"/>
      <c r="H346" s="32"/>
    </row>
    <row r="347" spans="1:8" x14ac:dyDescent="0.3">
      <c r="A347" s="27"/>
      <c r="B347" s="28"/>
      <c r="C347" s="24"/>
      <c r="D347" s="25"/>
      <c r="E347" s="25"/>
      <c r="F347" s="25"/>
      <c r="G347" s="28"/>
      <c r="H347" s="32"/>
    </row>
    <row r="348" spans="1:8" ht="15.6" x14ac:dyDescent="0.3">
      <c r="A348" s="497" t="s">
        <v>97</v>
      </c>
      <c r="B348" s="498"/>
      <c r="C348" s="24"/>
      <c r="D348" s="25"/>
      <c r="E348" s="25"/>
      <c r="F348" s="116" t="s">
        <v>46</v>
      </c>
      <c r="G348" s="26"/>
      <c r="H348" s="66">
        <v>6000</v>
      </c>
    </row>
    <row r="349" spans="1:8" ht="15.6" x14ac:dyDescent="0.3">
      <c r="A349" s="497" t="s">
        <v>119</v>
      </c>
      <c r="B349" s="498"/>
      <c r="C349" s="498"/>
      <c r="D349" s="498"/>
      <c r="E349" s="67"/>
      <c r="F349" s="116" t="s">
        <v>47</v>
      </c>
      <c r="G349" s="26"/>
      <c r="H349" s="66">
        <f>H350</f>
        <v>540</v>
      </c>
    </row>
    <row r="350" spans="1:8" ht="15.6" x14ac:dyDescent="0.3">
      <c r="A350" s="27"/>
      <c r="B350" s="28"/>
      <c r="C350" s="24"/>
      <c r="D350" s="25"/>
      <c r="E350" s="25"/>
      <c r="F350" s="116" t="s">
        <v>48</v>
      </c>
      <c r="G350" s="26"/>
      <c r="H350" s="66">
        <f>H348*9%</f>
        <v>540</v>
      </c>
    </row>
    <row r="351" spans="1:8" ht="15.6" x14ac:dyDescent="0.3">
      <c r="A351" s="497" t="s">
        <v>49</v>
      </c>
      <c r="B351" s="498"/>
      <c r="C351" s="498"/>
      <c r="D351" s="25"/>
      <c r="E351" s="25"/>
      <c r="F351" s="116" t="s">
        <v>50</v>
      </c>
      <c r="G351" s="26"/>
      <c r="H351" s="66">
        <f>H348+H349+H350</f>
        <v>7080</v>
      </c>
    </row>
    <row r="352" spans="1:8" ht="27" x14ac:dyDescent="0.3">
      <c r="A352" s="68" t="s">
        <v>22</v>
      </c>
      <c r="B352" s="69" t="s">
        <v>51</v>
      </c>
      <c r="C352" s="70" t="s">
        <v>24</v>
      </c>
      <c r="D352" s="31" t="s">
        <v>25</v>
      </c>
      <c r="E352" s="528" t="s">
        <v>52</v>
      </c>
      <c r="F352" s="528"/>
      <c r="G352" s="28"/>
      <c r="H352" s="32"/>
    </row>
    <row r="353" spans="1:8" x14ac:dyDescent="0.3">
      <c r="A353" s="72">
        <v>0.18</v>
      </c>
      <c r="B353" s="73">
        <f>H348</f>
        <v>6000</v>
      </c>
      <c r="C353" s="74">
        <f>H349</f>
        <v>540</v>
      </c>
      <c r="D353" s="74">
        <f>H350</f>
        <v>540</v>
      </c>
      <c r="E353" s="507">
        <f>C353+D353</f>
        <v>1080</v>
      </c>
      <c r="F353" s="507"/>
      <c r="G353" s="74"/>
      <c r="H353" s="75"/>
    </row>
    <row r="354" spans="1:8" x14ac:dyDescent="0.3">
      <c r="A354" s="452" t="s">
        <v>120</v>
      </c>
      <c r="B354" s="453"/>
      <c r="C354" s="453"/>
      <c r="D354" s="453"/>
      <c r="E354" s="453"/>
      <c r="F354" s="78"/>
      <c r="G354" s="36"/>
      <c r="H354" s="79"/>
    </row>
    <row r="355" spans="1:8" ht="15.6" x14ac:dyDescent="0.3">
      <c r="A355" s="455" t="s">
        <v>53</v>
      </c>
      <c r="B355" s="456"/>
      <c r="C355" s="456"/>
      <c r="D355" s="117"/>
      <c r="E355" s="118" t="s">
        <v>54</v>
      </c>
      <c r="F355" s="37"/>
      <c r="G355" s="37"/>
      <c r="H355" s="38"/>
    </row>
    <row r="356" spans="1:8" x14ac:dyDescent="0.3">
      <c r="A356" s="100" t="s">
        <v>55</v>
      </c>
      <c r="B356" s="101"/>
      <c r="C356" s="101"/>
      <c r="D356" s="102"/>
      <c r="E356" s="25"/>
      <c r="F356" s="25"/>
      <c r="G356" s="28"/>
      <c r="H356" s="32"/>
    </row>
    <row r="357" spans="1:8" x14ac:dyDescent="0.3">
      <c r="A357" s="461" t="s">
        <v>56</v>
      </c>
      <c r="B357" s="462"/>
      <c r="C357" s="462"/>
      <c r="D357" s="463"/>
      <c r="E357" s="25"/>
      <c r="F357" s="25"/>
      <c r="G357" s="28"/>
      <c r="H357" s="32"/>
    </row>
    <row r="358" spans="1:8" x14ac:dyDescent="0.3">
      <c r="A358" s="461" t="s">
        <v>57</v>
      </c>
      <c r="B358" s="462"/>
      <c r="C358" s="462"/>
      <c r="D358" s="463"/>
      <c r="E358" s="25"/>
      <c r="F358" s="25"/>
      <c r="G358" s="28"/>
      <c r="H358" s="32"/>
    </row>
    <row r="359" spans="1:8" ht="15.6" x14ac:dyDescent="0.3">
      <c r="A359" s="464" t="s">
        <v>58</v>
      </c>
      <c r="B359" s="465"/>
      <c r="C359" s="465"/>
      <c r="D359" s="510"/>
      <c r="E359" s="466" t="s">
        <v>59</v>
      </c>
      <c r="F359" s="467"/>
      <c r="G359" s="467"/>
      <c r="H359" s="468"/>
    </row>
    <row r="362" spans="1:8" ht="44.4" x14ac:dyDescent="0.7">
      <c r="A362" s="469" t="s">
        <v>0</v>
      </c>
      <c r="B362" s="470"/>
      <c r="C362" s="470"/>
      <c r="D362" s="470"/>
      <c r="E362" s="471" t="s">
        <v>1</v>
      </c>
      <c r="F362" s="472"/>
      <c r="G362" s="472"/>
      <c r="H362" s="473"/>
    </row>
    <row r="363" spans="1:8" ht="20.399999999999999" x14ac:dyDescent="0.35">
      <c r="A363" s="1"/>
      <c r="B363" s="476" t="s">
        <v>2</v>
      </c>
      <c r="C363" s="476"/>
      <c r="D363" s="476"/>
      <c r="E363" s="474"/>
      <c r="F363" s="474"/>
      <c r="G363" s="474"/>
      <c r="H363" s="475"/>
    </row>
    <row r="364" spans="1:8" x14ac:dyDescent="0.3">
      <c r="A364" s="477" t="s">
        <v>3</v>
      </c>
      <c r="B364" s="511"/>
      <c r="C364" s="2" t="s">
        <v>4</v>
      </c>
      <c r="D364" s="3"/>
      <c r="E364" s="499" t="s">
        <v>5</v>
      </c>
      <c r="F364" s="499"/>
      <c r="G364" s="499"/>
      <c r="H364" s="589"/>
    </row>
    <row r="365" spans="1:8" ht="15.6" x14ac:dyDescent="0.3">
      <c r="A365" s="4" t="s">
        <v>6</v>
      </c>
      <c r="B365" s="5"/>
      <c r="C365" s="512" t="s">
        <v>7</v>
      </c>
      <c r="D365" s="513"/>
      <c r="E365" s="482">
        <v>9</v>
      </c>
      <c r="F365" s="482"/>
      <c r="G365" s="7" t="s">
        <v>8</v>
      </c>
      <c r="H365" s="8" t="s">
        <v>121</v>
      </c>
    </row>
    <row r="366" spans="1:8" ht="15.6" x14ac:dyDescent="0.3">
      <c r="A366" s="695" t="s">
        <v>9</v>
      </c>
      <c r="B366" s="515"/>
      <c r="C366" s="516" t="s">
        <v>10</v>
      </c>
      <c r="D366" s="481"/>
      <c r="E366" s="482"/>
      <c r="F366" s="482"/>
      <c r="G366" s="7" t="s">
        <v>8</v>
      </c>
      <c r="H366" s="9"/>
    </row>
    <row r="367" spans="1:8" ht="15" x14ac:dyDescent="0.3">
      <c r="A367" s="695" t="s">
        <v>11</v>
      </c>
      <c r="B367" s="515"/>
      <c r="C367" s="484" t="s">
        <v>12</v>
      </c>
      <c r="D367" s="519"/>
      <c r="E367" s="696"/>
      <c r="F367" s="697"/>
      <c r="G367" s="10" t="s">
        <v>8</v>
      </c>
      <c r="H367" s="11"/>
    </row>
    <row r="368" spans="1:8" ht="15" x14ac:dyDescent="0.3">
      <c r="A368" s="12" t="s">
        <v>13</v>
      </c>
      <c r="B368" s="13" t="s">
        <v>14</v>
      </c>
      <c r="C368" s="521" t="s">
        <v>15</v>
      </c>
      <c r="D368" s="522"/>
      <c r="E368" s="566" t="s">
        <v>16</v>
      </c>
      <c r="F368" s="567"/>
      <c r="G368" s="567"/>
      <c r="H368" s="568"/>
    </row>
    <row r="369" spans="1:8" x14ac:dyDescent="0.3">
      <c r="A369" s="698" t="s">
        <v>17</v>
      </c>
      <c r="B369" s="700" t="s">
        <v>18</v>
      </c>
      <c r="C369" s="701" t="s">
        <v>19</v>
      </c>
      <c r="D369" s="701" t="s">
        <v>20</v>
      </c>
      <c r="E369" s="701" t="s">
        <v>21</v>
      </c>
      <c r="F369" s="701" t="s">
        <v>22</v>
      </c>
      <c r="G369" s="701"/>
      <c r="H369" s="699" t="s">
        <v>23</v>
      </c>
    </row>
    <row r="370" spans="1:8" ht="26.4" x14ac:dyDescent="0.3">
      <c r="A370" s="699"/>
      <c r="B370" s="701"/>
      <c r="C370" s="701"/>
      <c r="D370" s="701"/>
      <c r="E370" s="701"/>
      <c r="F370" s="14" t="s">
        <v>24</v>
      </c>
      <c r="G370" s="14" t="s">
        <v>25</v>
      </c>
      <c r="H370" s="699"/>
    </row>
    <row r="371" spans="1:8" x14ac:dyDescent="0.3">
      <c r="A371" s="15">
        <v>1</v>
      </c>
      <c r="B371" s="16" t="s">
        <v>122</v>
      </c>
      <c r="C371" s="15">
        <v>1</v>
      </c>
      <c r="D371" s="56">
        <v>854690</v>
      </c>
      <c r="E371" s="15">
        <v>2500</v>
      </c>
      <c r="F371" s="18">
        <f>E371*C371*9%</f>
        <v>225</v>
      </c>
      <c r="G371" s="18">
        <f>F371</f>
        <v>225</v>
      </c>
      <c r="H371" s="19">
        <f>G371+F371+E371*C371</f>
        <v>2950</v>
      </c>
    </row>
    <row r="372" spans="1:8" ht="17.25" customHeight="1" x14ac:dyDescent="0.3">
      <c r="A372" s="15">
        <v>2</v>
      </c>
      <c r="B372" s="16" t="s">
        <v>123</v>
      </c>
      <c r="C372" s="15">
        <v>1</v>
      </c>
      <c r="D372" s="17">
        <v>998719</v>
      </c>
      <c r="E372" s="15">
        <v>1500</v>
      </c>
      <c r="F372" s="18">
        <f>E372*C372*9%</f>
        <v>135</v>
      </c>
      <c r="G372" s="18">
        <f>F372</f>
        <v>135</v>
      </c>
      <c r="H372" s="19">
        <f>G372+F372+E372*C372</f>
        <v>1770</v>
      </c>
    </row>
    <row r="373" spans="1:8" x14ac:dyDescent="0.3">
      <c r="A373" s="15"/>
      <c r="B373" s="16"/>
      <c r="C373" s="15"/>
      <c r="D373" s="17"/>
      <c r="E373" s="20"/>
      <c r="F373" s="18"/>
      <c r="G373" s="18"/>
      <c r="H373" s="19"/>
    </row>
    <row r="374" spans="1:8" x14ac:dyDescent="0.3">
      <c r="A374" s="15"/>
      <c r="B374" s="16"/>
      <c r="C374" s="15"/>
      <c r="D374" s="17"/>
      <c r="E374" s="15"/>
      <c r="F374" s="18"/>
      <c r="G374" s="18"/>
      <c r="H374" s="19"/>
    </row>
    <row r="375" spans="1:8" x14ac:dyDescent="0.3">
      <c r="A375" s="15"/>
      <c r="B375" s="16"/>
      <c r="C375" s="15"/>
      <c r="D375" s="17"/>
      <c r="E375" s="20"/>
      <c r="F375" s="18"/>
      <c r="G375" s="18"/>
      <c r="H375" s="19"/>
    </row>
    <row r="376" spans="1:8" x14ac:dyDescent="0.3">
      <c r="A376" s="15"/>
      <c r="B376" s="16"/>
      <c r="C376" s="15"/>
      <c r="D376" s="17"/>
      <c r="E376" s="20"/>
      <c r="F376" s="18"/>
      <c r="G376" s="18"/>
      <c r="H376" s="19"/>
    </row>
    <row r="377" spans="1:8" x14ac:dyDescent="0.3">
      <c r="A377" s="15"/>
      <c r="B377" s="16"/>
      <c r="C377" s="15"/>
      <c r="D377" s="17"/>
      <c r="E377" s="20"/>
      <c r="F377" s="18"/>
      <c r="G377" s="18"/>
      <c r="H377" s="19"/>
    </row>
    <row r="378" spans="1:8" x14ac:dyDescent="0.3">
      <c r="A378" s="15"/>
      <c r="B378" s="16"/>
      <c r="C378" s="15"/>
      <c r="D378" s="17"/>
      <c r="E378" s="20"/>
      <c r="F378" s="18"/>
      <c r="G378" s="18"/>
      <c r="H378" s="19"/>
    </row>
    <row r="379" spans="1:8" x14ac:dyDescent="0.3">
      <c r="A379" s="15"/>
      <c r="B379" s="16"/>
      <c r="C379" s="15"/>
      <c r="D379" s="17"/>
      <c r="E379" s="20"/>
      <c r="F379" s="18"/>
      <c r="G379" s="18"/>
      <c r="H379" s="19"/>
    </row>
    <row r="380" spans="1:8" x14ac:dyDescent="0.3">
      <c r="A380" s="15"/>
      <c r="B380" s="16"/>
      <c r="C380" s="15"/>
      <c r="D380" s="17"/>
      <c r="E380" s="20"/>
      <c r="F380" s="18"/>
      <c r="G380" s="18"/>
      <c r="H380" s="19"/>
    </row>
    <row r="381" spans="1:8" x14ac:dyDescent="0.3">
      <c r="A381" s="15"/>
      <c r="B381" s="16"/>
      <c r="C381" s="21"/>
      <c r="D381" s="17"/>
      <c r="E381" s="20"/>
      <c r="F381" s="18"/>
      <c r="G381" s="18"/>
      <c r="H381" s="19"/>
    </row>
    <row r="382" spans="1:8" x14ac:dyDescent="0.3">
      <c r="A382" s="15"/>
      <c r="B382" s="22"/>
      <c r="C382" s="15"/>
      <c r="D382" s="17"/>
      <c r="E382" s="20"/>
      <c r="F382" s="18"/>
      <c r="G382" s="18"/>
      <c r="H382" s="19"/>
    </row>
    <row r="383" spans="1:8" x14ac:dyDescent="0.3">
      <c r="A383" s="15"/>
      <c r="B383" s="22"/>
      <c r="C383" s="15"/>
      <c r="D383" s="17"/>
      <c r="E383" s="20"/>
      <c r="F383" s="18"/>
      <c r="G383" s="18"/>
      <c r="H383" s="19"/>
    </row>
    <row r="384" spans="1:8" x14ac:dyDescent="0.3">
      <c r="A384" s="15"/>
      <c r="B384" s="16"/>
      <c r="C384" s="15"/>
      <c r="D384" s="17"/>
      <c r="E384" s="15"/>
      <c r="F384" s="18"/>
      <c r="G384" s="18"/>
      <c r="H384" s="19"/>
    </row>
    <row r="385" spans="1:8" x14ac:dyDescent="0.3">
      <c r="A385" s="15"/>
      <c r="B385" s="16"/>
      <c r="C385" s="15"/>
      <c r="D385" s="17"/>
      <c r="E385" s="15"/>
      <c r="F385" s="18"/>
      <c r="G385" s="18"/>
      <c r="H385" s="19"/>
    </row>
    <row r="386" spans="1:8" x14ac:dyDescent="0.3">
      <c r="A386" s="15"/>
      <c r="B386" s="16"/>
      <c r="C386" s="15"/>
      <c r="D386" s="17"/>
      <c r="E386" s="15"/>
      <c r="F386" s="18"/>
      <c r="G386" s="18"/>
      <c r="H386" s="19"/>
    </row>
    <row r="387" spans="1:8" x14ac:dyDescent="0.3">
      <c r="A387" s="15"/>
      <c r="B387" s="16"/>
      <c r="C387" s="15"/>
      <c r="D387" s="17"/>
      <c r="E387" s="15"/>
      <c r="F387" s="15"/>
      <c r="G387" s="15"/>
      <c r="H387" s="15"/>
    </row>
    <row r="388" spans="1:8" x14ac:dyDescent="0.3">
      <c r="A388" s="15"/>
      <c r="B388" s="16"/>
      <c r="C388" s="15"/>
      <c r="D388" s="17"/>
      <c r="E388" s="15"/>
      <c r="F388" s="15"/>
      <c r="G388" s="15"/>
      <c r="H388" s="15"/>
    </row>
    <row r="389" spans="1:8" x14ac:dyDescent="0.3">
      <c r="A389" s="15"/>
      <c r="B389" s="23"/>
      <c r="C389" s="15"/>
      <c r="D389" s="17"/>
      <c r="E389" s="15"/>
      <c r="F389" s="15"/>
      <c r="G389" s="15"/>
      <c r="H389" s="15"/>
    </row>
    <row r="390" spans="1:8" x14ac:dyDescent="0.3">
      <c r="A390" s="15"/>
      <c r="B390" s="23"/>
      <c r="C390" s="15"/>
      <c r="D390" s="17"/>
      <c r="E390" s="15"/>
      <c r="F390" s="15"/>
      <c r="G390" s="15"/>
      <c r="H390" s="15"/>
    </row>
    <row r="391" spans="1:8" x14ac:dyDescent="0.3">
      <c r="A391" s="15"/>
      <c r="B391" s="16"/>
      <c r="C391" s="15"/>
      <c r="D391" s="17"/>
      <c r="E391" s="15"/>
      <c r="F391" s="15"/>
      <c r="G391" s="15"/>
      <c r="H391" s="15"/>
    </row>
    <row r="392" spans="1:8" x14ac:dyDescent="0.3">
      <c r="A392" s="15"/>
      <c r="B392" s="16"/>
      <c r="C392" s="15"/>
      <c r="D392" s="17"/>
      <c r="E392" s="15"/>
      <c r="F392" s="15"/>
      <c r="G392" s="15"/>
      <c r="H392" s="15"/>
    </row>
    <row r="393" spans="1:8" x14ac:dyDescent="0.3">
      <c r="A393" s="15"/>
      <c r="B393" s="16"/>
      <c r="C393" s="15"/>
      <c r="D393" s="17"/>
      <c r="E393" s="15"/>
      <c r="F393" s="15"/>
      <c r="G393" s="15"/>
      <c r="H393" s="15"/>
    </row>
    <row r="394" spans="1:8" x14ac:dyDescent="0.3">
      <c r="A394" s="15"/>
      <c r="B394" s="16"/>
      <c r="C394" s="15"/>
      <c r="D394" s="17"/>
      <c r="E394" s="15"/>
      <c r="F394" s="15"/>
      <c r="G394" s="15"/>
      <c r="H394" s="15"/>
    </row>
    <row r="395" spans="1:8" ht="15.6" x14ac:dyDescent="0.3">
      <c r="A395" s="448" t="s">
        <v>45</v>
      </c>
      <c r="B395" s="449"/>
      <c r="C395" s="24"/>
      <c r="D395" s="25"/>
      <c r="E395" s="25"/>
      <c r="F395" s="447" t="s">
        <v>46</v>
      </c>
      <c r="G395" s="447"/>
      <c r="H395" s="42">
        <v>4000</v>
      </c>
    </row>
    <row r="396" spans="1:8" ht="15.6" x14ac:dyDescent="0.3">
      <c r="A396" s="497" t="s">
        <v>125</v>
      </c>
      <c r="B396" s="498"/>
      <c r="C396" s="498"/>
      <c r="D396" s="498"/>
      <c r="E396" s="498"/>
      <c r="F396" s="447" t="s">
        <v>47</v>
      </c>
      <c r="G396" s="447"/>
      <c r="H396" s="42">
        <f>H395*9%</f>
        <v>360</v>
      </c>
    </row>
    <row r="397" spans="1:8" ht="15.6" x14ac:dyDescent="0.3">
      <c r="A397" s="27"/>
      <c r="B397" s="28"/>
      <c r="C397" s="24"/>
      <c r="D397" s="25"/>
      <c r="E397" s="25"/>
      <c r="F397" s="447" t="s">
        <v>48</v>
      </c>
      <c r="G397" s="447"/>
      <c r="H397" s="42">
        <f>H396</f>
        <v>360</v>
      </c>
    </row>
    <row r="398" spans="1:8" ht="15.6" x14ac:dyDescent="0.3">
      <c r="A398" s="448" t="s">
        <v>49</v>
      </c>
      <c r="B398" s="449"/>
      <c r="C398" s="24"/>
      <c r="D398" s="25"/>
      <c r="E398" s="25"/>
      <c r="F398" s="447" t="s">
        <v>50</v>
      </c>
      <c r="G398" s="447"/>
      <c r="H398" s="42">
        <f>H395+H396+H397</f>
        <v>4720</v>
      </c>
    </row>
    <row r="399" spans="1:8" ht="27" x14ac:dyDescent="0.3">
      <c r="A399" s="29" t="s">
        <v>22</v>
      </c>
      <c r="B399" s="30" t="s">
        <v>51</v>
      </c>
      <c r="C399" s="31" t="s">
        <v>24</v>
      </c>
      <c r="D399" s="31" t="s">
        <v>25</v>
      </c>
      <c r="E399" s="528" t="s">
        <v>52</v>
      </c>
      <c r="F399" s="528"/>
      <c r="G399" s="28"/>
      <c r="H399" s="32"/>
    </row>
    <row r="400" spans="1:8" x14ac:dyDescent="0.3">
      <c r="A400" s="33">
        <v>0.18</v>
      </c>
      <c r="B400" s="34">
        <f>H395</f>
        <v>4000</v>
      </c>
      <c r="C400" s="35">
        <f>H396</f>
        <v>360</v>
      </c>
      <c r="D400" s="35">
        <f>H397</f>
        <v>360</v>
      </c>
      <c r="E400" s="529">
        <f>C400+D400</f>
        <v>720</v>
      </c>
      <c r="F400" s="530"/>
      <c r="G400" s="28"/>
      <c r="H400" s="32"/>
    </row>
    <row r="401" spans="1:8" x14ac:dyDescent="0.3">
      <c r="A401" s="452" t="s">
        <v>124</v>
      </c>
      <c r="B401" s="453"/>
      <c r="C401" s="453"/>
      <c r="D401" s="453"/>
      <c r="E401" s="453"/>
      <c r="F401" s="453"/>
      <c r="G401" s="453"/>
      <c r="H401" s="454"/>
    </row>
    <row r="402" spans="1:8" ht="15.6" x14ac:dyDescent="0.3">
      <c r="A402" s="455" t="s">
        <v>53</v>
      </c>
      <c r="B402" s="456"/>
      <c r="C402" s="456"/>
      <c r="D402" s="457"/>
      <c r="E402" s="458" t="s">
        <v>54</v>
      </c>
      <c r="F402" s="459"/>
      <c r="G402" s="459"/>
      <c r="H402" s="460"/>
    </row>
    <row r="403" spans="1:8" x14ac:dyDescent="0.3">
      <c r="A403" s="461" t="s">
        <v>55</v>
      </c>
      <c r="B403" s="462"/>
      <c r="C403" s="462"/>
      <c r="D403" s="463"/>
      <c r="E403" s="39"/>
      <c r="F403" s="25"/>
      <c r="G403" s="28"/>
      <c r="H403" s="32"/>
    </row>
    <row r="404" spans="1:8" x14ac:dyDescent="0.3">
      <c r="A404" s="461" t="s">
        <v>56</v>
      </c>
      <c r="B404" s="462"/>
      <c r="C404" s="462"/>
      <c r="D404" s="463"/>
      <c r="E404" s="39"/>
      <c r="F404" s="25"/>
      <c r="G404" s="28"/>
      <c r="H404" s="32"/>
    </row>
    <row r="405" spans="1:8" x14ac:dyDescent="0.3">
      <c r="A405" s="461" t="s">
        <v>57</v>
      </c>
      <c r="B405" s="462"/>
      <c r="C405" s="462"/>
      <c r="D405" s="463"/>
      <c r="E405" s="25"/>
      <c r="F405" s="25"/>
      <c r="G405" s="28"/>
      <c r="H405" s="32"/>
    </row>
    <row r="406" spans="1:8" ht="15.6" x14ac:dyDescent="0.3">
      <c r="A406" s="464" t="s">
        <v>58</v>
      </c>
      <c r="B406" s="465"/>
      <c r="C406" s="465"/>
      <c r="D406" s="510"/>
      <c r="E406" s="466" t="s">
        <v>59</v>
      </c>
      <c r="F406" s="467"/>
      <c r="G406" s="467"/>
      <c r="H406" s="468"/>
    </row>
    <row r="410" spans="1:8" ht="44.4" x14ac:dyDescent="0.7">
      <c r="A410" s="469" t="s">
        <v>0</v>
      </c>
      <c r="B410" s="470"/>
      <c r="C410" s="470"/>
      <c r="D410" s="470"/>
      <c r="E410" s="471" t="s">
        <v>1</v>
      </c>
      <c r="F410" s="472"/>
      <c r="G410" s="472"/>
      <c r="H410" s="473"/>
    </row>
    <row r="411" spans="1:8" ht="20.399999999999999" x14ac:dyDescent="0.35">
      <c r="A411" s="1"/>
      <c r="B411" s="535" t="s">
        <v>2</v>
      </c>
      <c r="C411" s="535"/>
      <c r="D411" s="535"/>
      <c r="E411" s="474"/>
      <c r="F411" s="474"/>
      <c r="G411" s="474"/>
      <c r="H411" s="475"/>
    </row>
    <row r="412" spans="1:8" x14ac:dyDescent="0.3">
      <c r="A412" s="477" t="s">
        <v>3</v>
      </c>
      <c r="B412" s="478"/>
      <c r="C412" s="479" t="s">
        <v>4</v>
      </c>
      <c r="D412" s="479"/>
      <c r="E412" s="548" t="s">
        <v>5</v>
      </c>
      <c r="F412" s="549"/>
      <c r="G412" s="549"/>
      <c r="H412" s="550"/>
    </row>
    <row r="413" spans="1:8" ht="15.6" x14ac:dyDescent="0.3">
      <c r="A413" s="4" t="s">
        <v>6</v>
      </c>
      <c r="B413" s="5"/>
      <c r="C413" s="536" t="s">
        <v>7</v>
      </c>
      <c r="D413" s="516"/>
      <c r="E413" s="489">
        <v>10</v>
      </c>
      <c r="F413" s="491"/>
      <c r="G413" s="7" t="s">
        <v>8</v>
      </c>
      <c r="H413" s="8" t="s">
        <v>121</v>
      </c>
    </row>
    <row r="414" spans="1:8" ht="15.6" x14ac:dyDescent="0.3">
      <c r="A414" s="680" t="s">
        <v>130</v>
      </c>
      <c r="B414" s="681"/>
      <c r="C414" s="536" t="s">
        <v>10</v>
      </c>
      <c r="D414" s="516"/>
      <c r="E414" s="489"/>
      <c r="F414" s="491"/>
      <c r="G414" s="7" t="s">
        <v>8</v>
      </c>
      <c r="H414" s="8"/>
    </row>
    <row r="415" spans="1:8" ht="15" x14ac:dyDescent="0.3">
      <c r="A415" s="517" t="s">
        <v>126</v>
      </c>
      <c r="B415" s="518"/>
      <c r="C415" s="483" t="s">
        <v>12</v>
      </c>
      <c r="D415" s="484"/>
      <c r="E415" s="564"/>
      <c r="F415" s="593"/>
      <c r="G415" s="10" t="s">
        <v>8</v>
      </c>
      <c r="H415" s="109"/>
    </row>
    <row r="416" spans="1:8" ht="15.6" x14ac:dyDescent="0.3">
      <c r="A416" s="556" t="s">
        <v>127</v>
      </c>
      <c r="B416" s="557"/>
      <c r="C416" s="536" t="s">
        <v>15</v>
      </c>
      <c r="D416" s="516"/>
      <c r="E416" s="123" t="s">
        <v>128</v>
      </c>
      <c r="F416" s="124"/>
      <c r="G416" s="125"/>
      <c r="H416" s="126"/>
    </row>
    <row r="417" spans="1:8" ht="15.6" x14ac:dyDescent="0.3">
      <c r="A417" s="558" t="s">
        <v>129</v>
      </c>
      <c r="B417" s="559"/>
      <c r="C417" s="489"/>
      <c r="D417" s="490"/>
      <c r="E417" s="490"/>
      <c r="F417" s="490"/>
      <c r="G417" s="490"/>
      <c r="H417" s="491"/>
    </row>
    <row r="418" spans="1:8" ht="15" x14ac:dyDescent="0.3">
      <c r="A418" s="493" t="s">
        <v>17</v>
      </c>
      <c r="B418" s="495" t="s">
        <v>18</v>
      </c>
      <c r="C418" s="495" t="s">
        <v>19</v>
      </c>
      <c r="D418" s="495" t="s">
        <v>20</v>
      </c>
      <c r="E418" s="495" t="s">
        <v>21</v>
      </c>
      <c r="F418" s="541" t="s">
        <v>22</v>
      </c>
      <c r="G418" s="542"/>
      <c r="H418" s="493" t="s">
        <v>23</v>
      </c>
    </row>
    <row r="419" spans="1:8" ht="27.6" x14ac:dyDescent="0.3">
      <c r="A419" s="527"/>
      <c r="B419" s="505"/>
      <c r="C419" s="505"/>
      <c r="D419" s="505"/>
      <c r="E419" s="505"/>
      <c r="F419" s="53" t="s">
        <v>24</v>
      </c>
      <c r="G419" s="53" t="s">
        <v>25</v>
      </c>
      <c r="H419" s="527"/>
    </row>
    <row r="420" spans="1:8" x14ac:dyDescent="0.3">
      <c r="A420" s="20">
        <v>1</v>
      </c>
      <c r="B420" s="127" t="s">
        <v>131</v>
      </c>
      <c r="C420" s="128">
        <v>1</v>
      </c>
      <c r="D420" s="86">
        <v>998719</v>
      </c>
      <c r="E420" s="55">
        <v>2000</v>
      </c>
      <c r="F420" s="93">
        <f>E420*C420*9%</f>
        <v>180</v>
      </c>
      <c r="G420" s="93">
        <f>F420</f>
        <v>180</v>
      </c>
      <c r="H420" s="62">
        <f>G420+F420+E420*C420</f>
        <v>2360</v>
      </c>
    </row>
    <row r="421" spans="1:8" x14ac:dyDescent="0.3">
      <c r="A421" s="20"/>
      <c r="B421" s="60"/>
      <c r="C421" s="55"/>
      <c r="D421" s="86"/>
      <c r="E421" s="55"/>
      <c r="F421" s="93"/>
      <c r="G421" s="93"/>
      <c r="H421" s="62"/>
    </row>
    <row r="422" spans="1:8" x14ac:dyDescent="0.3">
      <c r="A422" s="20"/>
      <c r="B422" s="60"/>
      <c r="C422" s="55"/>
      <c r="D422" s="86"/>
      <c r="E422" s="55"/>
      <c r="F422" s="93"/>
      <c r="G422" s="93"/>
      <c r="H422" s="62"/>
    </row>
    <row r="423" spans="1:8" x14ac:dyDescent="0.3">
      <c r="A423" s="20"/>
      <c r="B423" s="63"/>
      <c r="C423" s="129"/>
      <c r="D423" s="86"/>
      <c r="E423" s="55"/>
      <c r="F423" s="93"/>
      <c r="G423" s="93"/>
      <c r="H423" s="62"/>
    </row>
    <row r="424" spans="1:8" x14ac:dyDescent="0.3">
      <c r="A424" s="20"/>
      <c r="B424" s="63"/>
      <c r="C424" s="129"/>
      <c r="D424" s="86"/>
      <c r="E424" s="55"/>
      <c r="F424" s="93"/>
      <c r="G424" s="93"/>
      <c r="H424" s="62"/>
    </row>
    <row r="425" spans="1:8" x14ac:dyDescent="0.3">
      <c r="A425" s="20"/>
      <c r="B425" s="130"/>
      <c r="C425" s="129"/>
      <c r="D425" s="86"/>
      <c r="E425" s="55"/>
      <c r="F425" s="93"/>
      <c r="G425" s="93"/>
      <c r="H425" s="62"/>
    </row>
    <row r="426" spans="1:8" x14ac:dyDescent="0.3">
      <c r="A426" s="20"/>
      <c r="B426" s="63"/>
      <c r="C426" s="129"/>
      <c r="D426" s="86"/>
      <c r="E426" s="55"/>
      <c r="F426" s="93"/>
      <c r="G426" s="93"/>
      <c r="H426" s="62"/>
    </row>
    <row r="427" spans="1:8" x14ac:dyDescent="0.3">
      <c r="A427" s="20"/>
      <c r="B427" s="130"/>
      <c r="C427" s="55"/>
      <c r="D427" s="86"/>
      <c r="E427" s="55"/>
      <c r="F427" s="93"/>
      <c r="G427" s="93"/>
      <c r="H427" s="62"/>
    </row>
    <row r="428" spans="1:8" x14ac:dyDescent="0.3">
      <c r="A428" s="20"/>
      <c r="B428" s="130"/>
      <c r="C428" s="55"/>
      <c r="D428" s="86"/>
      <c r="E428" s="55"/>
      <c r="F428" s="93"/>
      <c r="G428" s="93"/>
      <c r="H428" s="62"/>
    </row>
    <row r="429" spans="1:8" x14ac:dyDescent="0.3">
      <c r="A429" s="131"/>
      <c r="B429" s="132"/>
      <c r="C429" s="24"/>
      <c r="D429" s="24"/>
      <c r="E429" s="24"/>
      <c r="F429" s="133"/>
      <c r="G429" s="133"/>
      <c r="H429" s="134"/>
    </row>
    <row r="430" spans="1:8" x14ac:dyDescent="0.3">
      <c r="A430" s="131"/>
      <c r="B430" s="132"/>
      <c r="C430" s="24"/>
      <c r="D430" s="24"/>
      <c r="E430" s="24"/>
      <c r="F430" s="133"/>
      <c r="G430" s="133"/>
      <c r="H430" s="134"/>
    </row>
    <row r="431" spans="1:8" x14ac:dyDescent="0.3">
      <c r="A431" s="27"/>
      <c r="B431" s="28"/>
      <c r="C431" s="24"/>
      <c r="D431" s="25"/>
      <c r="E431" s="25"/>
      <c r="F431" s="28"/>
      <c r="G431" s="28"/>
      <c r="H431" s="32"/>
    </row>
    <row r="432" spans="1:8" x14ac:dyDescent="0.3">
      <c r="A432" s="27"/>
      <c r="B432" s="28"/>
      <c r="C432" s="24"/>
      <c r="D432" s="25"/>
      <c r="E432" s="25"/>
      <c r="F432" s="28"/>
      <c r="G432" s="28"/>
      <c r="H432" s="32"/>
    </row>
    <row r="433" spans="1:8" x14ac:dyDescent="0.3">
      <c r="A433" s="27"/>
      <c r="B433" s="28"/>
      <c r="C433" s="24"/>
      <c r="D433" s="25"/>
      <c r="E433" s="25"/>
      <c r="F433" s="28"/>
      <c r="G433" s="28"/>
      <c r="H433" s="32"/>
    </row>
    <row r="434" spans="1:8" x14ac:dyDescent="0.3">
      <c r="A434" s="27"/>
      <c r="B434" s="28"/>
      <c r="C434" s="24"/>
      <c r="D434" s="25"/>
      <c r="E434" s="25"/>
      <c r="F434" s="28"/>
      <c r="G434" s="28"/>
      <c r="H434" s="32"/>
    </row>
    <row r="435" spans="1:8" x14ac:dyDescent="0.3">
      <c r="A435" s="27"/>
      <c r="B435" s="28"/>
      <c r="C435" s="24"/>
      <c r="D435" s="25"/>
      <c r="E435" s="25"/>
      <c r="F435" s="28"/>
      <c r="G435" s="28"/>
      <c r="H435" s="32"/>
    </row>
    <row r="436" spans="1:8" x14ac:dyDescent="0.3">
      <c r="A436" s="27"/>
      <c r="B436" s="28"/>
      <c r="C436" s="24"/>
      <c r="D436" s="25"/>
      <c r="E436" s="25"/>
      <c r="F436" s="28"/>
      <c r="G436" s="28"/>
      <c r="H436" s="32"/>
    </row>
    <row r="437" spans="1:8" x14ac:dyDescent="0.3">
      <c r="A437" s="27"/>
      <c r="B437" s="28"/>
      <c r="C437" s="24"/>
      <c r="D437" s="25"/>
      <c r="E437" s="25"/>
      <c r="F437" s="28"/>
      <c r="G437" s="28"/>
      <c r="H437" s="32"/>
    </row>
    <row r="438" spans="1:8" x14ac:dyDescent="0.3">
      <c r="A438" s="27"/>
      <c r="B438" s="28"/>
      <c r="C438" s="24"/>
      <c r="D438" s="25"/>
      <c r="E438" s="25"/>
      <c r="F438" s="28"/>
      <c r="G438" s="28"/>
      <c r="H438" s="32"/>
    </row>
    <row r="439" spans="1:8" ht="15.6" x14ac:dyDescent="0.3">
      <c r="A439" s="448" t="s">
        <v>45</v>
      </c>
      <c r="B439" s="449"/>
      <c r="C439" s="449"/>
      <c r="D439" s="25"/>
      <c r="E439" s="25"/>
      <c r="F439" s="447" t="s">
        <v>46</v>
      </c>
      <c r="G439" s="447"/>
      <c r="H439" s="66">
        <f>E421*C421+E420*C420+E422*C422+E423*C423+E424*C424+E425*C425+E426*C426+E427*C427+E428*C428</f>
        <v>2000</v>
      </c>
    </row>
    <row r="440" spans="1:8" ht="15.6" x14ac:dyDescent="0.3">
      <c r="A440" s="497" t="s">
        <v>132</v>
      </c>
      <c r="B440" s="498"/>
      <c r="C440" s="498"/>
      <c r="D440" s="498"/>
      <c r="E440" s="498"/>
      <c r="F440" s="447" t="s">
        <v>47</v>
      </c>
      <c r="G440" s="447"/>
      <c r="H440" s="66">
        <f>H439*9%</f>
        <v>180</v>
      </c>
    </row>
    <row r="441" spans="1:8" ht="15.6" x14ac:dyDescent="0.3">
      <c r="A441" s="27"/>
      <c r="B441" s="28"/>
      <c r="C441" s="24"/>
      <c r="D441" s="25"/>
      <c r="E441" s="25"/>
      <c r="F441" s="447" t="s">
        <v>48</v>
      </c>
      <c r="G441" s="447"/>
      <c r="H441" s="66">
        <f>H439*9%</f>
        <v>180</v>
      </c>
    </row>
    <row r="442" spans="1:8" ht="15.6" x14ac:dyDescent="0.3">
      <c r="A442" s="448" t="s">
        <v>49</v>
      </c>
      <c r="B442" s="449"/>
      <c r="C442" s="449"/>
      <c r="D442" s="25"/>
      <c r="E442" s="25"/>
      <c r="F442" s="447" t="s">
        <v>50</v>
      </c>
      <c r="G442" s="447"/>
      <c r="H442" s="66">
        <f>H439+H441+H440</f>
        <v>2360</v>
      </c>
    </row>
    <row r="443" spans="1:8" ht="27" x14ac:dyDescent="0.3">
      <c r="A443" s="68" t="s">
        <v>22</v>
      </c>
      <c r="B443" s="30" t="s">
        <v>51</v>
      </c>
      <c r="C443" s="70" t="s">
        <v>24</v>
      </c>
      <c r="D443" s="31" t="s">
        <v>25</v>
      </c>
      <c r="E443" s="543" t="s">
        <v>52</v>
      </c>
      <c r="F443" s="543"/>
      <c r="G443" s="28"/>
      <c r="H443" s="32"/>
    </row>
    <row r="444" spans="1:8" x14ac:dyDescent="0.3">
      <c r="A444" s="72">
        <v>0.18</v>
      </c>
      <c r="B444" s="73">
        <f>H439</f>
        <v>2000</v>
      </c>
      <c r="C444" s="74">
        <f>H440</f>
        <v>180</v>
      </c>
      <c r="D444" s="74">
        <f>H440</f>
        <v>180</v>
      </c>
      <c r="E444" s="507">
        <f>C444+D444</f>
        <v>360</v>
      </c>
      <c r="F444" s="507"/>
      <c r="G444" s="74"/>
      <c r="H444" s="75"/>
    </row>
    <row r="445" spans="1:8" x14ac:dyDescent="0.3">
      <c r="A445" s="508" t="s">
        <v>133</v>
      </c>
      <c r="B445" s="509"/>
      <c r="C445" s="509"/>
      <c r="D445" s="509"/>
      <c r="E445" s="453"/>
      <c r="F445" s="453"/>
      <c r="G445" s="453"/>
      <c r="H445" s="454"/>
    </row>
    <row r="446" spans="1:8" ht="15.6" x14ac:dyDescent="0.3">
      <c r="A446" s="455" t="s">
        <v>53</v>
      </c>
      <c r="B446" s="456"/>
      <c r="C446" s="456"/>
      <c r="D446" s="135"/>
      <c r="E446" s="458" t="s">
        <v>54</v>
      </c>
      <c r="F446" s="459"/>
      <c r="G446" s="459"/>
      <c r="H446" s="460"/>
    </row>
    <row r="447" spans="1:8" x14ac:dyDescent="0.3">
      <c r="A447" s="100" t="s">
        <v>55</v>
      </c>
      <c r="B447" s="101"/>
      <c r="C447" s="101"/>
      <c r="D447" s="101"/>
      <c r="E447" s="39"/>
      <c r="F447" s="25"/>
      <c r="G447" s="28"/>
      <c r="H447" s="32"/>
    </row>
    <row r="448" spans="1:8" x14ac:dyDescent="0.3">
      <c r="A448" s="461" t="s">
        <v>56</v>
      </c>
      <c r="B448" s="462"/>
      <c r="C448" s="462"/>
      <c r="D448" s="101"/>
      <c r="E448" s="39"/>
      <c r="F448" s="25"/>
      <c r="G448" s="28"/>
      <c r="H448" s="32"/>
    </row>
    <row r="449" spans="1:8" x14ac:dyDescent="0.3">
      <c r="A449" s="461" t="s">
        <v>57</v>
      </c>
      <c r="B449" s="462"/>
      <c r="C449" s="462"/>
      <c r="D449" s="463"/>
      <c r="E449" s="39"/>
      <c r="F449" s="25"/>
      <c r="G449" s="28"/>
      <c r="H449" s="32"/>
    </row>
    <row r="450" spans="1:8" ht="15.6" x14ac:dyDescent="0.3">
      <c r="A450" s="464" t="s">
        <v>58</v>
      </c>
      <c r="B450" s="465"/>
      <c r="C450" s="465"/>
      <c r="D450" s="510"/>
      <c r="E450" s="466" t="s">
        <v>59</v>
      </c>
      <c r="F450" s="467"/>
      <c r="G450" s="467"/>
      <c r="H450" s="468"/>
    </row>
    <row r="456" spans="1:8" ht="44.4" x14ac:dyDescent="0.7">
      <c r="A456" s="469" t="s">
        <v>0</v>
      </c>
      <c r="B456" s="470"/>
      <c r="C456" s="470"/>
      <c r="D456" s="470"/>
      <c r="E456" s="471" t="s">
        <v>1</v>
      </c>
      <c r="F456" s="472"/>
      <c r="G456" s="472"/>
      <c r="H456" s="473"/>
    </row>
    <row r="457" spans="1:8" ht="20.399999999999999" x14ac:dyDescent="0.35">
      <c r="A457" s="1"/>
      <c r="B457" s="476" t="s">
        <v>2</v>
      </c>
      <c r="C457" s="476"/>
      <c r="D457" s="476"/>
      <c r="E457" s="474"/>
      <c r="F457" s="474"/>
      <c r="G457" s="474"/>
      <c r="H457" s="475"/>
    </row>
    <row r="458" spans="1:8" x14ac:dyDescent="0.3">
      <c r="A458" s="477" t="s">
        <v>3</v>
      </c>
      <c r="B458" s="478"/>
      <c r="C458" s="136"/>
      <c r="D458" s="499" t="s">
        <v>4</v>
      </c>
      <c r="E458" s="499"/>
      <c r="F458" s="137"/>
      <c r="G458" s="137" t="s">
        <v>134</v>
      </c>
      <c r="H458" s="120"/>
    </row>
    <row r="459" spans="1:8" ht="15.6" x14ac:dyDescent="0.3">
      <c r="A459" s="138" t="s">
        <v>6</v>
      </c>
      <c r="B459" s="5"/>
      <c r="C459" s="481" t="s">
        <v>7</v>
      </c>
      <c r="D459" s="481"/>
      <c r="E459" s="482">
        <v>11</v>
      </c>
      <c r="F459" s="482"/>
      <c r="G459" s="7" t="s">
        <v>8</v>
      </c>
      <c r="H459" s="9" t="s">
        <v>121</v>
      </c>
    </row>
    <row r="460" spans="1:8" ht="15.6" x14ac:dyDescent="0.3">
      <c r="A460" s="551" t="s">
        <v>135</v>
      </c>
      <c r="B460" s="552"/>
      <c r="C460" s="481" t="s">
        <v>10</v>
      </c>
      <c r="D460" s="481"/>
      <c r="E460" s="482"/>
      <c r="F460" s="482"/>
      <c r="G460" s="7" t="s">
        <v>8</v>
      </c>
      <c r="H460" s="9"/>
    </row>
    <row r="461" spans="1:8" ht="15" x14ac:dyDescent="0.3">
      <c r="A461" s="517" t="s">
        <v>136</v>
      </c>
      <c r="B461" s="553"/>
      <c r="C461" s="483" t="s">
        <v>12</v>
      </c>
      <c r="D461" s="484"/>
      <c r="E461" s="615"/>
      <c r="F461" s="616"/>
      <c r="G461" s="10" t="s">
        <v>8</v>
      </c>
      <c r="H461" s="57"/>
    </row>
    <row r="462" spans="1:8" ht="15.6" x14ac:dyDescent="0.3">
      <c r="A462" s="556" t="s">
        <v>137</v>
      </c>
      <c r="B462" s="557"/>
      <c r="C462" s="481" t="s">
        <v>15</v>
      </c>
      <c r="D462" s="481"/>
      <c r="E462" s="536" t="s">
        <v>138</v>
      </c>
      <c r="F462" s="617"/>
      <c r="G462" s="617"/>
      <c r="H462" s="516"/>
    </row>
    <row r="463" spans="1:8" ht="15.6" x14ac:dyDescent="0.3">
      <c r="A463" s="558" t="s">
        <v>139</v>
      </c>
      <c r="B463" s="559"/>
      <c r="C463" s="489"/>
      <c r="D463" s="490"/>
      <c r="E463" s="490"/>
      <c r="F463" s="490"/>
      <c r="G463" s="490"/>
      <c r="H463" s="491"/>
    </row>
    <row r="464" spans="1:8" ht="15" x14ac:dyDescent="0.3">
      <c r="A464" s="492" t="s">
        <v>17</v>
      </c>
      <c r="B464" s="494" t="s">
        <v>18</v>
      </c>
      <c r="C464" s="494" t="s">
        <v>19</v>
      </c>
      <c r="D464" s="494" t="s">
        <v>20</v>
      </c>
      <c r="E464" s="494" t="s">
        <v>21</v>
      </c>
      <c r="F464" s="494" t="s">
        <v>22</v>
      </c>
      <c r="G464" s="494"/>
      <c r="H464" s="492" t="s">
        <v>23</v>
      </c>
    </row>
    <row r="465" spans="1:8" ht="27.6" x14ac:dyDescent="0.3">
      <c r="A465" s="492"/>
      <c r="B465" s="495"/>
      <c r="C465" s="494"/>
      <c r="D465" s="494"/>
      <c r="E465" s="494"/>
      <c r="F465" s="53" t="s">
        <v>24</v>
      </c>
      <c r="G465" s="53" t="s">
        <v>25</v>
      </c>
      <c r="H465" s="492"/>
    </row>
    <row r="466" spans="1:8" x14ac:dyDescent="0.3">
      <c r="A466" s="139">
        <v>1</v>
      </c>
      <c r="B466" s="140" t="s">
        <v>140</v>
      </c>
      <c r="C466" s="141">
        <v>1</v>
      </c>
      <c r="D466" s="86">
        <v>998719</v>
      </c>
      <c r="E466" s="55">
        <v>2200</v>
      </c>
      <c r="F466" s="93">
        <f>E466*C466*9%</f>
        <v>198</v>
      </c>
      <c r="G466" s="93">
        <f>F466</f>
        <v>198</v>
      </c>
      <c r="H466" s="62">
        <f>G466+F466+E466*C466</f>
        <v>2596</v>
      </c>
    </row>
    <row r="467" spans="1:8" x14ac:dyDescent="0.3">
      <c r="A467" s="139"/>
      <c r="B467" s="140"/>
      <c r="C467" s="141"/>
      <c r="D467" s="86"/>
      <c r="E467" s="55"/>
      <c r="F467" s="93"/>
      <c r="G467" s="93"/>
      <c r="H467" s="62"/>
    </row>
    <row r="468" spans="1:8" x14ac:dyDescent="0.3">
      <c r="A468" s="139"/>
      <c r="B468" s="140"/>
      <c r="C468" s="142"/>
      <c r="D468" s="86"/>
      <c r="E468" s="55"/>
      <c r="F468" s="93"/>
      <c r="G468" s="93"/>
      <c r="H468" s="62"/>
    </row>
    <row r="469" spans="1:8" x14ac:dyDescent="0.3">
      <c r="A469" s="143"/>
      <c r="B469" s="140"/>
      <c r="C469" s="142"/>
      <c r="D469" s="144"/>
      <c r="E469" s="129"/>
      <c r="F469" s="145"/>
      <c r="G469" s="145"/>
      <c r="H469" s="146"/>
    </row>
    <row r="470" spans="1:8" x14ac:dyDescent="0.3">
      <c r="A470" s="147"/>
      <c r="B470" s="140"/>
      <c r="C470" s="141"/>
      <c r="D470" s="86"/>
      <c r="E470" s="55"/>
      <c r="F470" s="93"/>
      <c r="G470" s="93"/>
      <c r="H470" s="62"/>
    </row>
    <row r="471" spans="1:8" x14ac:dyDescent="0.3">
      <c r="A471" s="55"/>
      <c r="B471" s="148"/>
      <c r="C471" s="55"/>
      <c r="D471" s="86"/>
      <c r="E471" s="55"/>
      <c r="F471" s="93"/>
      <c r="G471" s="93"/>
      <c r="H471" s="62"/>
    </row>
    <row r="472" spans="1:8" x14ac:dyDescent="0.3">
      <c r="A472" s="27"/>
      <c r="B472" s="28"/>
      <c r="C472" s="24"/>
      <c r="D472" s="25"/>
      <c r="E472" s="25"/>
      <c r="F472" s="28"/>
      <c r="G472" s="28"/>
      <c r="H472" s="32"/>
    </row>
    <row r="473" spans="1:8" x14ac:dyDescent="0.3">
      <c r="A473" s="27"/>
      <c r="B473" s="28"/>
      <c r="C473" s="24"/>
      <c r="D473" s="25"/>
      <c r="E473" s="25"/>
      <c r="F473" s="28"/>
      <c r="G473" s="28"/>
      <c r="H473" s="32"/>
    </row>
    <row r="474" spans="1:8" x14ac:dyDescent="0.3">
      <c r="A474" s="27"/>
      <c r="B474" s="28"/>
      <c r="C474" s="24"/>
      <c r="D474" s="25"/>
      <c r="E474" s="25"/>
      <c r="F474" s="28"/>
      <c r="G474" s="28"/>
      <c r="H474" s="32"/>
    </row>
    <row r="475" spans="1:8" x14ac:dyDescent="0.3">
      <c r="A475" s="27"/>
      <c r="B475" s="28"/>
      <c r="C475" s="24"/>
      <c r="D475" s="25"/>
      <c r="E475" s="25"/>
      <c r="F475" s="28"/>
      <c r="G475" s="28"/>
      <c r="H475" s="32"/>
    </row>
    <row r="476" spans="1:8" x14ac:dyDescent="0.3">
      <c r="A476" s="27"/>
      <c r="B476" s="28"/>
      <c r="C476" s="24"/>
      <c r="D476" s="25"/>
      <c r="E476" s="25"/>
      <c r="F476" s="28"/>
      <c r="G476" s="28"/>
      <c r="H476" s="32"/>
    </row>
    <row r="477" spans="1:8" x14ac:dyDescent="0.3">
      <c r="A477" s="27"/>
      <c r="B477" s="28"/>
      <c r="C477" s="24"/>
      <c r="D477" s="25"/>
      <c r="E477" s="25"/>
      <c r="F477" s="28"/>
      <c r="G477" s="28"/>
      <c r="H477" s="32"/>
    </row>
    <row r="478" spans="1:8" x14ac:dyDescent="0.3">
      <c r="A478" s="27"/>
      <c r="B478" s="28"/>
      <c r="C478" s="24"/>
      <c r="D478" s="25"/>
      <c r="E478" s="25"/>
      <c r="F478" s="28"/>
      <c r="G478" s="28"/>
      <c r="H478" s="32"/>
    </row>
    <row r="479" spans="1:8" x14ac:dyDescent="0.3">
      <c r="A479" s="27"/>
      <c r="B479" s="28"/>
      <c r="C479" s="24"/>
      <c r="D479" s="25"/>
      <c r="E479" s="25"/>
      <c r="F479" s="28"/>
      <c r="G479" s="28"/>
      <c r="H479" s="32"/>
    </row>
    <row r="480" spans="1:8" x14ac:dyDescent="0.3">
      <c r="A480" s="27"/>
      <c r="B480" s="28"/>
      <c r="C480" s="24"/>
      <c r="D480" s="25"/>
      <c r="E480" s="25"/>
      <c r="F480" s="28"/>
      <c r="G480" s="28"/>
      <c r="H480" s="32"/>
    </row>
    <row r="481" spans="1:8" x14ac:dyDescent="0.3">
      <c r="A481" s="27"/>
      <c r="B481" s="28"/>
      <c r="C481" s="24"/>
      <c r="D481" s="25"/>
      <c r="E481" s="25"/>
      <c r="F481" s="28"/>
      <c r="G481" s="28"/>
      <c r="H481" s="32"/>
    </row>
    <row r="482" spans="1:8" x14ac:dyDescent="0.3">
      <c r="A482" s="27"/>
      <c r="B482" s="28"/>
      <c r="C482" s="24"/>
      <c r="D482" s="25"/>
      <c r="E482" s="25"/>
      <c r="F482" s="28"/>
      <c r="G482" s="28"/>
      <c r="H482" s="32"/>
    </row>
    <row r="483" spans="1:8" x14ac:dyDescent="0.3">
      <c r="A483" s="27"/>
      <c r="B483" s="28"/>
      <c r="C483" s="24"/>
      <c r="D483" s="25"/>
      <c r="E483" s="25"/>
      <c r="F483" s="28"/>
      <c r="G483" s="28"/>
      <c r="H483" s="32"/>
    </row>
    <row r="484" spans="1:8" x14ac:dyDescent="0.3">
      <c r="A484" s="27"/>
      <c r="B484" s="28"/>
      <c r="C484" s="24"/>
      <c r="D484" s="25"/>
      <c r="E484" s="25"/>
      <c r="F484" s="28"/>
      <c r="G484" s="28"/>
      <c r="H484" s="32"/>
    </row>
    <row r="485" spans="1:8" x14ac:dyDescent="0.3">
      <c r="A485" s="27"/>
      <c r="B485" s="28"/>
      <c r="C485" s="24"/>
      <c r="D485" s="25"/>
      <c r="E485" s="25"/>
      <c r="F485" s="28"/>
      <c r="G485" s="28"/>
      <c r="H485" s="32"/>
    </row>
    <row r="486" spans="1:8" x14ac:dyDescent="0.3">
      <c r="A486" s="27"/>
      <c r="B486" s="28"/>
      <c r="C486" s="24"/>
      <c r="D486" s="25"/>
      <c r="E486" s="25"/>
      <c r="F486" s="28"/>
      <c r="G486" s="28"/>
      <c r="H486" s="32"/>
    </row>
    <row r="487" spans="1:8" x14ac:dyDescent="0.3">
      <c r="A487" s="27"/>
      <c r="B487" s="28"/>
      <c r="C487" s="24"/>
      <c r="D487" s="25"/>
      <c r="E487" s="25"/>
      <c r="F487" s="28"/>
      <c r="G487" s="28"/>
      <c r="H487" s="32"/>
    </row>
    <row r="488" spans="1:8" ht="15.6" x14ac:dyDescent="0.3">
      <c r="A488" s="448" t="s">
        <v>45</v>
      </c>
      <c r="B488" s="449"/>
      <c r="C488" s="449"/>
      <c r="D488" s="25"/>
      <c r="E488" s="25"/>
      <c r="F488" s="447" t="s">
        <v>46</v>
      </c>
      <c r="G488" s="447"/>
      <c r="H488" s="66">
        <v>2200</v>
      </c>
    </row>
    <row r="489" spans="1:8" ht="15.6" x14ac:dyDescent="0.3">
      <c r="A489" s="497" t="s">
        <v>141</v>
      </c>
      <c r="B489" s="498"/>
      <c r="C489" s="498"/>
      <c r="D489" s="498"/>
      <c r="E489" s="498"/>
      <c r="F489" s="447" t="s">
        <v>47</v>
      </c>
      <c r="G489" s="447"/>
      <c r="H489" s="66">
        <f>H488*9%</f>
        <v>198</v>
      </c>
    </row>
    <row r="490" spans="1:8" ht="15.6" x14ac:dyDescent="0.3">
      <c r="A490" s="27"/>
      <c r="B490" s="28"/>
      <c r="C490" s="24"/>
      <c r="D490" s="25"/>
      <c r="E490" s="25"/>
      <c r="F490" s="447" t="s">
        <v>48</v>
      </c>
      <c r="G490" s="447"/>
      <c r="H490" s="66">
        <f>H488*9%</f>
        <v>198</v>
      </c>
    </row>
    <row r="491" spans="1:8" ht="15.6" x14ac:dyDescent="0.3">
      <c r="A491" s="448" t="s">
        <v>49</v>
      </c>
      <c r="B491" s="449"/>
      <c r="C491" s="24"/>
      <c r="D491" s="25"/>
      <c r="E491" s="25"/>
      <c r="F491" s="447" t="s">
        <v>50</v>
      </c>
      <c r="G491" s="447"/>
      <c r="H491" s="66">
        <f>H488+H490+H489</f>
        <v>2596</v>
      </c>
    </row>
    <row r="492" spans="1:8" ht="27" x14ac:dyDescent="0.3">
      <c r="A492" s="68" t="s">
        <v>22</v>
      </c>
      <c r="B492" s="30" t="s">
        <v>51</v>
      </c>
      <c r="C492" s="70" t="s">
        <v>24</v>
      </c>
      <c r="D492" s="31" t="s">
        <v>25</v>
      </c>
      <c r="E492" s="450" t="s">
        <v>52</v>
      </c>
      <c r="F492" s="450"/>
      <c r="G492" s="28"/>
      <c r="H492" s="32"/>
    </row>
    <row r="493" spans="1:8" x14ac:dyDescent="0.3">
      <c r="A493" s="72">
        <v>0.18</v>
      </c>
      <c r="B493" s="73">
        <f>H488</f>
        <v>2200</v>
      </c>
      <c r="C493" s="74">
        <f>H489</f>
        <v>198</v>
      </c>
      <c r="D493" s="74">
        <f>H489</f>
        <v>198</v>
      </c>
      <c r="E493" s="507">
        <f>C493+D493</f>
        <v>396</v>
      </c>
      <c r="F493" s="507"/>
      <c r="G493" s="74"/>
      <c r="H493" s="75"/>
    </row>
    <row r="494" spans="1:8" x14ac:dyDescent="0.3">
      <c r="A494" s="508" t="s">
        <v>142</v>
      </c>
      <c r="B494" s="509"/>
      <c r="C494" s="509"/>
      <c r="D494" s="509"/>
      <c r="E494" s="453"/>
      <c r="F494" s="453"/>
      <c r="G494" s="453"/>
      <c r="H494" s="454"/>
    </row>
    <row r="495" spans="1:8" ht="15.6" x14ac:dyDescent="0.3">
      <c r="A495" s="455" t="s">
        <v>53</v>
      </c>
      <c r="B495" s="456"/>
      <c r="C495" s="456"/>
      <c r="D495" s="457"/>
      <c r="E495" s="458" t="s">
        <v>54</v>
      </c>
      <c r="F495" s="459"/>
      <c r="G495" s="459"/>
      <c r="H495" s="460"/>
    </row>
    <row r="496" spans="1:8" x14ac:dyDescent="0.3">
      <c r="A496" s="461" t="s">
        <v>55</v>
      </c>
      <c r="B496" s="462"/>
      <c r="C496" s="462"/>
      <c r="D496" s="463"/>
      <c r="E496" s="39"/>
      <c r="F496" s="28"/>
      <c r="G496" s="28"/>
      <c r="H496" s="32"/>
    </row>
    <row r="497" spans="1:8" x14ac:dyDescent="0.3">
      <c r="A497" s="461" t="s">
        <v>56</v>
      </c>
      <c r="B497" s="462"/>
      <c r="C497" s="462"/>
      <c r="D497" s="463"/>
      <c r="E497" s="39"/>
      <c r="F497" s="28"/>
      <c r="G497" s="28"/>
      <c r="H497" s="32"/>
    </row>
    <row r="498" spans="1:8" x14ac:dyDescent="0.3">
      <c r="A498" s="461" t="s">
        <v>57</v>
      </c>
      <c r="B498" s="462"/>
      <c r="C498" s="462"/>
      <c r="D498" s="463"/>
      <c r="E498" s="39"/>
      <c r="F498" s="28"/>
      <c r="G498" s="28"/>
      <c r="H498" s="32"/>
    </row>
    <row r="499" spans="1:8" ht="15.6" x14ac:dyDescent="0.3">
      <c r="A499" s="464" t="s">
        <v>58</v>
      </c>
      <c r="B499" s="465"/>
      <c r="C499" s="465"/>
      <c r="D499" s="510"/>
      <c r="E499" s="466" t="s">
        <v>59</v>
      </c>
      <c r="F499" s="467"/>
      <c r="G499" s="467"/>
      <c r="H499" s="468"/>
    </row>
    <row r="503" spans="1:8" ht="44.4" x14ac:dyDescent="0.7">
      <c r="A503" s="469" t="s">
        <v>0</v>
      </c>
      <c r="B503" s="470"/>
      <c r="C503" s="470"/>
      <c r="D503" s="470"/>
      <c r="E503" s="471" t="s">
        <v>143</v>
      </c>
      <c r="F503" s="472"/>
      <c r="G503" s="472"/>
      <c r="H503" s="473"/>
    </row>
    <row r="504" spans="1:8" ht="20.399999999999999" x14ac:dyDescent="0.35">
      <c r="A504" s="1"/>
      <c r="B504" s="476" t="s">
        <v>2</v>
      </c>
      <c r="C504" s="476"/>
      <c r="D504" s="476"/>
      <c r="E504" s="474"/>
      <c r="F504" s="474"/>
      <c r="G504" s="474"/>
      <c r="H504" s="475"/>
    </row>
    <row r="505" spans="1:8" x14ac:dyDescent="0.3">
      <c r="A505" s="477" t="s">
        <v>3</v>
      </c>
      <c r="B505" s="478"/>
      <c r="C505" s="479" t="s">
        <v>4</v>
      </c>
      <c r="D505" s="479"/>
      <c r="E505" s="480" t="s">
        <v>5</v>
      </c>
      <c r="F505" s="480"/>
      <c r="G505" s="480"/>
      <c r="H505" s="480"/>
    </row>
    <row r="506" spans="1:8" ht="15.6" x14ac:dyDescent="0.3">
      <c r="A506" s="138" t="s">
        <v>6</v>
      </c>
      <c r="B506" s="5"/>
      <c r="C506" s="481" t="s">
        <v>7</v>
      </c>
      <c r="D506" s="481"/>
      <c r="E506" s="482">
        <v>12</v>
      </c>
      <c r="F506" s="482"/>
      <c r="G506" s="44" t="s">
        <v>8</v>
      </c>
      <c r="H506" s="8" t="s">
        <v>108</v>
      </c>
    </row>
    <row r="507" spans="1:8" ht="15.6" x14ac:dyDescent="0.3">
      <c r="A507" s="706" t="s">
        <v>144</v>
      </c>
      <c r="B507" s="557"/>
      <c r="C507" s="481" t="s">
        <v>10</v>
      </c>
      <c r="D507" s="481"/>
      <c r="E507" s="489"/>
      <c r="F507" s="491"/>
      <c r="G507" s="44" t="s">
        <v>8</v>
      </c>
      <c r="H507" s="6"/>
    </row>
    <row r="508" spans="1:8" ht="15.6" x14ac:dyDescent="0.3">
      <c r="A508" s="707" t="s">
        <v>145</v>
      </c>
      <c r="B508" s="553"/>
      <c r="C508" s="519" t="s">
        <v>12</v>
      </c>
      <c r="D508" s="519"/>
      <c r="E508" s="489"/>
      <c r="F508" s="491"/>
      <c r="G508" s="48" t="s">
        <v>8</v>
      </c>
      <c r="H508" s="9"/>
    </row>
    <row r="509" spans="1:8" ht="15.6" x14ac:dyDescent="0.3">
      <c r="A509" s="708" t="s">
        <v>14</v>
      </c>
      <c r="B509" s="553"/>
      <c r="C509" s="481" t="s">
        <v>15</v>
      </c>
      <c r="D509" s="481"/>
      <c r="E509" s="631" t="s">
        <v>146</v>
      </c>
      <c r="F509" s="632"/>
      <c r="G509" s="633"/>
      <c r="H509" s="49"/>
    </row>
    <row r="510" spans="1:8" ht="15.6" x14ac:dyDescent="0.3">
      <c r="A510" s="678" t="s">
        <v>147</v>
      </c>
      <c r="B510" s="679"/>
      <c r="C510" s="24"/>
      <c r="D510" s="25"/>
      <c r="E510" s="50"/>
      <c r="F510" s="50"/>
      <c r="G510" s="51"/>
      <c r="H510" s="52"/>
    </row>
    <row r="511" spans="1:8" ht="15" x14ac:dyDescent="0.3">
      <c r="A511" s="492" t="s">
        <v>17</v>
      </c>
      <c r="B511" s="494" t="s">
        <v>18</v>
      </c>
      <c r="C511" s="494" t="s">
        <v>19</v>
      </c>
      <c r="D511" s="494" t="s">
        <v>20</v>
      </c>
      <c r="E511" s="494" t="s">
        <v>21</v>
      </c>
      <c r="F511" s="494" t="s">
        <v>22</v>
      </c>
      <c r="G511" s="494"/>
      <c r="H511" s="492" t="s">
        <v>23</v>
      </c>
    </row>
    <row r="512" spans="1:8" ht="27.6" x14ac:dyDescent="0.3">
      <c r="A512" s="492"/>
      <c r="B512" s="494"/>
      <c r="C512" s="494"/>
      <c r="D512" s="494"/>
      <c r="E512" s="494"/>
      <c r="F512" s="53" t="s">
        <v>24</v>
      </c>
      <c r="G512" s="53" t="s">
        <v>25</v>
      </c>
      <c r="H512" s="492"/>
    </row>
    <row r="513" spans="1:8" ht="28.8" x14ac:dyDescent="0.3">
      <c r="A513" s="57">
        <v>1</v>
      </c>
      <c r="B513" s="149" t="s">
        <v>148</v>
      </c>
      <c r="C513" s="57">
        <v>1</v>
      </c>
      <c r="D513" s="150">
        <v>85311090</v>
      </c>
      <c r="E513" s="57">
        <v>2000</v>
      </c>
      <c r="F513" s="151">
        <f>E513*C513*9%</f>
        <v>180</v>
      </c>
      <c r="G513" s="151">
        <f>F513</f>
        <v>180</v>
      </c>
      <c r="H513" s="57">
        <f>G513+F513+E513*C513</f>
        <v>2360</v>
      </c>
    </row>
    <row r="514" spans="1:8" x14ac:dyDescent="0.3">
      <c r="A514" s="147"/>
      <c r="B514" s="149"/>
      <c r="C514" s="141"/>
      <c r="D514" s="150"/>
      <c r="E514" s="55"/>
      <c r="F514" s="151"/>
      <c r="G514" s="151"/>
      <c r="H514" s="57"/>
    </row>
    <row r="515" spans="1:8" x14ac:dyDescent="0.3">
      <c r="A515" s="55"/>
      <c r="B515" s="60"/>
      <c r="C515" s="55"/>
      <c r="D515" s="56"/>
      <c r="E515" s="57"/>
      <c r="F515" s="151"/>
      <c r="G515" s="151"/>
      <c r="H515" s="57"/>
    </row>
    <row r="516" spans="1:8" x14ac:dyDescent="0.3">
      <c r="A516" s="55"/>
      <c r="B516" s="60"/>
      <c r="C516" s="55"/>
      <c r="D516" s="56"/>
      <c r="E516" s="57"/>
      <c r="F516" s="151"/>
      <c r="G516" s="151"/>
      <c r="H516" s="57"/>
    </row>
    <row r="517" spans="1:8" x14ac:dyDescent="0.3">
      <c r="A517" s="55"/>
      <c r="B517" s="94"/>
      <c r="C517" s="55"/>
      <c r="D517" s="56"/>
      <c r="E517" s="47"/>
      <c r="F517" s="151"/>
      <c r="G517" s="151"/>
      <c r="H517" s="57"/>
    </row>
    <row r="518" spans="1:8" x14ac:dyDescent="0.3">
      <c r="A518" s="55"/>
      <c r="B518" s="94"/>
      <c r="C518" s="55"/>
      <c r="D518" s="56"/>
      <c r="E518" s="47"/>
      <c r="F518" s="151"/>
      <c r="G518" s="151"/>
      <c r="H518" s="57"/>
    </row>
    <row r="519" spans="1:8" x14ac:dyDescent="0.3">
      <c r="A519" s="27"/>
      <c r="B519" s="28"/>
      <c r="C519" s="24"/>
      <c r="D519" s="152"/>
      <c r="E519" s="25"/>
      <c r="F519" s="153"/>
      <c r="G519" s="153"/>
      <c r="H519" s="154"/>
    </row>
    <row r="520" spans="1:8" x14ac:dyDescent="0.3">
      <c r="A520" s="27"/>
      <c r="B520" s="28"/>
      <c r="C520" s="24"/>
      <c r="D520" s="152"/>
      <c r="E520" s="25"/>
      <c r="F520" s="153"/>
      <c r="G520" s="153"/>
      <c r="H520" s="154"/>
    </row>
    <row r="521" spans="1:8" x14ac:dyDescent="0.3">
      <c r="A521" s="27"/>
      <c r="B521" s="28"/>
      <c r="C521" s="24"/>
      <c r="D521" s="152"/>
      <c r="E521" s="25"/>
      <c r="F521" s="153"/>
      <c r="G521" s="153"/>
      <c r="H521" s="154"/>
    </row>
    <row r="522" spans="1:8" x14ac:dyDescent="0.3">
      <c r="A522" s="27"/>
      <c r="B522" s="28"/>
      <c r="C522" s="24"/>
      <c r="D522" s="152"/>
      <c r="E522" s="25"/>
      <c r="F522" s="153"/>
      <c r="G522" s="153"/>
      <c r="H522" s="154"/>
    </row>
    <row r="523" spans="1:8" x14ac:dyDescent="0.3">
      <c r="A523" s="27"/>
      <c r="B523" s="28"/>
      <c r="C523" s="24"/>
      <c r="D523" s="152"/>
      <c r="E523" s="25"/>
      <c r="F523" s="153"/>
      <c r="G523" s="153"/>
      <c r="H523" s="154"/>
    </row>
    <row r="524" spans="1:8" x14ac:dyDescent="0.3">
      <c r="A524" s="27"/>
      <c r="B524" s="28"/>
      <c r="C524" s="24"/>
      <c r="D524" s="152"/>
      <c r="E524" s="25"/>
      <c r="F524" s="153"/>
      <c r="G524" s="153"/>
      <c r="H524" s="154"/>
    </row>
    <row r="525" spans="1:8" x14ac:dyDescent="0.3">
      <c r="A525" s="27"/>
      <c r="B525" s="28"/>
      <c r="C525" s="24"/>
      <c r="D525" s="152"/>
      <c r="E525" s="25"/>
      <c r="F525" s="153"/>
      <c r="G525" s="153"/>
      <c r="H525" s="154"/>
    </row>
    <row r="526" spans="1:8" x14ac:dyDescent="0.3">
      <c r="A526" s="27"/>
      <c r="B526" s="28"/>
      <c r="C526" s="24"/>
      <c r="D526" s="152"/>
      <c r="E526" s="25"/>
      <c r="F526" s="153"/>
      <c r="G526" s="153"/>
      <c r="H526" s="154"/>
    </row>
    <row r="527" spans="1:8" x14ac:dyDescent="0.3">
      <c r="A527" s="27"/>
      <c r="B527" s="28"/>
      <c r="C527" s="24"/>
      <c r="D527" s="152"/>
      <c r="E527" s="25"/>
      <c r="F527" s="153"/>
      <c r="G527" s="153"/>
      <c r="H527" s="154"/>
    </row>
    <row r="528" spans="1:8" x14ac:dyDescent="0.3">
      <c r="A528" s="27"/>
      <c r="B528" s="28"/>
      <c r="C528" s="24"/>
      <c r="D528" s="152"/>
      <c r="E528" s="25"/>
      <c r="F528" s="153"/>
      <c r="G528" s="153"/>
      <c r="H528" s="154"/>
    </row>
    <row r="529" spans="1:8" x14ac:dyDescent="0.3">
      <c r="A529" s="27"/>
      <c r="B529" s="28"/>
      <c r="C529" s="24"/>
      <c r="D529" s="152"/>
      <c r="E529" s="25"/>
      <c r="F529" s="153"/>
      <c r="G529" s="153"/>
      <c r="H529" s="154"/>
    </row>
    <row r="530" spans="1:8" x14ac:dyDescent="0.3">
      <c r="A530" s="27"/>
      <c r="B530" s="28"/>
      <c r="C530" s="24"/>
      <c r="D530" s="25"/>
      <c r="E530" s="25"/>
      <c r="F530" s="25"/>
      <c r="G530" s="28"/>
      <c r="H530" s="32"/>
    </row>
    <row r="531" spans="1:8" x14ac:dyDescent="0.3">
      <c r="A531" s="27"/>
      <c r="B531" s="28"/>
      <c r="C531" s="24"/>
      <c r="D531" s="25"/>
      <c r="E531" s="25"/>
      <c r="F531" s="25"/>
      <c r="G531" s="28"/>
      <c r="H531" s="32"/>
    </row>
    <row r="532" spans="1:8" x14ac:dyDescent="0.3">
      <c r="A532" s="27"/>
      <c r="B532" s="28"/>
      <c r="C532" s="24"/>
      <c r="D532" s="25"/>
      <c r="E532" s="25"/>
      <c r="F532" s="25"/>
      <c r="G532" s="28"/>
      <c r="H532" s="32"/>
    </row>
    <row r="533" spans="1:8" x14ac:dyDescent="0.3">
      <c r="A533" s="27"/>
      <c r="B533" s="28"/>
      <c r="C533" s="24"/>
      <c r="D533" s="25"/>
      <c r="E533" s="25"/>
      <c r="F533" s="25"/>
      <c r="G533" s="28"/>
      <c r="H533" s="32"/>
    </row>
    <row r="534" spans="1:8" x14ac:dyDescent="0.3">
      <c r="A534" s="27"/>
      <c r="B534" s="28"/>
      <c r="C534" s="24"/>
      <c r="D534" s="25"/>
      <c r="E534" s="25"/>
      <c r="F534" s="25"/>
      <c r="G534" s="28"/>
      <c r="H534" s="32"/>
    </row>
    <row r="535" spans="1:8" ht="15.6" x14ac:dyDescent="0.3">
      <c r="A535" s="497" t="s">
        <v>97</v>
      </c>
      <c r="B535" s="498"/>
      <c r="C535" s="24"/>
      <c r="D535" s="25"/>
      <c r="E535" s="25"/>
      <c r="F535" s="116" t="s">
        <v>46</v>
      </c>
      <c r="G535" s="26"/>
      <c r="H535" s="66">
        <v>2000</v>
      </c>
    </row>
    <row r="536" spans="1:8" ht="15.6" x14ac:dyDescent="0.3">
      <c r="A536" s="497" t="s">
        <v>149</v>
      </c>
      <c r="B536" s="498"/>
      <c r="C536" s="498"/>
      <c r="D536" s="498"/>
      <c r="E536" s="67"/>
      <c r="F536" s="116" t="s">
        <v>47</v>
      </c>
      <c r="G536" s="26"/>
      <c r="H536" s="66">
        <f>H535*9%</f>
        <v>180</v>
      </c>
    </row>
    <row r="537" spans="1:8" ht="15.6" x14ac:dyDescent="0.3">
      <c r="A537" s="27"/>
      <c r="B537" s="28"/>
      <c r="C537" s="24"/>
      <c r="D537" s="25"/>
      <c r="E537" s="25"/>
      <c r="F537" s="116" t="s">
        <v>48</v>
      </c>
      <c r="G537" s="26"/>
      <c r="H537" s="66">
        <f>H535*9%</f>
        <v>180</v>
      </c>
    </row>
    <row r="538" spans="1:8" ht="15.6" x14ac:dyDescent="0.3">
      <c r="A538" s="497" t="s">
        <v>49</v>
      </c>
      <c r="B538" s="498"/>
      <c r="C538" s="498"/>
      <c r="D538" s="25"/>
      <c r="E538" s="25"/>
      <c r="F538" s="116" t="s">
        <v>50</v>
      </c>
      <c r="G538" s="26"/>
      <c r="H538" s="66">
        <v>2360</v>
      </c>
    </row>
    <row r="539" spans="1:8" ht="27" x14ac:dyDescent="0.3">
      <c r="A539" s="68" t="s">
        <v>22</v>
      </c>
      <c r="B539" s="69" t="s">
        <v>51</v>
      </c>
      <c r="C539" s="70" t="s">
        <v>24</v>
      </c>
      <c r="D539" s="31" t="s">
        <v>25</v>
      </c>
      <c r="E539" s="528" t="s">
        <v>52</v>
      </c>
      <c r="F539" s="528"/>
      <c r="G539" s="28"/>
      <c r="H539" s="32"/>
    </row>
    <row r="540" spans="1:8" x14ac:dyDescent="0.3">
      <c r="A540" s="72">
        <v>0.18</v>
      </c>
      <c r="B540" s="73">
        <f>H535</f>
        <v>2000</v>
      </c>
      <c r="C540" s="155">
        <f>H536</f>
        <v>180</v>
      </c>
      <c r="D540" s="155">
        <f>H537</f>
        <v>180</v>
      </c>
      <c r="E540" s="507">
        <f>C540+D540</f>
        <v>360</v>
      </c>
      <c r="F540" s="507"/>
      <c r="G540" s="74"/>
      <c r="H540" s="75"/>
    </row>
    <row r="541" spans="1:8" x14ac:dyDescent="0.3">
      <c r="A541" s="452" t="s">
        <v>150</v>
      </c>
      <c r="B541" s="453"/>
      <c r="C541" s="453"/>
      <c r="D541" s="453"/>
      <c r="E541" s="453"/>
      <c r="F541" s="453"/>
      <c r="G541" s="453"/>
      <c r="H541" s="79"/>
    </row>
    <row r="542" spans="1:8" ht="15.6" x14ac:dyDescent="0.3">
      <c r="A542" s="455" t="s">
        <v>53</v>
      </c>
      <c r="B542" s="456"/>
      <c r="C542" s="456"/>
      <c r="D542" s="456"/>
      <c r="E542" s="458" t="s">
        <v>54</v>
      </c>
      <c r="F542" s="459"/>
      <c r="G542" s="459"/>
      <c r="H542" s="460"/>
    </row>
    <row r="543" spans="1:8" x14ac:dyDescent="0.3">
      <c r="A543" s="461" t="s">
        <v>55</v>
      </c>
      <c r="B543" s="462"/>
      <c r="C543" s="462"/>
      <c r="D543" s="462"/>
      <c r="E543" s="39"/>
      <c r="F543" s="25"/>
      <c r="G543" s="28"/>
      <c r="H543" s="32"/>
    </row>
    <row r="544" spans="1:8" x14ac:dyDescent="0.3">
      <c r="A544" s="461" t="s">
        <v>56</v>
      </c>
      <c r="B544" s="462"/>
      <c r="C544" s="462"/>
      <c r="D544" s="462"/>
      <c r="E544" s="39"/>
      <c r="F544" s="25"/>
      <c r="G544" s="28"/>
      <c r="H544" s="32"/>
    </row>
    <row r="545" spans="1:9" x14ac:dyDescent="0.3">
      <c r="A545" s="461" t="s">
        <v>57</v>
      </c>
      <c r="B545" s="462"/>
      <c r="C545" s="462"/>
      <c r="D545" s="462"/>
      <c r="E545" s="39"/>
      <c r="F545" s="25"/>
      <c r="G545" s="28"/>
      <c r="H545" s="32"/>
    </row>
    <row r="546" spans="1:9" ht="15.6" x14ac:dyDescent="0.3">
      <c r="A546" s="464" t="s">
        <v>58</v>
      </c>
      <c r="B546" s="465"/>
      <c r="C546" s="465"/>
      <c r="D546" s="465"/>
      <c r="E546" s="466" t="s">
        <v>59</v>
      </c>
      <c r="F546" s="467"/>
      <c r="G546" s="467"/>
      <c r="H546" s="468"/>
    </row>
    <row r="548" spans="1:9" ht="44.4" x14ac:dyDescent="0.7">
      <c r="A548" s="469" t="s">
        <v>0</v>
      </c>
      <c r="B548" s="470"/>
      <c r="C548" s="470"/>
      <c r="D548" s="470"/>
      <c r="E548" s="471" t="s">
        <v>1</v>
      </c>
      <c r="F548" s="472"/>
      <c r="G548" s="472"/>
      <c r="H548" s="473"/>
    </row>
    <row r="549" spans="1:9" ht="20.399999999999999" x14ac:dyDescent="0.35">
      <c r="A549" s="156"/>
      <c r="B549" s="476" t="s">
        <v>2</v>
      </c>
      <c r="C549" s="476"/>
      <c r="D549" s="476"/>
      <c r="E549" s="474"/>
      <c r="F549" s="474"/>
      <c r="G549" s="474"/>
      <c r="H549" s="475"/>
    </row>
    <row r="550" spans="1:9" x14ac:dyDescent="0.3">
      <c r="A550" s="157" t="s">
        <v>3</v>
      </c>
      <c r="B550" s="137"/>
      <c r="C550" s="136"/>
      <c r="D550" s="499" t="s">
        <v>4</v>
      </c>
      <c r="E550" s="499"/>
      <c r="F550" s="137"/>
      <c r="G550" s="137" t="s">
        <v>134</v>
      </c>
      <c r="H550" s="120"/>
    </row>
    <row r="551" spans="1:9" ht="15.6" x14ac:dyDescent="0.3">
      <c r="A551" s="158" t="s">
        <v>6</v>
      </c>
      <c r="B551" s="5"/>
      <c r="C551" s="481" t="s">
        <v>7</v>
      </c>
      <c r="D551" s="481"/>
      <c r="E551" s="482">
        <v>13</v>
      </c>
      <c r="F551" s="482"/>
      <c r="G551" s="7" t="s">
        <v>8</v>
      </c>
      <c r="H551" s="8" t="s">
        <v>108</v>
      </c>
    </row>
    <row r="552" spans="1:9" ht="15.6" x14ac:dyDescent="0.3">
      <c r="A552" s="551" t="s">
        <v>151</v>
      </c>
      <c r="B552" s="552"/>
      <c r="C552" s="481" t="s">
        <v>10</v>
      </c>
      <c r="D552" s="481"/>
      <c r="E552" s="482">
        <v>15</v>
      </c>
      <c r="F552" s="482"/>
      <c r="G552" s="7" t="s">
        <v>8</v>
      </c>
      <c r="H552" s="9">
        <v>45781</v>
      </c>
    </row>
    <row r="553" spans="1:9" ht="15.6" x14ac:dyDescent="0.3">
      <c r="A553" s="517" t="s">
        <v>152</v>
      </c>
      <c r="B553" s="553"/>
      <c r="C553" s="483" t="s">
        <v>12</v>
      </c>
      <c r="D553" s="484"/>
      <c r="E553" s="482">
        <v>160</v>
      </c>
      <c r="F553" s="482"/>
      <c r="G553" s="10" t="s">
        <v>8</v>
      </c>
      <c r="H553" s="11">
        <v>45720</v>
      </c>
    </row>
    <row r="554" spans="1:9" ht="15.6" x14ac:dyDescent="0.3">
      <c r="A554" s="556" t="s">
        <v>153</v>
      </c>
      <c r="B554" s="557"/>
      <c r="C554" s="481" t="s">
        <v>15</v>
      </c>
      <c r="D554" s="481"/>
      <c r="E554" s="502" t="s">
        <v>154</v>
      </c>
      <c r="F554" s="503"/>
      <c r="G554" s="503"/>
      <c r="H554" s="504"/>
    </row>
    <row r="555" spans="1:9" ht="15.6" x14ac:dyDescent="0.3">
      <c r="A555" s="558" t="s">
        <v>155</v>
      </c>
      <c r="B555" s="559"/>
      <c r="C555" s="489"/>
      <c r="D555" s="490"/>
      <c r="E555" s="490"/>
      <c r="F555" s="490"/>
      <c r="G555" s="490"/>
      <c r="H555" s="491"/>
    </row>
    <row r="556" spans="1:9" ht="15" x14ac:dyDescent="0.3">
      <c r="A556" s="492" t="s">
        <v>17</v>
      </c>
      <c r="B556" s="494" t="s">
        <v>18</v>
      </c>
      <c r="C556" s="494" t="s">
        <v>19</v>
      </c>
      <c r="D556" s="494" t="s">
        <v>20</v>
      </c>
      <c r="E556" s="494" t="s">
        <v>21</v>
      </c>
      <c r="F556" s="494" t="s">
        <v>22</v>
      </c>
      <c r="G556" s="494"/>
      <c r="H556" s="493" t="s">
        <v>23</v>
      </c>
    </row>
    <row r="557" spans="1:9" ht="27.6" x14ac:dyDescent="0.3">
      <c r="A557" s="492"/>
      <c r="B557" s="494"/>
      <c r="C557" s="494"/>
      <c r="D557" s="494"/>
      <c r="E557" s="494"/>
      <c r="F557" s="53" t="s">
        <v>24</v>
      </c>
      <c r="G557" s="53" t="s">
        <v>25</v>
      </c>
      <c r="H557" s="527"/>
    </row>
    <row r="558" spans="1:9" x14ac:dyDescent="0.3">
      <c r="A558" s="57">
        <v>1</v>
      </c>
      <c r="B558" s="60" t="s">
        <v>156</v>
      </c>
      <c r="C558" s="57">
        <v>1</v>
      </c>
      <c r="D558" s="83">
        <v>85359090</v>
      </c>
      <c r="E558" s="57">
        <v>33250</v>
      </c>
      <c r="F558" s="58">
        <f>E558*C558*9%</f>
        <v>2992.5</v>
      </c>
      <c r="G558" s="58">
        <f>F558</f>
        <v>2992.5</v>
      </c>
      <c r="H558" s="59">
        <f>G558+F558+E558*C558</f>
        <v>39235</v>
      </c>
      <c r="I558" s="362">
        <f>E558*C558</f>
        <v>33250</v>
      </c>
    </row>
    <row r="559" spans="1:9" x14ac:dyDescent="0.3">
      <c r="A559" s="57">
        <v>2</v>
      </c>
      <c r="B559" s="60" t="s">
        <v>157</v>
      </c>
      <c r="C559" s="57">
        <v>1</v>
      </c>
      <c r="D559" s="83">
        <v>998719</v>
      </c>
      <c r="E559" s="57">
        <v>4750</v>
      </c>
      <c r="F559" s="58">
        <f>E559*C559*9%</f>
        <v>427.5</v>
      </c>
      <c r="G559" s="58">
        <f>F559</f>
        <v>427.5</v>
      </c>
      <c r="H559" s="59">
        <f>G559+F559+E559*C559</f>
        <v>5605</v>
      </c>
      <c r="I559" s="362">
        <f>E559*C559</f>
        <v>4750</v>
      </c>
    </row>
    <row r="560" spans="1:9" x14ac:dyDescent="0.3">
      <c r="A560" s="57">
        <v>3</v>
      </c>
      <c r="B560" s="60" t="s">
        <v>158</v>
      </c>
      <c r="C560" s="57">
        <v>1</v>
      </c>
      <c r="D560" s="83">
        <v>998719</v>
      </c>
      <c r="E560" s="57">
        <v>2850</v>
      </c>
      <c r="F560" s="58">
        <f>E560*C560*9%</f>
        <v>256.5</v>
      </c>
      <c r="G560" s="58">
        <f>F560</f>
        <v>256.5</v>
      </c>
      <c r="H560" s="59">
        <f>G560+F560+E560*C560</f>
        <v>3363</v>
      </c>
      <c r="I560" s="362">
        <f>E560*C560</f>
        <v>2850</v>
      </c>
    </row>
    <row r="561" spans="1:9" x14ac:dyDescent="0.3">
      <c r="A561" s="57">
        <v>4</v>
      </c>
      <c r="B561" s="60" t="s">
        <v>159</v>
      </c>
      <c r="C561" s="57">
        <v>1</v>
      </c>
      <c r="D561" s="83">
        <v>998719</v>
      </c>
      <c r="E561" s="57">
        <v>8550</v>
      </c>
      <c r="F561" s="58">
        <f>E561*C561*9%</f>
        <v>769.5</v>
      </c>
      <c r="G561" s="58">
        <f>F561</f>
        <v>769.5</v>
      </c>
      <c r="H561" s="59">
        <f>G561+F561+E561*C561</f>
        <v>10089</v>
      </c>
      <c r="I561" s="362">
        <f>E561*C561</f>
        <v>8550</v>
      </c>
    </row>
    <row r="562" spans="1:9" x14ac:dyDescent="0.3">
      <c r="A562" s="27"/>
      <c r="B562" s="88"/>
      <c r="C562" s="24"/>
      <c r="D562" s="89"/>
      <c r="E562" s="24"/>
      <c r="F562" s="133"/>
      <c r="G562" s="133"/>
      <c r="H562" s="134"/>
    </row>
    <row r="563" spans="1:9" x14ac:dyDescent="0.3">
      <c r="A563" s="27"/>
      <c r="B563" s="88"/>
      <c r="C563" s="24"/>
      <c r="D563" s="89"/>
      <c r="E563" s="24"/>
      <c r="F563" s="133"/>
      <c r="G563" s="133"/>
      <c r="H563" s="134"/>
    </row>
    <row r="564" spans="1:9" x14ac:dyDescent="0.3">
      <c r="A564" s="27"/>
      <c r="B564" s="88"/>
      <c r="C564" s="24"/>
      <c r="D564" s="89"/>
      <c r="E564" s="24"/>
      <c r="F564" s="133"/>
      <c r="G564" s="133"/>
      <c r="H564" s="134"/>
    </row>
    <row r="565" spans="1:9" x14ac:dyDescent="0.3">
      <c r="A565" s="27"/>
      <c r="B565" s="88"/>
      <c r="C565" s="24"/>
      <c r="D565" s="89"/>
      <c r="E565" s="24"/>
      <c r="F565" s="133"/>
      <c r="G565" s="133"/>
      <c r="H565" s="134"/>
    </row>
    <row r="566" spans="1:9" x14ac:dyDescent="0.3">
      <c r="A566" s="27"/>
      <c r="B566" s="88"/>
      <c r="C566" s="24"/>
      <c r="D566" s="89"/>
      <c r="E566" s="24"/>
      <c r="F566" s="133"/>
      <c r="G566" s="133"/>
      <c r="H566" s="134"/>
    </row>
    <row r="567" spans="1:9" x14ac:dyDescent="0.3">
      <c r="A567" s="27"/>
      <c r="B567" s="88"/>
      <c r="C567" s="24"/>
      <c r="D567" s="89"/>
      <c r="E567" s="24"/>
      <c r="F567" s="133"/>
      <c r="G567" s="133"/>
      <c r="H567" s="134"/>
    </row>
    <row r="568" spans="1:9" x14ac:dyDescent="0.3">
      <c r="A568" s="27"/>
      <c r="B568" s="88"/>
      <c r="C568" s="24"/>
      <c r="D568" s="89"/>
      <c r="E568" s="24"/>
      <c r="F568" s="133"/>
      <c r="G568" s="133"/>
      <c r="H568" s="134"/>
    </row>
    <row r="569" spans="1:9" x14ac:dyDescent="0.3">
      <c r="A569" s="27"/>
      <c r="B569" s="88"/>
      <c r="C569" s="24"/>
      <c r="D569" s="89"/>
      <c r="E569" s="24"/>
      <c r="F569" s="133"/>
      <c r="G569" s="133"/>
      <c r="H569" s="134"/>
    </row>
    <row r="570" spans="1:9" x14ac:dyDescent="0.3">
      <c r="A570" s="27"/>
      <c r="B570" s="88"/>
      <c r="C570" s="24"/>
      <c r="D570" s="89"/>
      <c r="E570" s="24"/>
      <c r="F570" s="133"/>
      <c r="G570" s="133"/>
      <c r="H570" s="134"/>
    </row>
    <row r="571" spans="1:9" x14ac:dyDescent="0.3">
      <c r="A571" s="27"/>
      <c r="B571" s="28"/>
      <c r="C571" s="24"/>
      <c r="D571" s="89"/>
      <c r="E571" s="25"/>
      <c r="F571" s="25"/>
      <c r="G571" s="25"/>
      <c r="H571" s="32"/>
    </row>
    <row r="572" spans="1:9" x14ac:dyDescent="0.3">
      <c r="A572" s="27"/>
      <c r="B572" s="28"/>
      <c r="C572" s="24"/>
      <c r="D572" s="89"/>
      <c r="E572" s="25"/>
      <c r="F572" s="25"/>
      <c r="G572" s="25"/>
      <c r="H572" s="32"/>
    </row>
    <row r="573" spans="1:9" x14ac:dyDescent="0.3">
      <c r="A573" s="27"/>
      <c r="B573" s="28"/>
      <c r="C573" s="24"/>
      <c r="D573" s="89"/>
      <c r="E573" s="25"/>
      <c r="F573" s="25"/>
      <c r="G573" s="25"/>
      <c r="H573" s="32"/>
    </row>
    <row r="574" spans="1:9" x14ac:dyDescent="0.3">
      <c r="A574" s="27"/>
      <c r="B574" s="28"/>
      <c r="C574" s="24"/>
      <c r="D574" s="89"/>
      <c r="E574" s="25"/>
      <c r="F574" s="25"/>
      <c r="G574" s="25"/>
      <c r="H574" s="32"/>
    </row>
    <row r="575" spans="1:9" x14ac:dyDescent="0.3">
      <c r="A575" s="27"/>
      <c r="B575" s="28"/>
      <c r="C575" s="24"/>
      <c r="D575" s="89"/>
      <c r="E575" s="25"/>
      <c r="F575" s="25"/>
      <c r="G575" s="25"/>
      <c r="H575" s="32"/>
    </row>
    <row r="576" spans="1:9" x14ac:dyDescent="0.3">
      <c r="A576" s="27"/>
      <c r="B576" s="28"/>
      <c r="C576" s="24"/>
      <c r="D576" s="89"/>
      <c r="E576" s="25"/>
      <c r="F576" s="25"/>
      <c r="G576" s="25"/>
      <c r="H576" s="32"/>
    </row>
    <row r="577" spans="1:8" x14ac:dyDescent="0.3">
      <c r="A577" s="27"/>
      <c r="B577" s="28"/>
      <c r="C577" s="24"/>
      <c r="D577" s="89"/>
      <c r="E577" s="25"/>
      <c r="F577" s="25"/>
      <c r="G577" s="25"/>
      <c r="H577" s="32"/>
    </row>
    <row r="578" spans="1:8" x14ac:dyDescent="0.3">
      <c r="A578" s="27"/>
      <c r="B578" s="28"/>
      <c r="C578" s="24"/>
      <c r="D578" s="89"/>
      <c r="E578" s="25"/>
      <c r="F578" s="25"/>
      <c r="G578" s="25"/>
      <c r="H578" s="32"/>
    </row>
    <row r="579" spans="1:8" x14ac:dyDescent="0.3">
      <c r="A579" s="159"/>
      <c r="B579" s="28"/>
      <c r="C579" s="24"/>
      <c r="D579" s="25"/>
      <c r="E579" s="25"/>
      <c r="F579" s="28"/>
      <c r="G579" s="28"/>
      <c r="H579" s="32"/>
    </row>
    <row r="580" spans="1:8" x14ac:dyDescent="0.3">
      <c r="A580" s="159"/>
      <c r="B580" s="28"/>
      <c r="C580" s="24"/>
      <c r="D580" s="25"/>
      <c r="E580" s="25"/>
      <c r="F580" s="28"/>
      <c r="G580" s="28"/>
      <c r="H580" s="32"/>
    </row>
    <row r="581" spans="1:8" x14ac:dyDescent="0.3">
      <c r="A581" s="159"/>
      <c r="B581" s="28"/>
      <c r="C581" s="24"/>
      <c r="D581" s="25"/>
      <c r="E581" s="25"/>
      <c r="F581" s="28"/>
      <c r="G581" s="28"/>
      <c r="H581" s="32"/>
    </row>
    <row r="582" spans="1:8" ht="15.6" x14ac:dyDescent="0.3">
      <c r="A582" s="64" t="s">
        <v>45</v>
      </c>
      <c r="B582" s="28"/>
      <c r="C582" s="24"/>
      <c r="D582" s="25"/>
      <c r="E582" s="25"/>
      <c r="F582" s="447" t="s">
        <v>46</v>
      </c>
      <c r="G582" s="447"/>
      <c r="H582" s="66">
        <v>49400</v>
      </c>
    </row>
    <row r="583" spans="1:8" ht="15.6" x14ac:dyDescent="0.3">
      <c r="A583" s="497" t="s">
        <v>160</v>
      </c>
      <c r="B583" s="498"/>
      <c r="C583" s="498"/>
      <c r="D583" s="498"/>
      <c r="E583" s="498"/>
      <c r="F583" s="447" t="s">
        <v>47</v>
      </c>
      <c r="G583" s="447"/>
      <c r="H583" s="66">
        <f>H582*9%</f>
        <v>4446</v>
      </c>
    </row>
    <row r="584" spans="1:8" ht="15.6" x14ac:dyDescent="0.3">
      <c r="A584" s="159"/>
      <c r="B584" s="28"/>
      <c r="C584" s="24"/>
      <c r="D584" s="25"/>
      <c r="E584" s="25"/>
      <c r="F584" s="447" t="s">
        <v>48</v>
      </c>
      <c r="G584" s="447"/>
      <c r="H584" s="66">
        <f>H582*9%</f>
        <v>4446</v>
      </c>
    </row>
    <row r="585" spans="1:8" ht="15.6" x14ac:dyDescent="0.3">
      <c r="A585" s="64" t="s">
        <v>49</v>
      </c>
      <c r="B585" s="28"/>
      <c r="C585" s="24"/>
      <c r="D585" s="25"/>
      <c r="E585" s="25"/>
      <c r="F585" s="447" t="s">
        <v>50</v>
      </c>
      <c r="G585" s="447"/>
      <c r="H585" s="66">
        <f>H582+H583+H584</f>
        <v>58292</v>
      </c>
    </row>
    <row r="586" spans="1:8" ht="26.4" x14ac:dyDescent="0.3">
      <c r="A586" s="160" t="s">
        <v>22</v>
      </c>
      <c r="B586" s="71" t="s">
        <v>51</v>
      </c>
      <c r="C586" s="161" t="s">
        <v>24</v>
      </c>
      <c r="D586" s="161" t="s">
        <v>25</v>
      </c>
      <c r="E586" s="528" t="s">
        <v>52</v>
      </c>
      <c r="F586" s="528"/>
      <c r="G586" s="162"/>
      <c r="H586" s="154"/>
    </row>
    <row r="587" spans="1:8" x14ac:dyDescent="0.3">
      <c r="A587" s="72">
        <v>0.18</v>
      </c>
      <c r="B587" s="73">
        <f>H582</f>
        <v>49400</v>
      </c>
      <c r="C587" s="74">
        <f>H583</f>
        <v>4446</v>
      </c>
      <c r="D587" s="74">
        <f>H583</f>
        <v>4446</v>
      </c>
      <c r="E587" s="507">
        <f>C587+D587</f>
        <v>8892</v>
      </c>
      <c r="F587" s="507"/>
      <c r="G587" s="74"/>
      <c r="H587" s="75"/>
    </row>
    <row r="588" spans="1:8" x14ac:dyDescent="0.3">
      <c r="A588" s="508" t="s">
        <v>161</v>
      </c>
      <c r="B588" s="509"/>
      <c r="C588" s="509"/>
      <c r="D588" s="509"/>
      <c r="E588" s="453"/>
      <c r="F588" s="453"/>
      <c r="G588" s="453"/>
      <c r="H588" s="454"/>
    </row>
    <row r="589" spans="1:8" ht="15.6" x14ac:dyDescent="0.3">
      <c r="A589" s="455" t="s">
        <v>53</v>
      </c>
      <c r="B589" s="456"/>
      <c r="C589" s="456"/>
      <c r="D589" s="457"/>
      <c r="E589" s="458" t="s">
        <v>54</v>
      </c>
      <c r="F589" s="459"/>
      <c r="G589" s="459"/>
      <c r="H589" s="460"/>
    </row>
    <row r="590" spans="1:8" x14ac:dyDescent="0.3">
      <c r="A590" s="461" t="s">
        <v>55</v>
      </c>
      <c r="B590" s="462"/>
      <c r="C590" s="462"/>
      <c r="D590" s="463"/>
      <c r="E590" s="39"/>
      <c r="F590" s="25"/>
      <c r="G590" s="28"/>
      <c r="H590" s="32"/>
    </row>
    <row r="591" spans="1:8" x14ac:dyDescent="0.3">
      <c r="A591" s="461" t="s">
        <v>56</v>
      </c>
      <c r="B591" s="462"/>
      <c r="C591" s="462"/>
      <c r="D591" s="463"/>
      <c r="E591" s="39"/>
      <c r="F591" s="25"/>
      <c r="G591" s="28"/>
      <c r="H591" s="32"/>
    </row>
    <row r="592" spans="1:8" x14ac:dyDescent="0.3">
      <c r="A592" s="461" t="s">
        <v>57</v>
      </c>
      <c r="B592" s="462"/>
      <c r="C592" s="462"/>
      <c r="D592" s="463"/>
      <c r="E592" s="25"/>
      <c r="F592" s="25"/>
      <c r="G592" s="28"/>
      <c r="H592" s="32"/>
    </row>
    <row r="593" spans="1:17" ht="15.6" x14ac:dyDescent="0.3">
      <c r="A593" s="464" t="s">
        <v>58</v>
      </c>
      <c r="B593" s="465"/>
      <c r="C593" s="465"/>
      <c r="D593" s="510"/>
      <c r="E593" s="466" t="s">
        <v>59</v>
      </c>
      <c r="F593" s="467"/>
      <c r="G593" s="467"/>
      <c r="H593" s="468"/>
    </row>
    <row r="596" spans="1:17" ht="44.4" x14ac:dyDescent="0.7">
      <c r="A596" s="469" t="s">
        <v>0</v>
      </c>
      <c r="B596" s="470"/>
      <c r="C596" s="470"/>
      <c r="D596" s="470"/>
      <c r="E596" s="471" t="s">
        <v>1</v>
      </c>
      <c r="F596" s="472"/>
      <c r="G596" s="472"/>
      <c r="H596" s="473"/>
    </row>
    <row r="597" spans="1:17" ht="20.399999999999999" x14ac:dyDescent="0.35">
      <c r="A597" s="1"/>
      <c r="B597" s="705" t="s">
        <v>2</v>
      </c>
      <c r="C597" s="705"/>
      <c r="D597" s="705"/>
      <c r="E597" s="474"/>
      <c r="F597" s="474"/>
      <c r="G597" s="474"/>
      <c r="H597" s="475"/>
    </row>
    <row r="598" spans="1:17" x14ac:dyDescent="0.3">
      <c r="A598" s="477" t="s">
        <v>3</v>
      </c>
      <c r="B598" s="478"/>
      <c r="C598" s="479" t="s">
        <v>4</v>
      </c>
      <c r="D598" s="479"/>
      <c r="E598" s="480" t="s">
        <v>5</v>
      </c>
      <c r="F598" s="480"/>
      <c r="G598" s="480"/>
      <c r="H598" s="480"/>
    </row>
    <row r="599" spans="1:17" ht="15.6" x14ac:dyDescent="0.3">
      <c r="A599" s="4" t="s">
        <v>6</v>
      </c>
      <c r="B599" s="5"/>
      <c r="C599" s="536" t="s">
        <v>7</v>
      </c>
      <c r="D599" s="516"/>
      <c r="E599" s="489">
        <v>14</v>
      </c>
      <c r="F599" s="491"/>
      <c r="G599" s="7" t="s">
        <v>8</v>
      </c>
      <c r="H599" s="8" t="s">
        <v>169</v>
      </c>
    </row>
    <row r="600" spans="1:17" ht="15.6" x14ac:dyDescent="0.3">
      <c r="A600" s="667" t="s">
        <v>162</v>
      </c>
      <c r="B600" s="668"/>
      <c r="C600" s="536" t="s">
        <v>10</v>
      </c>
      <c r="D600" s="516"/>
      <c r="E600" s="489"/>
      <c r="F600" s="491"/>
      <c r="G600" s="7" t="s">
        <v>8</v>
      </c>
      <c r="H600" s="9"/>
    </row>
    <row r="601" spans="1:17" ht="15" x14ac:dyDescent="0.3">
      <c r="A601" s="517" t="s">
        <v>163</v>
      </c>
      <c r="B601" s="518"/>
      <c r="C601" s="483" t="s">
        <v>12</v>
      </c>
      <c r="D601" s="484"/>
      <c r="E601" s="584"/>
      <c r="F601" s="585"/>
      <c r="G601" s="10" t="s">
        <v>8</v>
      </c>
      <c r="H601" s="82"/>
    </row>
    <row r="602" spans="1:17" ht="15.6" x14ac:dyDescent="0.3">
      <c r="A602" s="556" t="s">
        <v>164</v>
      </c>
      <c r="B602" s="557"/>
      <c r="C602" s="536" t="s">
        <v>15</v>
      </c>
      <c r="D602" s="516"/>
      <c r="E602" s="631" t="s">
        <v>165</v>
      </c>
      <c r="F602" s="632"/>
      <c r="G602" s="633"/>
      <c r="H602" s="126"/>
    </row>
    <row r="603" spans="1:17" ht="15.6" x14ac:dyDescent="0.3">
      <c r="A603" s="558" t="s">
        <v>263</v>
      </c>
      <c r="B603" s="559"/>
      <c r="C603" s="489"/>
      <c r="D603" s="490"/>
      <c r="E603" s="490"/>
      <c r="F603" s="490"/>
      <c r="G603" s="490"/>
      <c r="H603" s="491"/>
    </row>
    <row r="604" spans="1:17" ht="15" x14ac:dyDescent="0.3">
      <c r="A604" s="493" t="s">
        <v>17</v>
      </c>
      <c r="B604" s="495" t="s">
        <v>18</v>
      </c>
      <c r="C604" s="495" t="s">
        <v>19</v>
      </c>
      <c r="D604" s="495" t="s">
        <v>20</v>
      </c>
      <c r="E604" s="495" t="s">
        <v>21</v>
      </c>
      <c r="F604" s="541" t="s">
        <v>22</v>
      </c>
      <c r="G604" s="542"/>
      <c r="H604" s="493" t="s">
        <v>23</v>
      </c>
    </row>
    <row r="605" spans="1:17" ht="27.6" x14ac:dyDescent="0.3">
      <c r="A605" s="527"/>
      <c r="B605" s="505"/>
      <c r="C605" s="505"/>
      <c r="D605" s="505"/>
      <c r="E605" s="505"/>
      <c r="F605" s="53" t="s">
        <v>24</v>
      </c>
      <c r="G605" s="53" t="s">
        <v>25</v>
      </c>
      <c r="H605" s="527"/>
    </row>
    <row r="606" spans="1:17" s="189" customFormat="1" ht="27.6" x14ac:dyDescent="0.3">
      <c r="A606" s="55">
        <v>1</v>
      </c>
      <c r="B606" s="130" t="s">
        <v>172</v>
      </c>
      <c r="C606" s="128">
        <v>1</v>
      </c>
      <c r="D606" s="86">
        <v>85369090</v>
      </c>
      <c r="E606" s="55">
        <v>4700</v>
      </c>
      <c r="F606" s="93">
        <f>E606*C606*9%</f>
        <v>423</v>
      </c>
      <c r="G606" s="93">
        <f>F606</f>
        <v>423</v>
      </c>
      <c r="H606" s="62">
        <f>G606+F606+E606*C606</f>
        <v>5546</v>
      </c>
      <c r="I606" s="362">
        <f>E606*C606</f>
        <v>4700</v>
      </c>
      <c r="J606" s="20">
        <v>1</v>
      </c>
      <c r="K606" s="127" t="s">
        <v>166</v>
      </c>
      <c r="L606" s="128">
        <v>2</v>
      </c>
      <c r="M606" s="55">
        <v>998719</v>
      </c>
      <c r="N606" s="55">
        <v>1300</v>
      </c>
      <c r="O606" s="93">
        <f>N606*L606*9%</f>
        <v>234</v>
      </c>
      <c r="P606" s="93">
        <f>O606</f>
        <v>234</v>
      </c>
      <c r="Q606" s="62">
        <f>P606+O606+N606*L606</f>
        <v>3068</v>
      </c>
    </row>
    <row r="607" spans="1:17" s="189" customFormat="1" ht="27.6" x14ac:dyDescent="0.3">
      <c r="A607" s="55">
        <v>2</v>
      </c>
      <c r="B607" s="130" t="s">
        <v>255</v>
      </c>
      <c r="C607" s="55">
        <v>1</v>
      </c>
      <c r="D607" s="86">
        <v>85369090</v>
      </c>
      <c r="E607" s="55">
        <v>4000</v>
      </c>
      <c r="F607" s="93">
        <f>E607*C607*9%</f>
        <v>360</v>
      </c>
      <c r="G607" s="93">
        <f>F607</f>
        <v>360</v>
      </c>
      <c r="H607" s="62">
        <f>G607+F607+E607*C607</f>
        <v>4720</v>
      </c>
      <c r="I607" s="362">
        <f t="shared" ref="I607:I613" si="4">E607*C607</f>
        <v>4000</v>
      </c>
      <c r="J607" s="20">
        <v>2</v>
      </c>
      <c r="K607" s="130" t="s">
        <v>170</v>
      </c>
      <c r="L607" s="55">
        <v>5</v>
      </c>
      <c r="M607" s="55">
        <v>998719</v>
      </c>
      <c r="N607" s="55">
        <v>1800</v>
      </c>
      <c r="O607" s="93">
        <f>N607*L607*9%</f>
        <v>810</v>
      </c>
      <c r="P607" s="93">
        <f>O607</f>
        <v>810</v>
      </c>
      <c r="Q607" s="62">
        <f>P607+O607+N607*L607</f>
        <v>10620</v>
      </c>
    </row>
    <row r="608" spans="1:17" s="189" customFormat="1" ht="27.6" x14ac:dyDescent="0.3">
      <c r="A608" s="55">
        <v>3</v>
      </c>
      <c r="B608" s="130" t="s">
        <v>256</v>
      </c>
      <c r="C608" s="55">
        <v>10</v>
      </c>
      <c r="D608" s="86">
        <v>998719</v>
      </c>
      <c r="E608" s="55">
        <v>1500</v>
      </c>
      <c r="F608" s="93">
        <f t="shared" ref="F608:F613" si="5">E608*C608*9%</f>
        <v>1350</v>
      </c>
      <c r="G608" s="93">
        <f t="shared" ref="G608:G613" si="6">F608</f>
        <v>1350</v>
      </c>
      <c r="H608" s="62">
        <f t="shared" ref="H608:H613" si="7">G608+F608+E608*C608</f>
        <v>17700</v>
      </c>
      <c r="I608" s="362">
        <f t="shared" si="4"/>
        <v>15000</v>
      </c>
      <c r="J608" s="20">
        <v>3</v>
      </c>
      <c r="K608" s="130" t="s">
        <v>171</v>
      </c>
      <c r="L608" s="55">
        <v>13</v>
      </c>
      <c r="M608" s="55">
        <v>998719</v>
      </c>
      <c r="N608" s="55">
        <v>1500</v>
      </c>
      <c r="O608" s="93">
        <f>N608*L608*9%</f>
        <v>1755</v>
      </c>
      <c r="P608" s="93">
        <f>O608</f>
        <v>1755</v>
      </c>
      <c r="Q608" s="62">
        <f>P608+O608+N608*L608</f>
        <v>23010</v>
      </c>
    </row>
    <row r="609" spans="1:17" s="189" customFormat="1" ht="18.75" customHeight="1" x14ac:dyDescent="0.3">
      <c r="A609" s="55">
        <v>4</v>
      </c>
      <c r="B609" s="130" t="s">
        <v>257</v>
      </c>
      <c r="C609" s="129">
        <v>6</v>
      </c>
      <c r="D609" s="86">
        <v>854690</v>
      </c>
      <c r="E609" s="55">
        <v>3600</v>
      </c>
      <c r="F609" s="93">
        <f t="shared" si="5"/>
        <v>1944</v>
      </c>
      <c r="G609" s="93">
        <f t="shared" si="6"/>
        <v>1944</v>
      </c>
      <c r="H609" s="62">
        <f t="shared" si="7"/>
        <v>25488</v>
      </c>
      <c r="I609" s="362">
        <f t="shared" si="4"/>
        <v>21600</v>
      </c>
      <c r="J609" s="20">
        <v>4</v>
      </c>
      <c r="K609" s="130" t="s">
        <v>173</v>
      </c>
      <c r="L609" s="129">
        <v>1</v>
      </c>
      <c r="M609" s="55"/>
      <c r="N609" s="55">
        <v>3600</v>
      </c>
      <c r="O609" s="93"/>
      <c r="P609" s="93"/>
      <c r="Q609" s="62"/>
    </row>
    <row r="610" spans="1:17" s="189" customFormat="1" x14ac:dyDescent="0.3">
      <c r="A610" s="55">
        <v>5</v>
      </c>
      <c r="B610" s="130" t="s">
        <v>258</v>
      </c>
      <c r="C610" s="129">
        <v>1</v>
      </c>
      <c r="D610" s="86">
        <v>998719</v>
      </c>
      <c r="E610" s="55">
        <v>4500</v>
      </c>
      <c r="F610" s="93">
        <f t="shared" si="5"/>
        <v>405</v>
      </c>
      <c r="G610" s="93">
        <f t="shared" si="6"/>
        <v>405</v>
      </c>
      <c r="H610" s="62">
        <f t="shared" si="7"/>
        <v>5310</v>
      </c>
      <c r="I610" s="362">
        <f t="shared" si="4"/>
        <v>4500</v>
      </c>
      <c r="J610" s="20"/>
      <c r="K610" s="63" t="s">
        <v>174</v>
      </c>
      <c r="L610" s="129">
        <v>1</v>
      </c>
      <c r="M610" s="55"/>
      <c r="N610" s="55">
        <v>2500</v>
      </c>
      <c r="O610" s="93"/>
      <c r="P610" s="93"/>
      <c r="Q610" s="62"/>
    </row>
    <row r="611" spans="1:17" s="189" customFormat="1" ht="45.75" customHeight="1" x14ac:dyDescent="0.3">
      <c r="A611" s="20">
        <v>6</v>
      </c>
      <c r="B611" s="60" t="s">
        <v>260</v>
      </c>
      <c r="C611" s="129">
        <v>1</v>
      </c>
      <c r="D611" s="86">
        <v>998719</v>
      </c>
      <c r="E611" s="55">
        <v>15000</v>
      </c>
      <c r="F611" s="93">
        <f t="shared" si="5"/>
        <v>1350</v>
      </c>
      <c r="G611" s="93">
        <f t="shared" si="6"/>
        <v>1350</v>
      </c>
      <c r="H611" s="62">
        <f t="shared" si="7"/>
        <v>17700</v>
      </c>
      <c r="I611" s="362">
        <f t="shared" si="4"/>
        <v>15000</v>
      </c>
      <c r="J611" s="20"/>
      <c r="K611" s="130" t="s">
        <v>172</v>
      </c>
      <c r="L611" s="129">
        <v>1</v>
      </c>
      <c r="M611" s="55"/>
      <c r="N611" s="55">
        <v>6360</v>
      </c>
      <c r="O611" s="93"/>
      <c r="P611" s="93"/>
      <c r="Q611" s="62"/>
    </row>
    <row r="612" spans="1:17" s="189" customFormat="1" x14ac:dyDescent="0.3">
      <c r="A612" s="20">
        <v>7</v>
      </c>
      <c r="B612" s="63" t="s">
        <v>259</v>
      </c>
      <c r="C612" s="129">
        <v>30</v>
      </c>
      <c r="D612" s="86">
        <v>998719</v>
      </c>
      <c r="E612" s="55">
        <v>250</v>
      </c>
      <c r="F612" s="93">
        <f t="shared" si="5"/>
        <v>675</v>
      </c>
      <c r="G612" s="93">
        <f t="shared" si="6"/>
        <v>675</v>
      </c>
      <c r="H612" s="62">
        <f t="shared" si="7"/>
        <v>8850</v>
      </c>
      <c r="I612" s="362">
        <f t="shared" si="4"/>
        <v>7500</v>
      </c>
      <c r="J612" s="20"/>
      <c r="K612" s="63" t="s">
        <v>175</v>
      </c>
      <c r="L612" s="129">
        <v>5</v>
      </c>
      <c r="M612" s="55"/>
      <c r="N612" s="55"/>
      <c r="O612" s="93"/>
      <c r="P612" s="93"/>
      <c r="Q612" s="62"/>
    </row>
    <row r="613" spans="1:17" s="189" customFormat="1" ht="30.75" customHeight="1" x14ac:dyDescent="0.3">
      <c r="A613" s="20">
        <v>8</v>
      </c>
      <c r="B613" s="127" t="s">
        <v>261</v>
      </c>
      <c r="C613" s="55">
        <v>2</v>
      </c>
      <c r="D613" s="86">
        <v>998719</v>
      </c>
      <c r="E613" s="55">
        <v>1800</v>
      </c>
      <c r="F613" s="93">
        <f t="shared" si="5"/>
        <v>324</v>
      </c>
      <c r="G613" s="93">
        <f t="shared" si="6"/>
        <v>324</v>
      </c>
      <c r="H613" s="62">
        <f t="shared" si="7"/>
        <v>4248</v>
      </c>
      <c r="I613" s="362">
        <f t="shared" si="4"/>
        <v>3600</v>
      </c>
      <c r="J613" s="20"/>
      <c r="K613" s="63"/>
      <c r="L613" s="55"/>
      <c r="M613" s="55"/>
      <c r="N613" s="55"/>
      <c r="O613" s="93"/>
      <c r="P613" s="93"/>
      <c r="Q613" s="62"/>
    </row>
    <row r="614" spans="1:17" x14ac:dyDescent="0.3">
      <c r="A614" s="27"/>
      <c r="B614" s="28"/>
      <c r="C614" s="24"/>
      <c r="D614" s="25"/>
      <c r="E614" s="25"/>
      <c r="F614" s="28"/>
      <c r="G614" s="28"/>
      <c r="H614" s="32"/>
      <c r="J614" s="27"/>
      <c r="K614" s="28"/>
      <c r="L614" s="24"/>
      <c r="M614" s="25"/>
      <c r="N614" s="25"/>
      <c r="O614" s="28"/>
      <c r="P614" s="28"/>
      <c r="Q614" s="32"/>
    </row>
    <row r="615" spans="1:17" x14ac:dyDescent="0.3">
      <c r="A615" s="27"/>
      <c r="B615" s="28"/>
      <c r="C615" s="24"/>
      <c r="D615" s="25"/>
      <c r="E615" s="25"/>
      <c r="F615" s="28"/>
      <c r="G615" s="28"/>
      <c r="H615" s="32"/>
      <c r="J615" s="27"/>
      <c r="K615" s="28"/>
      <c r="L615" s="24"/>
      <c r="M615" s="25"/>
      <c r="N615" s="25"/>
      <c r="O615" s="28"/>
      <c r="P615" s="28"/>
      <c r="Q615" s="32"/>
    </row>
    <row r="616" spans="1:17" x14ac:dyDescent="0.3">
      <c r="A616" s="27"/>
      <c r="B616" s="28"/>
      <c r="C616" s="24"/>
      <c r="D616" s="25"/>
      <c r="E616" s="25"/>
      <c r="F616" s="28"/>
      <c r="G616" s="28"/>
      <c r="H616" s="32"/>
      <c r="J616" s="27"/>
      <c r="K616" s="28"/>
      <c r="L616" s="24"/>
      <c r="M616" s="25"/>
      <c r="N616" s="25"/>
      <c r="O616" s="28"/>
      <c r="P616" s="28"/>
      <c r="Q616" s="32"/>
    </row>
    <row r="617" spans="1:17" x14ac:dyDescent="0.3">
      <c r="A617" s="27"/>
      <c r="B617" s="28"/>
      <c r="C617" s="24"/>
      <c r="D617" s="25"/>
      <c r="E617" s="25"/>
      <c r="F617" s="28"/>
      <c r="G617" s="28"/>
      <c r="H617" s="32"/>
      <c r="J617" s="27"/>
      <c r="K617" s="28"/>
      <c r="L617" s="24"/>
      <c r="M617" s="25"/>
      <c r="N617" s="25"/>
      <c r="O617" s="28"/>
      <c r="P617" s="28"/>
      <c r="Q617" s="32"/>
    </row>
    <row r="618" spans="1:17" x14ac:dyDescent="0.3">
      <c r="A618" s="27"/>
      <c r="B618" s="28"/>
      <c r="C618" s="24"/>
      <c r="D618" s="25"/>
      <c r="E618" s="25"/>
      <c r="F618" s="28"/>
      <c r="G618" s="28"/>
      <c r="H618" s="32"/>
      <c r="J618" s="27"/>
      <c r="K618" s="28"/>
      <c r="L618" s="24"/>
      <c r="M618" s="25"/>
      <c r="N618" s="25"/>
      <c r="O618" s="28"/>
      <c r="P618" s="28"/>
      <c r="Q618" s="32"/>
    </row>
    <row r="619" spans="1:17" x14ac:dyDescent="0.3">
      <c r="A619" s="27"/>
      <c r="B619" s="28"/>
      <c r="C619" s="24"/>
      <c r="D619" s="25"/>
      <c r="E619" s="25"/>
      <c r="F619" s="28"/>
      <c r="G619" s="28"/>
      <c r="H619" s="32"/>
      <c r="J619" s="27"/>
      <c r="K619" s="28"/>
      <c r="L619" s="24"/>
      <c r="M619" s="25"/>
      <c r="N619" s="25"/>
      <c r="O619" s="28"/>
      <c r="P619" s="28"/>
      <c r="Q619" s="32"/>
    </row>
    <row r="620" spans="1:17" x14ac:dyDescent="0.3">
      <c r="A620" s="27"/>
      <c r="B620" s="28"/>
      <c r="C620" s="24"/>
      <c r="D620" s="25"/>
      <c r="E620" s="25"/>
      <c r="F620" s="28"/>
      <c r="G620" s="28"/>
      <c r="H620" s="32"/>
      <c r="J620" s="27"/>
      <c r="K620" s="28"/>
      <c r="L620" s="24"/>
      <c r="M620" s="25"/>
      <c r="N620" s="25"/>
      <c r="O620" s="28"/>
      <c r="P620" s="28"/>
      <c r="Q620" s="32"/>
    </row>
    <row r="621" spans="1:17" x14ac:dyDescent="0.3">
      <c r="A621" s="27"/>
      <c r="B621" s="28"/>
      <c r="C621" s="24"/>
      <c r="D621" s="25"/>
      <c r="E621" s="25"/>
      <c r="F621" s="28"/>
      <c r="G621" s="28"/>
      <c r="H621" s="32"/>
      <c r="J621" s="27"/>
      <c r="K621" s="28"/>
      <c r="L621" s="24"/>
      <c r="M621" s="25"/>
      <c r="N621" s="25"/>
      <c r="O621" s="28"/>
      <c r="P621" s="28"/>
      <c r="Q621" s="32"/>
    </row>
    <row r="622" spans="1:17" ht="15.6" x14ac:dyDescent="0.3">
      <c r="A622" s="448" t="s">
        <v>45</v>
      </c>
      <c r="B622" s="449"/>
      <c r="C622" s="449"/>
      <c r="D622" s="25"/>
      <c r="E622" s="25"/>
      <c r="F622" s="447" t="s">
        <v>46</v>
      </c>
      <c r="G622" s="447"/>
      <c r="H622" s="66">
        <v>75900</v>
      </c>
      <c r="J622" s="448" t="s">
        <v>45</v>
      </c>
      <c r="K622" s="449"/>
      <c r="L622" s="449"/>
      <c r="M622" s="25"/>
      <c r="N622" s="25"/>
      <c r="O622" s="447" t="s">
        <v>46</v>
      </c>
      <c r="P622" s="447"/>
      <c r="Q622" s="66">
        <f>N607*L607+N606*L606+N608*L608+N609*L609</f>
        <v>34700</v>
      </c>
    </row>
    <row r="623" spans="1:17" ht="15.6" x14ac:dyDescent="0.3">
      <c r="A623" s="497" t="s">
        <v>264</v>
      </c>
      <c r="B623" s="498"/>
      <c r="C623" s="498"/>
      <c r="D623" s="498"/>
      <c r="E623" s="498"/>
      <c r="F623" s="447" t="s">
        <v>47</v>
      </c>
      <c r="G623" s="447"/>
      <c r="H623" s="66">
        <f>H622*9%</f>
        <v>6831</v>
      </c>
      <c r="J623" s="497" t="s">
        <v>167</v>
      </c>
      <c r="K623" s="498"/>
      <c r="L623" s="498"/>
      <c r="M623" s="498"/>
      <c r="N623" s="498"/>
      <c r="O623" s="447" t="s">
        <v>47</v>
      </c>
      <c r="P623" s="447"/>
      <c r="Q623" s="66">
        <f>Q622*9%</f>
        <v>3123</v>
      </c>
    </row>
    <row r="624" spans="1:17" ht="15.6" x14ac:dyDescent="0.3">
      <c r="A624" s="27"/>
      <c r="B624" s="28"/>
      <c r="C624" s="24"/>
      <c r="D624" s="25"/>
      <c r="E624" s="25"/>
      <c r="F624" s="447" t="s">
        <v>48</v>
      </c>
      <c r="G624" s="447"/>
      <c r="H624" s="66">
        <f>H622*9%</f>
        <v>6831</v>
      </c>
      <c r="J624" s="27"/>
      <c r="K624" s="28"/>
      <c r="L624" s="24"/>
      <c r="M624" s="25"/>
      <c r="N624" s="25"/>
      <c r="O624" s="447" t="s">
        <v>48</v>
      </c>
      <c r="P624" s="447"/>
      <c r="Q624" s="66">
        <f>Q622*9%</f>
        <v>3123</v>
      </c>
    </row>
    <row r="625" spans="1:17" ht="15.6" x14ac:dyDescent="0.3">
      <c r="A625" s="448" t="s">
        <v>49</v>
      </c>
      <c r="B625" s="449"/>
      <c r="C625" s="449"/>
      <c r="D625" s="25"/>
      <c r="E625" s="25"/>
      <c r="F625" s="447" t="s">
        <v>50</v>
      </c>
      <c r="G625" s="447"/>
      <c r="H625" s="66">
        <f>H622+H624+H623</f>
        <v>89562</v>
      </c>
      <c r="J625" s="448" t="s">
        <v>49</v>
      </c>
      <c r="K625" s="449"/>
      <c r="L625" s="449"/>
      <c r="M625" s="25"/>
      <c r="N625" s="25"/>
      <c r="O625" s="447" t="s">
        <v>50</v>
      </c>
      <c r="P625" s="447"/>
      <c r="Q625" s="66">
        <f>Q622+Q624+Q623</f>
        <v>40946</v>
      </c>
    </row>
    <row r="626" spans="1:17" ht="27" x14ac:dyDescent="0.3">
      <c r="A626" s="68" t="s">
        <v>22</v>
      </c>
      <c r="B626" s="30" t="s">
        <v>51</v>
      </c>
      <c r="C626" s="70" t="s">
        <v>24</v>
      </c>
      <c r="D626" s="31" t="s">
        <v>25</v>
      </c>
      <c r="E626" s="543" t="s">
        <v>52</v>
      </c>
      <c r="F626" s="543"/>
      <c r="G626" s="28"/>
      <c r="H626" s="32"/>
      <c r="J626" s="68" t="s">
        <v>22</v>
      </c>
      <c r="K626" s="30" t="s">
        <v>51</v>
      </c>
      <c r="L626" s="70" t="s">
        <v>24</v>
      </c>
      <c r="M626" s="31" t="s">
        <v>25</v>
      </c>
      <c r="N626" s="543" t="s">
        <v>52</v>
      </c>
      <c r="O626" s="543"/>
      <c r="P626" s="28"/>
      <c r="Q626" s="32"/>
    </row>
    <row r="627" spans="1:17" x14ac:dyDescent="0.3">
      <c r="A627" s="72">
        <v>0.18</v>
      </c>
      <c r="B627" s="73">
        <f>H622</f>
        <v>75900</v>
      </c>
      <c r="C627" s="74">
        <f>H623</f>
        <v>6831</v>
      </c>
      <c r="D627" s="74">
        <f>H623</f>
        <v>6831</v>
      </c>
      <c r="E627" s="507">
        <f>C627+D627</f>
        <v>13662</v>
      </c>
      <c r="F627" s="507"/>
      <c r="G627" s="74"/>
      <c r="H627" s="75"/>
      <c r="J627" s="72">
        <v>0.18</v>
      </c>
      <c r="K627" s="73">
        <f>Q622</f>
        <v>34700</v>
      </c>
      <c r="L627" s="74">
        <f>Q623</f>
        <v>3123</v>
      </c>
      <c r="M627" s="74">
        <f>Q623</f>
        <v>3123</v>
      </c>
      <c r="N627" s="507">
        <f>L627+M627</f>
        <v>6246</v>
      </c>
      <c r="O627" s="507"/>
      <c r="P627" s="74"/>
      <c r="Q627" s="75"/>
    </row>
    <row r="628" spans="1:17" x14ac:dyDescent="0.3">
      <c r="A628" s="508" t="s">
        <v>262</v>
      </c>
      <c r="B628" s="509"/>
      <c r="C628" s="509"/>
      <c r="D628" s="509"/>
      <c r="E628" s="453"/>
      <c r="F628" s="453"/>
      <c r="G628" s="453"/>
      <c r="H628" s="454"/>
      <c r="J628" s="508" t="s">
        <v>168</v>
      </c>
      <c r="K628" s="509"/>
      <c r="L628" s="509"/>
      <c r="M628" s="509"/>
      <c r="N628" s="453"/>
      <c r="O628" s="453"/>
      <c r="P628" s="453"/>
      <c r="Q628" s="454"/>
    </row>
    <row r="629" spans="1:17" ht="15.6" x14ac:dyDescent="0.3">
      <c r="A629" s="455" t="s">
        <v>53</v>
      </c>
      <c r="B629" s="456"/>
      <c r="C629" s="456"/>
      <c r="D629" s="135"/>
      <c r="E629" s="458" t="s">
        <v>54</v>
      </c>
      <c r="F629" s="459"/>
      <c r="G629" s="459"/>
      <c r="H629" s="460"/>
      <c r="J629" s="455" t="s">
        <v>53</v>
      </c>
      <c r="K629" s="456"/>
      <c r="L629" s="456"/>
      <c r="M629" s="135"/>
      <c r="N629" s="458" t="s">
        <v>54</v>
      </c>
      <c r="O629" s="459"/>
      <c r="P629" s="459"/>
      <c r="Q629" s="460"/>
    </row>
    <row r="630" spans="1:17" x14ac:dyDescent="0.3">
      <c r="A630" s="100" t="s">
        <v>55</v>
      </c>
      <c r="B630" s="101"/>
      <c r="C630" s="101"/>
      <c r="D630" s="101"/>
      <c r="E630" s="39"/>
      <c r="F630" s="25"/>
      <c r="G630" s="28"/>
      <c r="H630" s="32"/>
      <c r="J630" s="100" t="s">
        <v>55</v>
      </c>
      <c r="K630" s="101"/>
      <c r="L630" s="101"/>
      <c r="M630" s="101"/>
      <c r="N630" s="39"/>
      <c r="O630" s="25"/>
      <c r="P630" s="28"/>
      <c r="Q630" s="32"/>
    </row>
    <row r="631" spans="1:17" x14ac:dyDescent="0.3">
      <c r="A631" s="461" t="s">
        <v>56</v>
      </c>
      <c r="B631" s="462"/>
      <c r="C631" s="462"/>
      <c r="D631" s="101"/>
      <c r="E631" s="39"/>
      <c r="F631" s="25"/>
      <c r="G631" s="28"/>
      <c r="H631" s="32"/>
      <c r="J631" s="461" t="s">
        <v>56</v>
      </c>
      <c r="K631" s="462"/>
      <c r="L631" s="462"/>
      <c r="M631" s="101"/>
      <c r="N631" s="39"/>
      <c r="O631" s="25"/>
      <c r="P631" s="28"/>
      <c r="Q631" s="32"/>
    </row>
    <row r="632" spans="1:17" x14ac:dyDescent="0.3">
      <c r="A632" s="461" t="s">
        <v>57</v>
      </c>
      <c r="B632" s="462"/>
      <c r="C632" s="462"/>
      <c r="D632" s="463"/>
      <c r="E632" s="39"/>
      <c r="F632" s="25"/>
      <c r="G632" s="28"/>
      <c r="H632" s="32"/>
      <c r="J632" s="461" t="s">
        <v>57</v>
      </c>
      <c r="K632" s="462"/>
      <c r="L632" s="462"/>
      <c r="M632" s="463"/>
      <c r="N632" s="39"/>
      <c r="O632" s="25"/>
      <c r="P632" s="28"/>
      <c r="Q632" s="32"/>
    </row>
    <row r="633" spans="1:17" ht="15.6" x14ac:dyDescent="0.3">
      <c r="A633" s="464" t="s">
        <v>58</v>
      </c>
      <c r="B633" s="465"/>
      <c r="C633" s="465"/>
      <c r="D633" s="510"/>
      <c r="E633" s="466" t="s">
        <v>59</v>
      </c>
      <c r="F633" s="467"/>
      <c r="G633" s="467"/>
      <c r="H633" s="468"/>
      <c r="J633" s="464" t="s">
        <v>58</v>
      </c>
      <c r="K633" s="465"/>
      <c r="L633" s="465"/>
      <c r="M633" s="510"/>
      <c r="N633" s="466" t="s">
        <v>59</v>
      </c>
      <c r="O633" s="467"/>
      <c r="P633" s="467"/>
      <c r="Q633" s="468"/>
    </row>
    <row r="637" spans="1:17" ht="44.4" x14ac:dyDescent="0.7">
      <c r="A637" s="469" t="s">
        <v>0</v>
      </c>
      <c r="B637" s="470"/>
      <c r="C637" s="470"/>
      <c r="D637" s="470"/>
      <c r="E637" s="471" t="s">
        <v>92</v>
      </c>
      <c r="F637" s="472"/>
      <c r="G637" s="472"/>
      <c r="H637" s="473"/>
    </row>
    <row r="638" spans="1:17" ht="20.399999999999999" x14ac:dyDescent="0.35">
      <c r="A638" s="1"/>
      <c r="B638" s="476" t="s">
        <v>2</v>
      </c>
      <c r="C638" s="476"/>
      <c r="D638" s="476"/>
      <c r="E638" s="474"/>
      <c r="F638" s="474"/>
      <c r="G638" s="474"/>
      <c r="H638" s="475"/>
    </row>
    <row r="639" spans="1:17" x14ac:dyDescent="0.3">
      <c r="A639" s="477" t="s">
        <v>3</v>
      </c>
      <c r="B639" s="478"/>
      <c r="C639" s="136"/>
      <c r="D639" s="499" t="s">
        <v>4</v>
      </c>
      <c r="E639" s="499"/>
      <c r="F639" s="137"/>
      <c r="G639" s="575" t="s">
        <v>134</v>
      </c>
      <c r="H639" s="576"/>
    </row>
    <row r="640" spans="1:17" ht="15.6" x14ac:dyDescent="0.3">
      <c r="A640" s="138" t="s">
        <v>6</v>
      </c>
      <c r="B640" s="5"/>
      <c r="C640" s="481" t="s">
        <v>7</v>
      </c>
      <c r="D640" s="481"/>
      <c r="E640" s="482">
        <v>15</v>
      </c>
      <c r="F640" s="482"/>
      <c r="G640" s="7" t="s">
        <v>8</v>
      </c>
      <c r="H640" s="8" t="s">
        <v>181</v>
      </c>
    </row>
    <row r="641" spans="1:9" ht="15.6" x14ac:dyDescent="0.3">
      <c r="A641" s="556" t="s">
        <v>177</v>
      </c>
      <c r="B641" s="557"/>
      <c r="C641" s="481" t="s">
        <v>10</v>
      </c>
      <c r="D641" s="481"/>
      <c r="E641" s="482"/>
      <c r="F641" s="482"/>
      <c r="G641" s="7" t="s">
        <v>8</v>
      </c>
      <c r="H641" s="6"/>
    </row>
    <row r="642" spans="1:9" ht="15.6" x14ac:dyDescent="0.3">
      <c r="A642" s="577" t="s">
        <v>178</v>
      </c>
      <c r="B642" s="578"/>
      <c r="C642" s="481" t="s">
        <v>12</v>
      </c>
      <c r="D642" s="481"/>
      <c r="E642" s="482">
        <v>2</v>
      </c>
      <c r="F642" s="482"/>
      <c r="G642" s="7" t="s">
        <v>8</v>
      </c>
      <c r="H642" s="8">
        <v>45661</v>
      </c>
    </row>
    <row r="643" spans="1:9" ht="15.6" x14ac:dyDescent="0.3">
      <c r="A643" s="556" t="s">
        <v>179</v>
      </c>
      <c r="B643" s="557"/>
      <c r="C643" s="481" t="s">
        <v>15</v>
      </c>
      <c r="D643" s="481"/>
      <c r="E643" s="566" t="s">
        <v>180</v>
      </c>
      <c r="F643" s="567"/>
      <c r="G643" s="567"/>
      <c r="H643" s="568"/>
    </row>
    <row r="644" spans="1:9" ht="15.6" x14ac:dyDescent="0.3">
      <c r="A644" s="558" t="s">
        <v>182</v>
      </c>
      <c r="B644" s="559"/>
      <c r="C644" s="569"/>
      <c r="D644" s="570"/>
      <c r="E644" s="570"/>
      <c r="F644" s="570"/>
      <c r="G644" s="570"/>
      <c r="H644" s="571"/>
    </row>
    <row r="645" spans="1:9" ht="15" x14ac:dyDescent="0.3">
      <c r="A645" s="492" t="s">
        <v>17</v>
      </c>
      <c r="B645" s="494" t="s">
        <v>18</v>
      </c>
      <c r="C645" s="494" t="s">
        <v>19</v>
      </c>
      <c r="D645" s="494" t="s">
        <v>20</v>
      </c>
      <c r="E645" s="494" t="s">
        <v>21</v>
      </c>
      <c r="F645" s="494" t="s">
        <v>22</v>
      </c>
      <c r="G645" s="494"/>
      <c r="H645" s="492" t="s">
        <v>23</v>
      </c>
    </row>
    <row r="646" spans="1:9" ht="27.6" x14ac:dyDescent="0.3">
      <c r="A646" s="492"/>
      <c r="B646" s="494"/>
      <c r="C646" s="494"/>
      <c r="D646" s="494"/>
      <c r="E646" s="494"/>
      <c r="F646" s="53" t="s">
        <v>24</v>
      </c>
      <c r="G646" s="53" t="s">
        <v>25</v>
      </c>
      <c r="H646" s="492"/>
    </row>
    <row r="647" spans="1:9" x14ac:dyDescent="0.3">
      <c r="A647" s="57">
        <v>1</v>
      </c>
      <c r="B647" s="113" t="s">
        <v>185</v>
      </c>
      <c r="C647" s="57">
        <v>16</v>
      </c>
      <c r="D647" s="169">
        <v>85446020</v>
      </c>
      <c r="E647" s="57">
        <v>805.5</v>
      </c>
      <c r="F647" s="58">
        <f>C647*E647*9%</f>
        <v>1159.9199999999998</v>
      </c>
      <c r="G647" s="58">
        <f>C647*E647*9%</f>
        <v>1159.9199999999998</v>
      </c>
      <c r="H647" s="59">
        <f>C647*E647+F647+G647</f>
        <v>15207.84</v>
      </c>
      <c r="I647" s="362">
        <f>E647*C647</f>
        <v>12888</v>
      </c>
    </row>
    <row r="648" spans="1:9" x14ac:dyDescent="0.3">
      <c r="A648" s="57"/>
      <c r="B648" s="60"/>
      <c r="C648" s="57"/>
      <c r="D648" s="56"/>
      <c r="E648" s="57"/>
      <c r="F648" s="58"/>
      <c r="G648" s="58"/>
      <c r="H648" s="59"/>
    </row>
    <row r="649" spans="1:9" x14ac:dyDescent="0.3">
      <c r="A649" s="55"/>
      <c r="B649" s="63"/>
      <c r="C649" s="55"/>
      <c r="D649" s="56"/>
      <c r="E649" s="55"/>
      <c r="F649" s="58"/>
      <c r="G649" s="58"/>
      <c r="H649" s="59"/>
    </row>
    <row r="650" spans="1:9" x14ac:dyDescent="0.3">
      <c r="A650" s="90"/>
      <c r="B650" s="132"/>
      <c r="C650" s="24"/>
      <c r="D650" s="164"/>
      <c r="E650" s="24"/>
      <c r="F650" s="165"/>
      <c r="G650" s="165"/>
      <c r="H650" s="166"/>
    </row>
    <row r="651" spans="1:9" x14ac:dyDescent="0.3">
      <c r="A651" s="90"/>
      <c r="B651" s="132"/>
      <c r="C651" s="24"/>
      <c r="D651" s="164"/>
      <c r="E651" s="24"/>
      <c r="F651" s="165"/>
      <c r="G651" s="165"/>
      <c r="H651" s="166"/>
    </row>
    <row r="652" spans="1:9" x14ac:dyDescent="0.3">
      <c r="A652" s="90"/>
      <c r="B652" s="132"/>
      <c r="C652" s="24"/>
      <c r="D652" s="164"/>
      <c r="E652" s="24"/>
      <c r="F652" s="165"/>
      <c r="G652" s="165"/>
      <c r="H652" s="166"/>
    </row>
    <row r="653" spans="1:9" x14ac:dyDescent="0.3">
      <c r="A653" s="27"/>
      <c r="B653" s="132"/>
      <c r="C653" s="24"/>
      <c r="D653" s="25"/>
      <c r="E653" s="25"/>
      <c r="F653" s="165"/>
      <c r="G653" s="165"/>
      <c r="H653" s="166"/>
    </row>
    <row r="654" spans="1:9" x14ac:dyDescent="0.3">
      <c r="A654" s="27"/>
      <c r="B654" s="28"/>
      <c r="C654" s="24"/>
      <c r="D654" s="25"/>
      <c r="E654" s="25"/>
      <c r="F654" s="165"/>
      <c r="G654" s="165"/>
      <c r="H654" s="166"/>
    </row>
    <row r="655" spans="1:9" x14ac:dyDescent="0.3">
      <c r="A655" s="27"/>
      <c r="B655" s="28"/>
      <c r="C655" s="24"/>
      <c r="D655" s="25"/>
      <c r="E655" s="25"/>
      <c r="F655" s="165"/>
      <c r="G655" s="165"/>
      <c r="H655" s="166"/>
    </row>
    <row r="656" spans="1:9" x14ac:dyDescent="0.3">
      <c r="A656" s="27"/>
      <c r="B656" s="28"/>
      <c r="C656" s="24"/>
      <c r="D656" s="25"/>
      <c r="E656" s="25"/>
      <c r="F656" s="165"/>
      <c r="G656" s="165"/>
      <c r="H656" s="166"/>
    </row>
    <row r="657" spans="1:8" x14ac:dyDescent="0.3">
      <c r="A657" s="27"/>
      <c r="B657" s="28"/>
      <c r="C657" s="24"/>
      <c r="D657" s="25"/>
      <c r="E657" s="25"/>
      <c r="F657" s="165"/>
      <c r="G657" s="165"/>
      <c r="H657" s="166"/>
    </row>
    <row r="658" spans="1:8" x14ac:dyDescent="0.3">
      <c r="A658" s="27"/>
      <c r="B658" s="28"/>
      <c r="C658" s="24"/>
      <c r="D658" s="25"/>
      <c r="E658" s="25"/>
      <c r="F658" s="165"/>
      <c r="G658" s="165"/>
      <c r="H658" s="166"/>
    </row>
    <row r="659" spans="1:8" x14ac:dyDescent="0.3">
      <c r="A659" s="27"/>
      <c r="B659" s="28"/>
      <c r="C659" s="24"/>
      <c r="D659" s="25"/>
      <c r="E659" s="25"/>
      <c r="F659" s="28"/>
      <c r="G659" s="28"/>
      <c r="H659" s="32"/>
    </row>
    <row r="660" spans="1:8" x14ac:dyDescent="0.3">
      <c r="A660" s="27"/>
      <c r="B660" s="28"/>
      <c r="C660" s="24"/>
      <c r="D660" s="25"/>
      <c r="E660" s="25"/>
      <c r="F660" s="28"/>
      <c r="G660" s="28"/>
      <c r="H660" s="32"/>
    </row>
    <row r="661" spans="1:8" x14ac:dyDescent="0.3">
      <c r="A661" s="27"/>
      <c r="B661" s="28"/>
      <c r="C661" s="24"/>
      <c r="D661" s="25"/>
      <c r="E661" s="25"/>
      <c r="F661" s="28"/>
      <c r="G661" s="28"/>
      <c r="H661" s="32"/>
    </row>
    <row r="662" spans="1:8" x14ac:dyDescent="0.3">
      <c r="A662" s="27"/>
      <c r="B662" s="28"/>
      <c r="C662" s="24"/>
      <c r="D662" s="25"/>
      <c r="E662" s="25"/>
      <c r="F662" s="28"/>
      <c r="G662" s="28"/>
      <c r="H662" s="32"/>
    </row>
    <row r="663" spans="1:8" x14ac:dyDescent="0.3">
      <c r="A663" s="27"/>
      <c r="B663" s="28"/>
      <c r="C663" s="24"/>
      <c r="D663" s="25"/>
      <c r="E663" s="25"/>
      <c r="F663" s="28"/>
      <c r="G663" s="28"/>
      <c r="H663" s="32"/>
    </row>
    <row r="664" spans="1:8" x14ac:dyDescent="0.3">
      <c r="A664" s="27"/>
      <c r="B664" s="28"/>
      <c r="C664" s="24"/>
      <c r="D664" s="25"/>
      <c r="E664" s="25"/>
      <c r="F664" s="28"/>
      <c r="G664" s="28"/>
      <c r="H664" s="32"/>
    </row>
    <row r="665" spans="1:8" x14ac:dyDescent="0.3">
      <c r="A665" s="27"/>
      <c r="B665" s="28"/>
      <c r="C665" s="24"/>
      <c r="D665" s="25"/>
      <c r="E665" s="25"/>
      <c r="F665" s="28"/>
      <c r="G665" s="28"/>
      <c r="H665" s="32"/>
    </row>
    <row r="666" spans="1:8" x14ac:dyDescent="0.3">
      <c r="A666" s="27"/>
      <c r="B666" s="28"/>
      <c r="C666" s="24"/>
      <c r="D666" s="25"/>
      <c r="E666" s="25"/>
      <c r="F666" s="28"/>
      <c r="G666" s="28"/>
      <c r="H666" s="32"/>
    </row>
    <row r="667" spans="1:8" x14ac:dyDescent="0.3">
      <c r="A667" s="27"/>
      <c r="B667" s="28"/>
      <c r="C667" s="24"/>
      <c r="D667" s="25"/>
      <c r="E667" s="25"/>
      <c r="F667" s="28"/>
      <c r="G667" s="28"/>
      <c r="H667" s="32"/>
    </row>
    <row r="668" spans="1:8" x14ac:dyDescent="0.3">
      <c r="A668" s="27"/>
      <c r="B668" s="28"/>
      <c r="C668" s="24"/>
      <c r="D668" s="25"/>
      <c r="E668" s="25"/>
      <c r="F668" s="28"/>
      <c r="G668" s="28"/>
      <c r="H668" s="32"/>
    </row>
    <row r="669" spans="1:8" x14ac:dyDescent="0.3">
      <c r="A669" s="27"/>
      <c r="B669" s="28"/>
      <c r="C669" s="24"/>
      <c r="D669" s="25"/>
      <c r="E669" s="25"/>
      <c r="F669" s="28"/>
      <c r="G669" s="28"/>
      <c r="H669" s="32"/>
    </row>
    <row r="670" spans="1:8" ht="15.6" x14ac:dyDescent="0.3">
      <c r="A670" s="448" t="s">
        <v>45</v>
      </c>
      <c r="B670" s="449"/>
      <c r="C670" s="449"/>
      <c r="D670" s="25"/>
      <c r="E670" s="25"/>
      <c r="F670" s="447" t="s">
        <v>46</v>
      </c>
      <c r="G670" s="447"/>
      <c r="H670" s="66">
        <f>(C647*E647)+(C648*E648)+(C649*E649)</f>
        <v>12888</v>
      </c>
    </row>
    <row r="671" spans="1:8" ht="15.6" x14ac:dyDescent="0.3">
      <c r="A671" s="497" t="s">
        <v>183</v>
      </c>
      <c r="B671" s="498"/>
      <c r="C671" s="498"/>
      <c r="D671" s="498"/>
      <c r="E671" s="498"/>
      <c r="F671" s="447" t="s">
        <v>47</v>
      </c>
      <c r="G671" s="447"/>
      <c r="H671" s="66">
        <f>H670*9%</f>
        <v>1159.9199999999998</v>
      </c>
    </row>
    <row r="672" spans="1:8" ht="15.6" x14ac:dyDescent="0.3">
      <c r="A672" s="27"/>
      <c r="B672" s="28"/>
      <c r="C672" s="24"/>
      <c r="D672" s="25"/>
      <c r="E672" s="25"/>
      <c r="F672" s="447" t="s">
        <v>48</v>
      </c>
      <c r="G672" s="447"/>
      <c r="H672" s="66">
        <f>H670*9%</f>
        <v>1159.9199999999998</v>
      </c>
    </row>
    <row r="673" spans="1:8" ht="15.6" x14ac:dyDescent="0.3">
      <c r="A673" s="448" t="s">
        <v>49</v>
      </c>
      <c r="B673" s="449"/>
      <c r="C673" s="449"/>
      <c r="D673" s="449"/>
      <c r="E673" s="25"/>
      <c r="F673" s="447" t="s">
        <v>50</v>
      </c>
      <c r="G673" s="447"/>
      <c r="H673" s="66">
        <v>15208</v>
      </c>
    </row>
    <row r="674" spans="1:8" ht="27" x14ac:dyDescent="0.3">
      <c r="A674" s="68" t="s">
        <v>22</v>
      </c>
      <c r="B674" s="69" t="s">
        <v>51</v>
      </c>
      <c r="C674" s="70" t="s">
        <v>24</v>
      </c>
      <c r="D674" s="31" t="s">
        <v>25</v>
      </c>
      <c r="E674" s="450" t="s">
        <v>52</v>
      </c>
      <c r="F674" s="450"/>
      <c r="G674" s="28"/>
      <c r="H674" s="32"/>
    </row>
    <row r="675" spans="1:8" x14ac:dyDescent="0.3">
      <c r="A675" s="72">
        <v>0.18</v>
      </c>
      <c r="B675" s="73">
        <f>H670</f>
        <v>12888</v>
      </c>
      <c r="C675" s="74">
        <f>H671</f>
        <v>1159.9199999999998</v>
      </c>
      <c r="D675" s="74">
        <f>H672</f>
        <v>1159.9199999999998</v>
      </c>
      <c r="E675" s="507">
        <f>C675+D675</f>
        <v>2319.8399999999997</v>
      </c>
      <c r="F675" s="507"/>
      <c r="G675" s="74"/>
      <c r="H675" s="75"/>
    </row>
    <row r="676" spans="1:8" x14ac:dyDescent="0.3">
      <c r="A676" s="452" t="s">
        <v>184</v>
      </c>
      <c r="B676" s="453"/>
      <c r="C676" s="453"/>
      <c r="D676" s="453"/>
      <c r="E676" s="453"/>
      <c r="F676" s="453"/>
      <c r="G676" s="453"/>
      <c r="H676" s="454"/>
    </row>
    <row r="677" spans="1:8" ht="15.6" x14ac:dyDescent="0.3">
      <c r="A677" s="455" t="s">
        <v>53</v>
      </c>
      <c r="B677" s="456"/>
      <c r="C677" s="456"/>
      <c r="D677" s="457"/>
      <c r="E677" s="458" t="s">
        <v>54</v>
      </c>
      <c r="F677" s="459"/>
      <c r="G677" s="459"/>
      <c r="H677" s="460"/>
    </row>
    <row r="678" spans="1:8" x14ac:dyDescent="0.3">
      <c r="A678" s="461" t="s">
        <v>55</v>
      </c>
      <c r="B678" s="462"/>
      <c r="C678" s="462"/>
      <c r="D678" s="463"/>
      <c r="E678" s="39"/>
      <c r="F678" s="28"/>
      <c r="G678" s="28"/>
      <c r="H678" s="32"/>
    </row>
    <row r="679" spans="1:8" x14ac:dyDescent="0.3">
      <c r="A679" s="461" t="s">
        <v>56</v>
      </c>
      <c r="B679" s="462"/>
      <c r="C679" s="462"/>
      <c r="D679" s="463"/>
      <c r="E679" s="39"/>
      <c r="F679" s="28"/>
      <c r="G679" s="28"/>
      <c r="H679" s="32"/>
    </row>
    <row r="680" spans="1:8" x14ac:dyDescent="0.3">
      <c r="A680" s="461" t="s">
        <v>57</v>
      </c>
      <c r="B680" s="462"/>
      <c r="C680" s="462"/>
      <c r="D680" s="463"/>
      <c r="E680" s="167"/>
      <c r="H680" s="168"/>
    </row>
    <row r="681" spans="1:8" ht="15.6" x14ac:dyDescent="0.3">
      <c r="A681" s="464" t="s">
        <v>58</v>
      </c>
      <c r="B681" s="465"/>
      <c r="C681" s="465"/>
      <c r="D681" s="510"/>
      <c r="E681" s="466" t="s">
        <v>59</v>
      </c>
      <c r="F681" s="467"/>
      <c r="G681" s="467"/>
      <c r="H681" s="468"/>
    </row>
    <row r="685" spans="1:8" ht="44.4" x14ac:dyDescent="0.7">
      <c r="A685" s="469" t="s">
        <v>0</v>
      </c>
      <c r="B685" s="470"/>
      <c r="C685" s="470"/>
      <c r="D685" s="470"/>
      <c r="E685" s="471" t="s">
        <v>92</v>
      </c>
      <c r="F685" s="472"/>
      <c r="G685" s="472"/>
      <c r="H685" s="473"/>
    </row>
    <row r="686" spans="1:8" ht="20.399999999999999" x14ac:dyDescent="0.35">
      <c r="A686" s="1"/>
      <c r="B686" s="476" t="s">
        <v>2</v>
      </c>
      <c r="C686" s="476"/>
      <c r="D686" s="476"/>
      <c r="E686" s="474"/>
      <c r="F686" s="474"/>
      <c r="G686" s="474"/>
      <c r="H686" s="475"/>
    </row>
    <row r="687" spans="1:8" x14ac:dyDescent="0.3">
      <c r="A687" s="477" t="s">
        <v>3</v>
      </c>
      <c r="B687" s="478"/>
      <c r="C687" s="136"/>
      <c r="D687" s="499" t="s">
        <v>4</v>
      </c>
      <c r="E687" s="499"/>
      <c r="F687" s="137"/>
      <c r="G687" s="575" t="s">
        <v>134</v>
      </c>
      <c r="H687" s="576"/>
    </row>
    <row r="688" spans="1:8" ht="15.6" x14ac:dyDescent="0.3">
      <c r="A688" s="138" t="s">
        <v>6</v>
      </c>
      <c r="B688" s="5"/>
      <c r="C688" s="481" t="s">
        <v>7</v>
      </c>
      <c r="D688" s="481"/>
      <c r="E688" s="482">
        <v>16</v>
      </c>
      <c r="F688" s="482"/>
      <c r="G688" s="7" t="s">
        <v>8</v>
      </c>
      <c r="H688" s="8" t="s">
        <v>181</v>
      </c>
    </row>
    <row r="689" spans="1:8" ht="15.6" x14ac:dyDescent="0.3">
      <c r="A689" s="556" t="s">
        <v>177</v>
      </c>
      <c r="B689" s="557"/>
      <c r="C689" s="481" t="s">
        <v>10</v>
      </c>
      <c r="D689" s="481"/>
      <c r="E689" s="482"/>
      <c r="F689" s="482"/>
      <c r="G689" s="7" t="s">
        <v>8</v>
      </c>
      <c r="H689" s="6"/>
    </row>
    <row r="690" spans="1:8" ht="15.6" x14ac:dyDescent="0.3">
      <c r="A690" s="577" t="s">
        <v>178</v>
      </c>
      <c r="B690" s="578"/>
      <c r="C690" s="481" t="s">
        <v>12</v>
      </c>
      <c r="D690" s="481"/>
      <c r="E690" s="482">
        <v>5</v>
      </c>
      <c r="F690" s="482"/>
      <c r="G690" s="7" t="s">
        <v>8</v>
      </c>
      <c r="H690" s="8">
        <v>45751</v>
      </c>
    </row>
    <row r="691" spans="1:8" ht="15.6" x14ac:dyDescent="0.3">
      <c r="A691" s="556" t="s">
        <v>179</v>
      </c>
      <c r="B691" s="557"/>
      <c r="C691" s="481" t="s">
        <v>15</v>
      </c>
      <c r="D691" s="481"/>
      <c r="E691" s="566" t="s">
        <v>180</v>
      </c>
      <c r="F691" s="567"/>
      <c r="G691" s="567"/>
      <c r="H691" s="568"/>
    </row>
    <row r="692" spans="1:8" ht="15.6" x14ac:dyDescent="0.3">
      <c r="A692" s="558" t="s">
        <v>190</v>
      </c>
      <c r="B692" s="559"/>
      <c r="C692" s="569"/>
      <c r="D692" s="570"/>
      <c r="E692" s="570"/>
      <c r="F692" s="570"/>
      <c r="G692" s="570"/>
      <c r="H692" s="571"/>
    </row>
    <row r="693" spans="1:8" ht="15" x14ac:dyDescent="0.3">
      <c r="A693" s="492" t="s">
        <v>17</v>
      </c>
      <c r="B693" s="494" t="s">
        <v>18</v>
      </c>
      <c r="C693" s="494" t="s">
        <v>19</v>
      </c>
      <c r="D693" s="494" t="s">
        <v>20</v>
      </c>
      <c r="E693" s="494" t="s">
        <v>21</v>
      </c>
      <c r="F693" s="494" t="s">
        <v>22</v>
      </c>
      <c r="G693" s="494"/>
      <c r="H693" s="492" t="s">
        <v>23</v>
      </c>
    </row>
    <row r="694" spans="1:8" ht="27.6" x14ac:dyDescent="0.3">
      <c r="A694" s="492"/>
      <c r="B694" s="494"/>
      <c r="C694" s="494"/>
      <c r="D694" s="494"/>
      <c r="E694" s="494"/>
      <c r="F694" s="53" t="s">
        <v>24</v>
      </c>
      <c r="G694" s="53" t="s">
        <v>25</v>
      </c>
      <c r="H694" s="492"/>
    </row>
    <row r="695" spans="1:8" x14ac:dyDescent="0.3">
      <c r="A695" s="57">
        <v>1</v>
      </c>
      <c r="B695" s="113" t="s">
        <v>186</v>
      </c>
      <c r="C695" s="57">
        <v>1</v>
      </c>
      <c r="D695" s="170">
        <v>998719</v>
      </c>
      <c r="E695" s="57">
        <v>12000</v>
      </c>
      <c r="F695" s="58">
        <f>C695*E695*9%</f>
        <v>1080</v>
      </c>
      <c r="G695" s="58">
        <f>C695*E695*9%</f>
        <v>1080</v>
      </c>
      <c r="H695" s="59">
        <f>C695*E695+F695+G695</f>
        <v>14160</v>
      </c>
    </row>
    <row r="696" spans="1:8" x14ac:dyDescent="0.3">
      <c r="A696" s="57"/>
      <c r="B696" s="60"/>
      <c r="C696" s="57"/>
      <c r="D696" s="56"/>
      <c r="E696" s="57"/>
      <c r="F696" s="58"/>
      <c r="G696" s="58"/>
      <c r="H696" s="59"/>
    </row>
    <row r="697" spans="1:8" x14ac:dyDescent="0.3">
      <c r="A697" s="55"/>
      <c r="B697" s="63"/>
      <c r="C697" s="55"/>
      <c r="D697" s="56"/>
      <c r="E697" s="55"/>
      <c r="F697" s="58"/>
      <c r="G697" s="58"/>
      <c r="H697" s="59"/>
    </row>
    <row r="698" spans="1:8" x14ac:dyDescent="0.3">
      <c r="A698" s="90"/>
      <c r="B698" s="132"/>
      <c r="C698" s="24"/>
      <c r="D698" s="164"/>
      <c r="E698" s="24"/>
      <c r="F698" s="165"/>
      <c r="G698" s="165"/>
      <c r="H698" s="166"/>
    </row>
    <row r="699" spans="1:8" x14ac:dyDescent="0.3">
      <c r="A699" s="90"/>
      <c r="B699" s="132"/>
      <c r="C699" s="24"/>
      <c r="D699" s="164"/>
      <c r="E699" s="24"/>
      <c r="F699" s="165"/>
      <c r="G699" s="165"/>
      <c r="H699" s="166"/>
    </row>
    <row r="700" spans="1:8" x14ac:dyDescent="0.3">
      <c r="A700" s="90"/>
      <c r="B700" s="132"/>
      <c r="C700" s="24"/>
      <c r="D700" s="164"/>
      <c r="E700" s="24"/>
      <c r="F700" s="165"/>
      <c r="G700" s="165"/>
      <c r="H700" s="166"/>
    </row>
    <row r="701" spans="1:8" x14ac:dyDescent="0.3">
      <c r="A701" s="27"/>
      <c r="B701" s="132"/>
      <c r="C701" s="24"/>
      <c r="D701" s="25"/>
      <c r="E701" s="25"/>
      <c r="F701" s="165"/>
      <c r="G701" s="165"/>
      <c r="H701" s="166"/>
    </row>
    <row r="702" spans="1:8" x14ac:dyDescent="0.3">
      <c r="A702" s="27"/>
      <c r="B702" s="28"/>
      <c r="C702" s="24"/>
      <c r="D702" s="25"/>
      <c r="E702" s="25"/>
      <c r="F702" s="165"/>
      <c r="G702" s="165"/>
      <c r="H702" s="166"/>
    </row>
    <row r="703" spans="1:8" x14ac:dyDescent="0.3">
      <c r="A703" s="27"/>
      <c r="B703" s="28"/>
      <c r="C703" s="24"/>
      <c r="D703" s="25"/>
      <c r="E703" s="25"/>
      <c r="F703" s="165"/>
      <c r="G703" s="165"/>
      <c r="H703" s="166"/>
    </row>
    <row r="704" spans="1:8" x14ac:dyDescent="0.3">
      <c r="A704" s="27"/>
      <c r="B704" s="28"/>
      <c r="C704" s="24"/>
      <c r="D704" s="25"/>
      <c r="E704" s="25"/>
      <c r="F704" s="165"/>
      <c r="G704" s="165"/>
      <c r="H704" s="166"/>
    </row>
    <row r="705" spans="1:8" x14ac:dyDescent="0.3">
      <c r="A705" s="27"/>
      <c r="B705" s="28"/>
      <c r="C705" s="24"/>
      <c r="D705" s="25"/>
      <c r="E705" s="25"/>
      <c r="F705" s="165"/>
      <c r="G705" s="165"/>
      <c r="H705" s="166"/>
    </row>
    <row r="706" spans="1:8" x14ac:dyDescent="0.3">
      <c r="A706" s="27"/>
      <c r="B706" s="28"/>
      <c r="C706" s="24"/>
      <c r="D706" s="25"/>
      <c r="E706" s="25"/>
      <c r="F706" s="165"/>
      <c r="G706" s="165"/>
      <c r="H706" s="166"/>
    </row>
    <row r="707" spans="1:8" x14ac:dyDescent="0.3">
      <c r="A707" s="27"/>
      <c r="B707" s="28"/>
      <c r="C707" s="24"/>
      <c r="D707" s="25"/>
      <c r="E707" s="25"/>
      <c r="F707" s="28"/>
      <c r="G707" s="28"/>
      <c r="H707" s="32"/>
    </row>
    <row r="708" spans="1:8" x14ac:dyDescent="0.3">
      <c r="A708" s="27"/>
      <c r="B708" s="28"/>
      <c r="C708" s="24"/>
      <c r="D708" s="25"/>
      <c r="E708" s="25"/>
      <c r="F708" s="28"/>
      <c r="G708" s="28"/>
      <c r="H708" s="32"/>
    </row>
    <row r="709" spans="1:8" x14ac:dyDescent="0.3">
      <c r="A709" s="27"/>
      <c r="B709" s="28"/>
      <c r="C709" s="24"/>
      <c r="D709" s="25"/>
      <c r="E709" s="25"/>
      <c r="F709" s="28"/>
      <c r="G709" s="28"/>
      <c r="H709" s="32"/>
    </row>
    <row r="710" spans="1:8" x14ac:dyDescent="0.3">
      <c r="A710" s="27"/>
      <c r="B710" s="28"/>
      <c r="C710" s="24"/>
      <c r="D710" s="25"/>
      <c r="E710" s="25"/>
      <c r="F710" s="28"/>
      <c r="G710" s="28"/>
      <c r="H710" s="32"/>
    </row>
    <row r="711" spans="1:8" x14ac:dyDescent="0.3">
      <c r="A711" s="27"/>
      <c r="B711" s="28"/>
      <c r="C711" s="24"/>
      <c r="D711" s="25"/>
      <c r="E711" s="25"/>
      <c r="F711" s="28"/>
      <c r="G711" s="28"/>
      <c r="H711" s="32"/>
    </row>
    <row r="712" spans="1:8" x14ac:dyDescent="0.3">
      <c r="A712" s="27"/>
      <c r="B712" s="28"/>
      <c r="C712" s="24"/>
      <c r="D712" s="25"/>
      <c r="E712" s="25"/>
      <c r="F712" s="28"/>
      <c r="G712" s="28"/>
      <c r="H712" s="32"/>
    </row>
    <row r="713" spans="1:8" x14ac:dyDescent="0.3">
      <c r="A713" s="27"/>
      <c r="B713" s="28"/>
      <c r="C713" s="24"/>
      <c r="D713" s="25"/>
      <c r="E713" s="25"/>
      <c r="F713" s="28"/>
      <c r="G713" s="28"/>
      <c r="H713" s="32"/>
    </row>
    <row r="714" spans="1:8" x14ac:dyDescent="0.3">
      <c r="A714" s="27"/>
      <c r="B714" s="28"/>
      <c r="C714" s="24"/>
      <c r="D714" s="25"/>
      <c r="E714" s="25"/>
      <c r="F714" s="28"/>
      <c r="G714" s="28"/>
      <c r="H714" s="32"/>
    </row>
    <row r="715" spans="1:8" x14ac:dyDescent="0.3">
      <c r="A715" s="27"/>
      <c r="B715" s="28"/>
      <c r="C715" s="24"/>
      <c r="D715" s="25"/>
      <c r="E715" s="25"/>
      <c r="F715" s="28"/>
      <c r="G715" s="28"/>
      <c r="H715" s="32"/>
    </row>
    <row r="716" spans="1:8" x14ac:dyDescent="0.3">
      <c r="A716" s="27"/>
      <c r="B716" s="28"/>
      <c r="C716" s="24"/>
      <c r="D716" s="25"/>
      <c r="E716" s="25"/>
      <c r="F716" s="28"/>
      <c r="G716" s="28"/>
      <c r="H716" s="32"/>
    </row>
    <row r="717" spans="1:8" x14ac:dyDescent="0.3">
      <c r="A717" s="27"/>
      <c r="B717" s="28"/>
      <c r="C717" s="24"/>
      <c r="D717" s="25"/>
      <c r="E717" s="25"/>
      <c r="F717" s="28"/>
      <c r="G717" s="28"/>
      <c r="H717" s="32"/>
    </row>
    <row r="718" spans="1:8" ht="15.6" x14ac:dyDescent="0.3">
      <c r="A718" s="448" t="s">
        <v>45</v>
      </c>
      <c r="B718" s="449"/>
      <c r="C718" s="449"/>
      <c r="D718" s="25"/>
      <c r="E718" s="25"/>
      <c r="F718" s="447" t="s">
        <v>46</v>
      </c>
      <c r="G718" s="447"/>
      <c r="H718" s="66">
        <f>(C695*E695)+(C696*E696)+(C697*E697)</f>
        <v>12000</v>
      </c>
    </row>
    <row r="719" spans="1:8" ht="15.6" x14ac:dyDescent="0.3">
      <c r="A719" s="497" t="s">
        <v>187</v>
      </c>
      <c r="B719" s="498"/>
      <c r="C719" s="498"/>
      <c r="D719" s="498"/>
      <c r="E719" s="498"/>
      <c r="F719" s="447" t="s">
        <v>47</v>
      </c>
      <c r="G719" s="447"/>
      <c r="H719" s="66">
        <f>H718*9%</f>
        <v>1080</v>
      </c>
    </row>
    <row r="720" spans="1:8" ht="15.6" x14ac:dyDescent="0.3">
      <c r="A720" s="27"/>
      <c r="B720" s="28"/>
      <c r="C720" s="24"/>
      <c r="D720" s="25"/>
      <c r="E720" s="25"/>
      <c r="F720" s="447" t="s">
        <v>48</v>
      </c>
      <c r="G720" s="447"/>
      <c r="H720" s="66">
        <f>H718*9%</f>
        <v>1080</v>
      </c>
    </row>
    <row r="721" spans="1:8" ht="15.6" x14ac:dyDescent="0.3">
      <c r="A721" s="448" t="s">
        <v>49</v>
      </c>
      <c r="B721" s="449"/>
      <c r="C721" s="449"/>
      <c r="D721" s="449"/>
      <c r="E721" s="25"/>
      <c r="F721" s="447" t="s">
        <v>50</v>
      </c>
      <c r="G721" s="447"/>
      <c r="H721" s="66">
        <v>14160</v>
      </c>
    </row>
    <row r="722" spans="1:8" ht="27" x14ac:dyDescent="0.3">
      <c r="A722" s="68" t="s">
        <v>22</v>
      </c>
      <c r="B722" s="69" t="s">
        <v>51</v>
      </c>
      <c r="C722" s="70" t="s">
        <v>24</v>
      </c>
      <c r="D722" s="31" t="s">
        <v>25</v>
      </c>
      <c r="E722" s="450" t="s">
        <v>52</v>
      </c>
      <c r="F722" s="450"/>
      <c r="G722" s="28"/>
      <c r="H722" s="32"/>
    </row>
    <row r="723" spans="1:8" x14ac:dyDescent="0.3">
      <c r="A723" s="72">
        <v>0.18</v>
      </c>
      <c r="B723" s="73">
        <f>H718</f>
        <v>12000</v>
      </c>
      <c r="C723" s="74">
        <f>H719</f>
        <v>1080</v>
      </c>
      <c r="D723" s="74">
        <f>H720</f>
        <v>1080</v>
      </c>
      <c r="E723" s="507">
        <f>C723+D723</f>
        <v>2160</v>
      </c>
      <c r="F723" s="507"/>
      <c r="G723" s="74"/>
      <c r="H723" s="75"/>
    </row>
    <row r="724" spans="1:8" x14ac:dyDescent="0.3">
      <c r="A724" s="452" t="s">
        <v>188</v>
      </c>
      <c r="B724" s="453"/>
      <c r="C724" s="453"/>
      <c r="D724" s="453"/>
      <c r="E724" s="453"/>
      <c r="F724" s="453"/>
      <c r="G724" s="453"/>
      <c r="H724" s="454"/>
    </row>
    <row r="725" spans="1:8" ht="15.6" x14ac:dyDescent="0.3">
      <c r="A725" s="455" t="s">
        <v>53</v>
      </c>
      <c r="B725" s="456"/>
      <c r="C725" s="456"/>
      <c r="D725" s="457"/>
      <c r="E725" s="458" t="s">
        <v>54</v>
      </c>
      <c r="F725" s="459"/>
      <c r="G725" s="459"/>
      <c r="H725" s="460"/>
    </row>
    <row r="726" spans="1:8" x14ac:dyDescent="0.3">
      <c r="A726" s="461" t="s">
        <v>55</v>
      </c>
      <c r="B726" s="462"/>
      <c r="C726" s="462"/>
      <c r="D726" s="463"/>
      <c r="E726" s="39"/>
      <c r="F726" s="28"/>
      <c r="G726" s="28"/>
      <c r="H726" s="32"/>
    </row>
    <row r="727" spans="1:8" x14ac:dyDescent="0.3">
      <c r="A727" s="461" t="s">
        <v>56</v>
      </c>
      <c r="B727" s="462"/>
      <c r="C727" s="462"/>
      <c r="D727" s="463"/>
      <c r="E727" s="39"/>
      <c r="F727" s="28"/>
      <c r="G727" s="28"/>
      <c r="H727" s="32"/>
    </row>
    <row r="728" spans="1:8" x14ac:dyDescent="0.3">
      <c r="A728" s="461" t="s">
        <v>57</v>
      </c>
      <c r="B728" s="462"/>
      <c r="C728" s="462"/>
      <c r="D728" s="463"/>
      <c r="E728" s="167"/>
      <c r="H728" s="168"/>
    </row>
    <row r="729" spans="1:8" ht="15.6" x14ac:dyDescent="0.3">
      <c r="A729" s="464" t="s">
        <v>58</v>
      </c>
      <c r="B729" s="465"/>
      <c r="C729" s="465"/>
      <c r="D729" s="510"/>
      <c r="E729" s="466" t="s">
        <v>59</v>
      </c>
      <c r="F729" s="467"/>
      <c r="G729" s="467"/>
      <c r="H729" s="468"/>
    </row>
    <row r="731" spans="1:8" ht="44.4" x14ac:dyDescent="0.7">
      <c r="A731" s="469" t="s">
        <v>0</v>
      </c>
      <c r="B731" s="470"/>
      <c r="C731" s="470"/>
      <c r="D731" s="470"/>
      <c r="E731" s="471" t="s">
        <v>92</v>
      </c>
      <c r="F731" s="472"/>
      <c r="G731" s="472"/>
      <c r="H731" s="473"/>
    </row>
    <row r="732" spans="1:8" ht="20.399999999999999" x14ac:dyDescent="0.35">
      <c r="A732" s="1"/>
      <c r="B732" s="476" t="s">
        <v>2</v>
      </c>
      <c r="C732" s="476"/>
      <c r="D732" s="476"/>
      <c r="E732" s="474"/>
      <c r="F732" s="474"/>
      <c r="G732" s="474"/>
      <c r="H732" s="475"/>
    </row>
    <row r="733" spans="1:8" x14ac:dyDescent="0.3">
      <c r="A733" s="477" t="s">
        <v>3</v>
      </c>
      <c r="B733" s="478"/>
      <c r="C733" s="136"/>
      <c r="D733" s="499" t="s">
        <v>4</v>
      </c>
      <c r="E733" s="499"/>
      <c r="F733" s="137"/>
      <c r="G733" s="575" t="s">
        <v>134</v>
      </c>
      <c r="H733" s="576"/>
    </row>
    <row r="734" spans="1:8" ht="15.6" x14ac:dyDescent="0.3">
      <c r="A734" s="138" t="s">
        <v>6</v>
      </c>
      <c r="B734" s="5"/>
      <c r="C734" s="481" t="s">
        <v>7</v>
      </c>
      <c r="D734" s="481"/>
      <c r="E734" s="482">
        <v>17</v>
      </c>
      <c r="F734" s="482"/>
      <c r="G734" s="7" t="s">
        <v>8</v>
      </c>
      <c r="H734" s="8" t="s">
        <v>181</v>
      </c>
    </row>
    <row r="735" spans="1:8" ht="15.6" x14ac:dyDescent="0.3">
      <c r="A735" s="556" t="s">
        <v>177</v>
      </c>
      <c r="B735" s="557"/>
      <c r="C735" s="481" t="s">
        <v>10</v>
      </c>
      <c r="D735" s="481"/>
      <c r="E735" s="482"/>
      <c r="F735" s="482"/>
      <c r="G735" s="7" t="s">
        <v>8</v>
      </c>
      <c r="H735" s="6"/>
    </row>
    <row r="736" spans="1:8" ht="15.6" x14ac:dyDescent="0.3">
      <c r="A736" s="577" t="s">
        <v>178</v>
      </c>
      <c r="B736" s="578"/>
      <c r="C736" s="481" t="s">
        <v>12</v>
      </c>
      <c r="D736" s="481"/>
      <c r="E736" s="482">
        <v>820</v>
      </c>
      <c r="F736" s="482"/>
      <c r="G736" s="7" t="s">
        <v>8</v>
      </c>
      <c r="H736" s="8" t="s">
        <v>191</v>
      </c>
    </row>
    <row r="737" spans="1:11" ht="15.6" x14ac:dyDescent="0.3">
      <c r="A737" s="556" t="s">
        <v>179</v>
      </c>
      <c r="B737" s="557"/>
      <c r="C737" s="481" t="s">
        <v>15</v>
      </c>
      <c r="D737" s="481"/>
      <c r="E737" s="566" t="s">
        <v>180</v>
      </c>
      <c r="F737" s="567"/>
      <c r="G737" s="567"/>
      <c r="H737" s="568"/>
    </row>
    <row r="738" spans="1:11" ht="15.6" x14ac:dyDescent="0.3">
      <c r="A738" s="558" t="s">
        <v>189</v>
      </c>
      <c r="B738" s="559"/>
      <c r="C738" s="569"/>
      <c r="D738" s="570"/>
      <c r="E738" s="570"/>
      <c r="F738" s="570"/>
      <c r="G738" s="570"/>
      <c r="H738" s="571"/>
    </row>
    <row r="739" spans="1:11" ht="15" x14ac:dyDescent="0.3">
      <c r="A739" s="492" t="s">
        <v>17</v>
      </c>
      <c r="B739" s="494" t="s">
        <v>18</v>
      </c>
      <c r="C739" s="494" t="s">
        <v>19</v>
      </c>
      <c r="D739" s="494" t="s">
        <v>20</v>
      </c>
      <c r="E739" s="494" t="s">
        <v>21</v>
      </c>
      <c r="F739" s="494" t="s">
        <v>22</v>
      </c>
      <c r="G739" s="494"/>
      <c r="H739" s="492" t="s">
        <v>23</v>
      </c>
    </row>
    <row r="740" spans="1:11" ht="27.6" x14ac:dyDescent="0.3">
      <c r="A740" s="492"/>
      <c r="B740" s="494"/>
      <c r="C740" s="494"/>
      <c r="D740" s="494"/>
      <c r="E740" s="494"/>
      <c r="F740" s="53" t="s">
        <v>24</v>
      </c>
      <c r="G740" s="53" t="s">
        <v>25</v>
      </c>
      <c r="H740" s="492"/>
    </row>
    <row r="741" spans="1:11" x14ac:dyDescent="0.3">
      <c r="A741" s="57">
        <v>1</v>
      </c>
      <c r="B741" s="113" t="s">
        <v>192</v>
      </c>
      <c r="C741" s="57">
        <v>2</v>
      </c>
      <c r="D741" s="171">
        <v>85043100</v>
      </c>
      <c r="E741" s="57">
        <v>11500</v>
      </c>
      <c r="F741" s="58">
        <f>C741*E741*9%</f>
        <v>2070</v>
      </c>
      <c r="G741" s="58">
        <f>C741*E741*9%</f>
        <v>2070</v>
      </c>
      <c r="H741" s="59">
        <f>C741*E741+F741+G741</f>
        <v>27140</v>
      </c>
      <c r="I741" s="362">
        <f>E741*C741</f>
        <v>23000</v>
      </c>
      <c r="K741">
        <v>35000</v>
      </c>
    </row>
    <row r="742" spans="1:11" x14ac:dyDescent="0.3">
      <c r="A742" s="57">
        <v>2</v>
      </c>
      <c r="B742" s="60" t="s">
        <v>193</v>
      </c>
      <c r="C742" s="57">
        <v>1</v>
      </c>
      <c r="D742" s="56">
        <v>998719</v>
      </c>
      <c r="E742" s="57">
        <v>11000</v>
      </c>
      <c r="F742" s="58">
        <f>C742*E742*9%</f>
        <v>990</v>
      </c>
      <c r="G742" s="58">
        <f>C742*E742*9%</f>
        <v>990</v>
      </c>
      <c r="H742" s="59">
        <f>C742*E742+F742+G742</f>
        <v>12980</v>
      </c>
      <c r="I742" s="362">
        <f>E742*C742</f>
        <v>11000</v>
      </c>
    </row>
    <row r="743" spans="1:11" x14ac:dyDescent="0.3">
      <c r="A743" s="55"/>
      <c r="B743" s="63"/>
      <c r="C743" s="55"/>
      <c r="D743" s="56"/>
      <c r="E743" s="55"/>
      <c r="F743" s="58"/>
      <c r="G743" s="58"/>
      <c r="H743" s="59"/>
    </row>
    <row r="744" spans="1:11" x14ac:dyDescent="0.3">
      <c r="A744" s="90"/>
      <c r="B744" s="132"/>
      <c r="C744" s="24"/>
      <c r="D744" s="164"/>
      <c r="E744" s="24"/>
      <c r="F744" s="165"/>
      <c r="G744" s="165"/>
      <c r="H744" s="166"/>
    </row>
    <row r="745" spans="1:11" x14ac:dyDescent="0.3">
      <c r="A745" s="90"/>
      <c r="B745" s="132"/>
      <c r="C745" s="24"/>
      <c r="D745" s="164"/>
      <c r="E745" s="24"/>
      <c r="F745" s="165"/>
      <c r="G745" s="165"/>
      <c r="H745" s="166"/>
    </row>
    <row r="746" spans="1:11" x14ac:dyDescent="0.3">
      <c r="A746" s="90"/>
      <c r="B746" s="132"/>
      <c r="C746" s="24"/>
      <c r="D746" s="164"/>
      <c r="E746" s="24"/>
      <c r="F746" s="165"/>
      <c r="G746" s="165"/>
      <c r="H746" s="166"/>
    </row>
    <row r="747" spans="1:11" x14ac:dyDescent="0.3">
      <c r="A747" s="27"/>
      <c r="B747" s="132"/>
      <c r="C747" s="24"/>
      <c r="D747" s="25"/>
      <c r="E747" s="25"/>
      <c r="F747" s="165"/>
      <c r="G747" s="165"/>
      <c r="H747" s="166"/>
    </row>
    <row r="748" spans="1:11" x14ac:dyDescent="0.3">
      <c r="A748" s="27"/>
      <c r="B748" s="28"/>
      <c r="C748" s="24"/>
      <c r="D748" s="25"/>
      <c r="E748" s="25"/>
      <c r="F748" s="165"/>
      <c r="G748" s="165"/>
      <c r="H748" s="166"/>
    </row>
    <row r="749" spans="1:11" x14ac:dyDescent="0.3">
      <c r="A749" s="27"/>
      <c r="B749" s="28"/>
      <c r="C749" s="24"/>
      <c r="D749" s="25"/>
      <c r="E749" s="25"/>
      <c r="F749" s="165"/>
      <c r="G749" s="165"/>
      <c r="H749" s="166"/>
    </row>
    <row r="750" spans="1:11" x14ac:dyDescent="0.3">
      <c r="A750" s="27"/>
      <c r="B750" s="28"/>
      <c r="C750" s="24"/>
      <c r="D750" s="25"/>
      <c r="E750" s="25"/>
      <c r="F750" s="165"/>
      <c r="G750" s="165"/>
      <c r="H750" s="166"/>
    </row>
    <row r="751" spans="1:11" x14ac:dyDescent="0.3">
      <c r="A751" s="27"/>
      <c r="B751" s="28"/>
      <c r="C751" s="24"/>
      <c r="D751" s="25"/>
      <c r="E751" s="25"/>
      <c r="F751" s="165"/>
      <c r="G751" s="165"/>
      <c r="H751" s="166"/>
    </row>
    <row r="752" spans="1:11" x14ac:dyDescent="0.3">
      <c r="A752" s="27"/>
      <c r="B752" s="28"/>
      <c r="C752" s="24"/>
      <c r="D752" s="25"/>
      <c r="E752" s="25"/>
      <c r="F752" s="165"/>
      <c r="G752" s="165"/>
      <c r="H752" s="166"/>
    </row>
    <row r="753" spans="1:8" x14ac:dyDescent="0.3">
      <c r="A753" s="27"/>
      <c r="B753" s="28"/>
      <c r="C753" s="24"/>
      <c r="D753" s="25"/>
      <c r="E753" s="25"/>
      <c r="F753" s="28"/>
      <c r="G753" s="28"/>
      <c r="H753" s="32"/>
    </row>
    <row r="754" spans="1:8" x14ac:dyDescent="0.3">
      <c r="A754" s="27"/>
      <c r="B754" s="28"/>
      <c r="C754" s="24"/>
      <c r="D754" s="25"/>
      <c r="E754" s="25"/>
      <c r="F754" s="28"/>
      <c r="G754" s="28"/>
      <c r="H754" s="32"/>
    </row>
    <row r="755" spans="1:8" x14ac:dyDescent="0.3">
      <c r="A755" s="27"/>
      <c r="B755" s="28"/>
      <c r="C755" s="24"/>
      <c r="D755" s="25"/>
      <c r="E755" s="25"/>
      <c r="F755" s="28"/>
      <c r="G755" s="28"/>
      <c r="H755" s="32"/>
    </row>
    <row r="756" spans="1:8" x14ac:dyDescent="0.3">
      <c r="A756" s="27"/>
      <c r="B756" s="28"/>
      <c r="C756" s="24"/>
      <c r="D756" s="25"/>
      <c r="E756" s="25"/>
      <c r="F756" s="28"/>
      <c r="G756" s="28"/>
      <c r="H756" s="32"/>
    </row>
    <row r="757" spans="1:8" x14ac:dyDescent="0.3">
      <c r="A757" s="27"/>
      <c r="B757" s="28"/>
      <c r="C757" s="24"/>
      <c r="D757" s="25"/>
      <c r="E757" s="25"/>
      <c r="F757" s="28"/>
      <c r="G757" s="28"/>
      <c r="H757" s="32"/>
    </row>
    <row r="758" spans="1:8" x14ac:dyDescent="0.3">
      <c r="A758" s="27"/>
      <c r="B758" s="28"/>
      <c r="C758" s="24"/>
      <c r="D758" s="25"/>
      <c r="E758" s="25"/>
      <c r="F758" s="28"/>
      <c r="G758" s="28"/>
      <c r="H758" s="32"/>
    </row>
    <row r="759" spans="1:8" x14ac:dyDescent="0.3">
      <c r="A759" s="27"/>
      <c r="B759" s="28"/>
      <c r="C759" s="24"/>
      <c r="D759" s="25"/>
      <c r="E759" s="25"/>
      <c r="F759" s="28"/>
      <c r="G759" s="28"/>
      <c r="H759" s="32"/>
    </row>
    <row r="760" spans="1:8" x14ac:dyDescent="0.3">
      <c r="A760" s="27"/>
      <c r="B760" s="28"/>
      <c r="C760" s="24"/>
      <c r="D760" s="25"/>
      <c r="E760" s="25"/>
      <c r="F760" s="28"/>
      <c r="G760" s="28"/>
      <c r="H760" s="32"/>
    </row>
    <row r="761" spans="1:8" x14ac:dyDescent="0.3">
      <c r="A761" s="27"/>
      <c r="B761" s="28"/>
      <c r="C761" s="24"/>
      <c r="D761" s="25"/>
      <c r="E761" s="25"/>
      <c r="F761" s="28"/>
      <c r="G761" s="28"/>
      <c r="H761" s="32"/>
    </row>
    <row r="762" spans="1:8" x14ac:dyDescent="0.3">
      <c r="A762" s="27"/>
      <c r="B762" s="28"/>
      <c r="C762" s="24"/>
      <c r="D762" s="25"/>
      <c r="E762" s="25"/>
      <c r="F762" s="28"/>
      <c r="G762" s="28"/>
      <c r="H762" s="32"/>
    </row>
    <row r="763" spans="1:8" x14ac:dyDescent="0.3">
      <c r="A763" s="27"/>
      <c r="B763" s="28"/>
      <c r="C763" s="24"/>
      <c r="D763" s="25"/>
      <c r="E763" s="25"/>
      <c r="F763" s="28"/>
      <c r="G763" s="28"/>
      <c r="H763" s="32"/>
    </row>
    <row r="764" spans="1:8" ht="15.6" x14ac:dyDescent="0.3">
      <c r="A764" s="448" t="s">
        <v>45</v>
      </c>
      <c r="B764" s="449"/>
      <c r="C764" s="449"/>
      <c r="D764" s="25"/>
      <c r="E764" s="25"/>
      <c r="F764" s="447" t="s">
        <v>46</v>
      </c>
      <c r="G764" s="447"/>
      <c r="H764" s="66">
        <f>(C741*E741)+(C742*E742)+(C743*E743)</f>
        <v>34000</v>
      </c>
    </row>
    <row r="765" spans="1:8" ht="15.6" x14ac:dyDescent="0.3">
      <c r="A765" s="497" t="s">
        <v>215</v>
      </c>
      <c r="B765" s="498"/>
      <c r="C765" s="498"/>
      <c r="D765" s="498"/>
      <c r="E765" s="498"/>
      <c r="F765" s="447" t="s">
        <v>47</v>
      </c>
      <c r="G765" s="447"/>
      <c r="H765" s="66">
        <f>H764*9%</f>
        <v>3060</v>
      </c>
    </row>
    <row r="766" spans="1:8" ht="15.6" x14ac:dyDescent="0.3">
      <c r="A766" s="27"/>
      <c r="B766" s="28"/>
      <c r="C766" s="24"/>
      <c r="D766" s="25"/>
      <c r="E766" s="25"/>
      <c r="F766" s="447" t="s">
        <v>48</v>
      </c>
      <c r="G766" s="447"/>
      <c r="H766" s="66">
        <f>H764*9%</f>
        <v>3060</v>
      </c>
    </row>
    <row r="767" spans="1:8" ht="15.6" x14ac:dyDescent="0.3">
      <c r="A767" s="448" t="s">
        <v>49</v>
      </c>
      <c r="B767" s="449"/>
      <c r="C767" s="449"/>
      <c r="D767" s="449"/>
      <c r="E767" s="25"/>
      <c r="F767" s="447" t="s">
        <v>50</v>
      </c>
      <c r="G767" s="447"/>
      <c r="H767" s="66">
        <f>SUM(H764:H766)</f>
        <v>40120</v>
      </c>
    </row>
    <row r="768" spans="1:8" ht="27" x14ac:dyDescent="0.3">
      <c r="A768" s="68" t="s">
        <v>22</v>
      </c>
      <c r="B768" s="69" t="s">
        <v>51</v>
      </c>
      <c r="C768" s="70" t="s">
        <v>24</v>
      </c>
      <c r="D768" s="31" t="s">
        <v>25</v>
      </c>
      <c r="E768" s="450" t="s">
        <v>52</v>
      </c>
      <c r="F768" s="450"/>
      <c r="G768" s="28"/>
      <c r="H768" s="32"/>
    </row>
    <row r="769" spans="1:8" x14ac:dyDescent="0.3">
      <c r="A769" s="72">
        <v>0.18</v>
      </c>
      <c r="B769" s="73">
        <f>H764</f>
        <v>34000</v>
      </c>
      <c r="C769" s="74">
        <f>H765</f>
        <v>3060</v>
      </c>
      <c r="D769" s="74">
        <f>H766</f>
        <v>3060</v>
      </c>
      <c r="E769" s="507">
        <f>C769+D769</f>
        <v>6120</v>
      </c>
      <c r="F769" s="507"/>
      <c r="G769" s="74"/>
      <c r="H769" s="75"/>
    </row>
    <row r="770" spans="1:8" x14ac:dyDescent="0.3">
      <c r="A770" s="452" t="s">
        <v>216</v>
      </c>
      <c r="B770" s="453"/>
      <c r="C770" s="453"/>
      <c r="D770" s="453"/>
      <c r="E770" s="453"/>
      <c r="F770" s="453"/>
      <c r="G770" s="453"/>
      <c r="H770" s="454"/>
    </row>
    <row r="771" spans="1:8" ht="15.6" x14ac:dyDescent="0.3">
      <c r="A771" s="455" t="s">
        <v>53</v>
      </c>
      <c r="B771" s="456"/>
      <c r="C771" s="456"/>
      <c r="D771" s="457"/>
      <c r="E771" s="458" t="s">
        <v>54</v>
      </c>
      <c r="F771" s="459"/>
      <c r="G771" s="459"/>
      <c r="H771" s="460"/>
    </row>
    <row r="772" spans="1:8" x14ac:dyDescent="0.3">
      <c r="A772" s="461" t="s">
        <v>55</v>
      </c>
      <c r="B772" s="462"/>
      <c r="C772" s="462"/>
      <c r="D772" s="463"/>
      <c r="E772" s="39"/>
      <c r="F772" s="28"/>
      <c r="G772" s="28"/>
      <c r="H772" s="32"/>
    </row>
    <row r="773" spans="1:8" x14ac:dyDescent="0.3">
      <c r="A773" s="461" t="s">
        <v>56</v>
      </c>
      <c r="B773" s="462"/>
      <c r="C773" s="462"/>
      <c r="D773" s="463"/>
      <c r="E773" s="39"/>
      <c r="F773" s="28"/>
      <c r="G773" s="28"/>
      <c r="H773" s="32"/>
    </row>
    <row r="774" spans="1:8" x14ac:dyDescent="0.3">
      <c r="A774" s="461" t="s">
        <v>57</v>
      </c>
      <c r="B774" s="462"/>
      <c r="C774" s="462"/>
      <c r="D774" s="463"/>
      <c r="E774" s="167"/>
      <c r="H774" s="168"/>
    </row>
    <row r="775" spans="1:8" ht="15.6" x14ac:dyDescent="0.3">
      <c r="A775" s="464" t="s">
        <v>58</v>
      </c>
      <c r="B775" s="465"/>
      <c r="C775" s="465"/>
      <c r="D775" s="510"/>
      <c r="E775" s="466" t="s">
        <v>59</v>
      </c>
      <c r="F775" s="467"/>
      <c r="G775" s="467"/>
      <c r="H775" s="468"/>
    </row>
    <row r="779" spans="1:8" ht="44.4" x14ac:dyDescent="0.7">
      <c r="A779" s="469" t="s">
        <v>0</v>
      </c>
      <c r="B779" s="470"/>
      <c r="C779" s="470"/>
      <c r="D779" s="470"/>
      <c r="E779" s="471" t="s">
        <v>92</v>
      </c>
      <c r="F779" s="472"/>
      <c r="G779" s="472"/>
      <c r="H779" s="473"/>
    </row>
    <row r="780" spans="1:8" ht="20.399999999999999" x14ac:dyDescent="0.35">
      <c r="A780" s="1"/>
      <c r="B780" s="476" t="s">
        <v>2</v>
      </c>
      <c r="C780" s="476"/>
      <c r="D780" s="476"/>
      <c r="E780" s="474"/>
      <c r="F780" s="474"/>
      <c r="G780" s="474"/>
      <c r="H780" s="475"/>
    </row>
    <row r="781" spans="1:8" x14ac:dyDescent="0.3">
      <c r="A781" s="477" t="s">
        <v>3</v>
      </c>
      <c r="B781" s="478"/>
      <c r="C781" s="136"/>
      <c r="D781" s="499" t="s">
        <v>4</v>
      </c>
      <c r="E781" s="499"/>
      <c r="F781" s="137"/>
      <c r="G781" s="575" t="s">
        <v>134</v>
      </c>
      <c r="H781" s="576"/>
    </row>
    <row r="782" spans="1:8" ht="15.6" x14ac:dyDescent="0.3">
      <c r="A782" s="138" t="s">
        <v>6</v>
      </c>
      <c r="B782" s="5"/>
      <c r="C782" s="481" t="s">
        <v>7</v>
      </c>
      <c r="D782" s="481"/>
      <c r="E782" s="482">
        <v>18</v>
      </c>
      <c r="F782" s="482"/>
      <c r="G782" s="7" t="s">
        <v>8</v>
      </c>
      <c r="H782" s="8" t="s">
        <v>194</v>
      </c>
    </row>
    <row r="783" spans="1:8" ht="15.6" x14ac:dyDescent="0.3">
      <c r="A783" s="514" t="s">
        <v>231</v>
      </c>
      <c r="B783" s="515"/>
      <c r="C783" s="481" t="s">
        <v>10</v>
      </c>
      <c r="D783" s="481"/>
      <c r="E783" s="482"/>
      <c r="F783" s="482"/>
      <c r="G783" s="7" t="s">
        <v>8</v>
      </c>
      <c r="H783" s="6"/>
    </row>
    <row r="784" spans="1:8" ht="30" customHeight="1" x14ac:dyDescent="0.3">
      <c r="A784" s="517" t="s">
        <v>232</v>
      </c>
      <c r="B784" s="518"/>
      <c r="C784" s="519" t="s">
        <v>12</v>
      </c>
      <c r="D784" s="519"/>
      <c r="E784" s="564" t="s">
        <v>195</v>
      </c>
      <c r="F784" s="565"/>
      <c r="G784" s="10" t="s">
        <v>8</v>
      </c>
      <c r="H784" s="109">
        <v>45485</v>
      </c>
    </row>
    <row r="785" spans="1:9" ht="15.6" x14ac:dyDescent="0.3">
      <c r="A785" s="517" t="s">
        <v>233</v>
      </c>
      <c r="B785" s="518"/>
      <c r="C785" s="481" t="s">
        <v>15</v>
      </c>
      <c r="D785" s="481"/>
      <c r="E785" s="566" t="s">
        <v>234</v>
      </c>
      <c r="F785" s="567"/>
      <c r="G785" s="567"/>
      <c r="H785" s="568"/>
    </row>
    <row r="786" spans="1:9" ht="15.6" x14ac:dyDescent="0.3">
      <c r="A786" s="12" t="s">
        <v>13</v>
      </c>
      <c r="B786" s="13" t="s">
        <v>196</v>
      </c>
      <c r="C786" s="569"/>
      <c r="D786" s="570"/>
      <c r="E786" s="570"/>
      <c r="F786" s="570"/>
      <c r="G786" s="570"/>
      <c r="H786" s="571"/>
    </row>
    <row r="787" spans="1:9" ht="15" x14ac:dyDescent="0.3">
      <c r="A787" s="492" t="s">
        <v>17</v>
      </c>
      <c r="B787" s="494" t="s">
        <v>18</v>
      </c>
      <c r="C787" s="494" t="s">
        <v>19</v>
      </c>
      <c r="D787" s="494" t="s">
        <v>20</v>
      </c>
      <c r="E787" s="494" t="s">
        <v>21</v>
      </c>
      <c r="F787" s="494" t="s">
        <v>22</v>
      </c>
      <c r="G787" s="494"/>
      <c r="H787" s="492" t="s">
        <v>23</v>
      </c>
    </row>
    <row r="788" spans="1:9" ht="27.6" x14ac:dyDescent="0.3">
      <c r="A788" s="492"/>
      <c r="B788" s="494"/>
      <c r="C788" s="494"/>
      <c r="D788" s="494"/>
      <c r="E788" s="494"/>
      <c r="F788" s="53" t="s">
        <v>24</v>
      </c>
      <c r="G788" s="53" t="s">
        <v>25</v>
      </c>
      <c r="H788" s="492"/>
    </row>
    <row r="789" spans="1:9" x14ac:dyDescent="0.3">
      <c r="A789" s="57">
        <v>1</v>
      </c>
      <c r="B789" s="113" t="s">
        <v>197</v>
      </c>
      <c r="C789" s="57">
        <v>1</v>
      </c>
      <c r="D789" s="171">
        <v>86469090</v>
      </c>
      <c r="E789" s="57">
        <v>62225</v>
      </c>
      <c r="F789" s="58">
        <f>C789*E789*9%</f>
        <v>5600.25</v>
      </c>
      <c r="G789" s="58">
        <f>C789*E789*9%</f>
        <v>5600.25</v>
      </c>
      <c r="H789" s="59">
        <f>C789*E789+F789+G789</f>
        <v>73425.5</v>
      </c>
      <c r="I789" s="362">
        <f>E789*C789</f>
        <v>62225</v>
      </c>
    </row>
    <row r="790" spans="1:9" x14ac:dyDescent="0.3">
      <c r="A790" s="57">
        <v>2</v>
      </c>
      <c r="B790" s="60" t="s">
        <v>198</v>
      </c>
      <c r="C790" s="57">
        <v>3</v>
      </c>
      <c r="D790" s="56">
        <v>8546</v>
      </c>
      <c r="E790" s="57">
        <v>11400</v>
      </c>
      <c r="F790" s="58">
        <f>C790*E790*9%</f>
        <v>3078</v>
      </c>
      <c r="G790" s="58">
        <f>C790*E790*9%</f>
        <v>3078</v>
      </c>
      <c r="H790" s="59">
        <f>C790*E790+F790+G790</f>
        <v>40356</v>
      </c>
      <c r="I790" s="362">
        <f>E790*C790</f>
        <v>34200</v>
      </c>
    </row>
    <row r="791" spans="1:9" x14ac:dyDescent="0.3">
      <c r="A791" s="55"/>
      <c r="B791" s="63"/>
      <c r="C791" s="55"/>
      <c r="D791" s="56"/>
      <c r="E791" s="55"/>
      <c r="F791" s="58"/>
      <c r="G791" s="58"/>
      <c r="H791" s="59"/>
    </row>
    <row r="792" spans="1:9" x14ac:dyDescent="0.3">
      <c r="A792" s="90"/>
      <c r="B792" s="132"/>
      <c r="C792" s="24"/>
      <c r="D792" s="164"/>
      <c r="E792" s="24"/>
      <c r="F792" s="165"/>
      <c r="G792" s="165"/>
      <c r="H792" s="166"/>
    </row>
    <row r="793" spans="1:9" x14ac:dyDescent="0.3">
      <c r="A793" s="90"/>
      <c r="B793" s="132"/>
      <c r="C793" s="24"/>
      <c r="D793" s="164"/>
      <c r="E793" s="24"/>
      <c r="F793" s="165"/>
      <c r="G793" s="165"/>
      <c r="H793" s="166"/>
    </row>
    <row r="794" spans="1:9" x14ac:dyDescent="0.3">
      <c r="A794" s="90"/>
      <c r="B794" s="132"/>
      <c r="C794" s="24"/>
      <c r="D794" s="164"/>
      <c r="E794" s="24"/>
      <c r="F794" s="165"/>
      <c r="G794" s="165"/>
      <c r="H794" s="166"/>
    </row>
    <row r="795" spans="1:9" x14ac:dyDescent="0.3">
      <c r="A795" s="27"/>
      <c r="B795" s="132"/>
      <c r="C795" s="24"/>
      <c r="D795" s="25"/>
      <c r="E795" s="25"/>
      <c r="F795" s="165"/>
      <c r="G795" s="165"/>
      <c r="H795" s="166"/>
    </row>
    <row r="796" spans="1:9" x14ac:dyDescent="0.3">
      <c r="A796" s="27"/>
      <c r="B796" s="28"/>
      <c r="C796" s="24"/>
      <c r="D796" s="25"/>
      <c r="E796" s="25"/>
      <c r="F796" s="165"/>
      <c r="G796" s="165"/>
      <c r="H796" s="166"/>
    </row>
    <row r="797" spans="1:9" x14ac:dyDescent="0.3">
      <c r="A797" s="27"/>
      <c r="B797" s="28"/>
      <c r="C797" s="24"/>
      <c r="D797" s="25"/>
      <c r="E797" s="25"/>
      <c r="F797" s="165"/>
      <c r="G797" s="165"/>
      <c r="H797" s="166"/>
    </row>
    <row r="798" spans="1:9" x14ac:dyDescent="0.3">
      <c r="A798" s="27"/>
      <c r="B798" s="28"/>
      <c r="C798" s="24"/>
      <c r="D798" s="25"/>
      <c r="E798" s="25"/>
      <c r="F798" s="165"/>
      <c r="G798" s="165"/>
      <c r="H798" s="166"/>
    </row>
    <row r="799" spans="1:9" x14ac:dyDescent="0.3">
      <c r="A799" s="27"/>
      <c r="B799" s="28"/>
      <c r="C799" s="24"/>
      <c r="D799" s="25"/>
      <c r="E799" s="25"/>
      <c r="F799" s="165"/>
      <c r="G799" s="165"/>
      <c r="H799" s="166"/>
    </row>
    <row r="800" spans="1:9" x14ac:dyDescent="0.3">
      <c r="A800" s="27"/>
      <c r="B800" s="28"/>
      <c r="C800" s="24"/>
      <c r="D800" s="25"/>
      <c r="E800" s="25"/>
      <c r="F800" s="165"/>
      <c r="G800" s="165"/>
      <c r="H800" s="166"/>
    </row>
    <row r="801" spans="1:8" x14ac:dyDescent="0.3">
      <c r="A801" s="27"/>
      <c r="B801" s="28"/>
      <c r="C801" s="24"/>
      <c r="D801" s="25"/>
      <c r="E801" s="25"/>
      <c r="F801" s="28"/>
      <c r="G801" s="28"/>
      <c r="H801" s="32"/>
    </row>
    <row r="802" spans="1:8" x14ac:dyDescent="0.3">
      <c r="A802" s="27"/>
      <c r="B802" s="28"/>
      <c r="C802" s="24"/>
      <c r="D802" s="25"/>
      <c r="E802" s="25"/>
      <c r="F802" s="28"/>
      <c r="G802" s="28"/>
      <c r="H802" s="32"/>
    </row>
    <row r="803" spans="1:8" x14ac:dyDescent="0.3">
      <c r="A803" s="27"/>
      <c r="B803" s="28"/>
      <c r="C803" s="24"/>
      <c r="D803" s="25"/>
      <c r="E803" s="25"/>
      <c r="F803" s="28"/>
      <c r="G803" s="28"/>
      <c r="H803" s="32"/>
    </row>
    <row r="804" spans="1:8" x14ac:dyDescent="0.3">
      <c r="A804" s="27"/>
      <c r="B804" s="28"/>
      <c r="C804" s="24"/>
      <c r="D804" s="25"/>
      <c r="E804" s="25"/>
      <c r="F804" s="28"/>
      <c r="G804" s="28"/>
      <c r="H804" s="32"/>
    </row>
    <row r="805" spans="1:8" x14ac:dyDescent="0.3">
      <c r="A805" s="27"/>
      <c r="B805" s="28"/>
      <c r="C805" s="24"/>
      <c r="D805" s="25"/>
      <c r="E805" s="25"/>
      <c r="F805" s="28"/>
      <c r="G805" s="28"/>
      <c r="H805" s="32"/>
    </row>
    <row r="806" spans="1:8" x14ac:dyDescent="0.3">
      <c r="A806" s="27"/>
      <c r="B806" s="28"/>
      <c r="C806" s="24"/>
      <c r="D806" s="25"/>
      <c r="E806" s="25"/>
      <c r="F806" s="28"/>
      <c r="G806" s="28"/>
      <c r="H806" s="32"/>
    </row>
    <row r="807" spans="1:8" x14ac:dyDescent="0.3">
      <c r="A807" s="27"/>
      <c r="B807" s="28"/>
      <c r="C807" s="24"/>
      <c r="D807" s="25"/>
      <c r="E807" s="25"/>
      <c r="F807" s="28"/>
      <c r="G807" s="28"/>
      <c r="H807" s="32"/>
    </row>
    <row r="808" spans="1:8" x14ac:dyDescent="0.3">
      <c r="A808" s="27"/>
      <c r="B808" s="28"/>
      <c r="C808" s="24"/>
      <c r="D808" s="25"/>
      <c r="E808" s="25"/>
      <c r="F808" s="28"/>
      <c r="G808" s="28"/>
      <c r="H808" s="32"/>
    </row>
    <row r="809" spans="1:8" x14ac:dyDescent="0.3">
      <c r="A809" s="27"/>
      <c r="B809" s="28"/>
      <c r="C809" s="24"/>
      <c r="D809" s="25"/>
      <c r="E809" s="25"/>
      <c r="F809" s="28"/>
      <c r="G809" s="28"/>
      <c r="H809" s="32"/>
    </row>
    <row r="810" spans="1:8" x14ac:dyDescent="0.3">
      <c r="A810" s="27"/>
      <c r="B810" s="28"/>
      <c r="C810" s="24"/>
      <c r="D810" s="25"/>
      <c r="E810" s="25"/>
      <c r="F810" s="28"/>
      <c r="G810" s="28"/>
      <c r="H810" s="32"/>
    </row>
    <row r="811" spans="1:8" x14ac:dyDescent="0.3">
      <c r="A811" s="27"/>
      <c r="B811" s="28"/>
      <c r="C811" s="24"/>
      <c r="D811" s="25"/>
      <c r="E811" s="25"/>
      <c r="F811" s="28"/>
      <c r="G811" s="28"/>
      <c r="H811" s="32"/>
    </row>
    <row r="812" spans="1:8" ht="15.6" x14ac:dyDescent="0.3">
      <c r="A812" s="448" t="s">
        <v>45</v>
      </c>
      <c r="B812" s="449"/>
      <c r="C812" s="449"/>
      <c r="D812" s="25"/>
      <c r="E812" s="25"/>
      <c r="F812" s="447" t="s">
        <v>46</v>
      </c>
      <c r="G812" s="447"/>
      <c r="H812" s="66">
        <f>(C789*E789)+(C790*E790)+(C791*E791)</f>
        <v>96425</v>
      </c>
    </row>
    <row r="813" spans="1:8" ht="15.6" x14ac:dyDescent="0.3">
      <c r="A813" s="497" t="s">
        <v>199</v>
      </c>
      <c r="B813" s="498"/>
      <c r="C813" s="498"/>
      <c r="D813" s="498"/>
      <c r="E813" s="498"/>
      <c r="F813" s="447" t="s">
        <v>47</v>
      </c>
      <c r="G813" s="447"/>
      <c r="H813" s="66">
        <f>H812*9%</f>
        <v>8678.25</v>
      </c>
    </row>
    <row r="814" spans="1:8" ht="15.6" x14ac:dyDescent="0.3">
      <c r="A814" s="27"/>
      <c r="B814" s="28"/>
      <c r="C814" s="24"/>
      <c r="D814" s="25"/>
      <c r="E814" s="25"/>
      <c r="F814" s="447" t="s">
        <v>48</v>
      </c>
      <c r="G814" s="447"/>
      <c r="H814" s="66">
        <f>H812*9%</f>
        <v>8678.25</v>
      </c>
    </row>
    <row r="815" spans="1:8" ht="15.6" x14ac:dyDescent="0.3">
      <c r="A815" s="448" t="s">
        <v>49</v>
      </c>
      <c r="B815" s="449"/>
      <c r="C815" s="449"/>
      <c r="D815" s="449"/>
      <c r="E815" s="25"/>
      <c r="F815" s="447" t="s">
        <v>50</v>
      </c>
      <c r="G815" s="447"/>
      <c r="H815" s="66">
        <v>113782</v>
      </c>
    </row>
    <row r="816" spans="1:8" ht="27" x14ac:dyDescent="0.3">
      <c r="A816" s="68" t="s">
        <v>22</v>
      </c>
      <c r="B816" s="69" t="s">
        <v>51</v>
      </c>
      <c r="C816" s="70" t="s">
        <v>24</v>
      </c>
      <c r="D816" s="31" t="s">
        <v>25</v>
      </c>
      <c r="E816" s="450" t="s">
        <v>52</v>
      </c>
      <c r="F816" s="450"/>
      <c r="G816" s="28"/>
      <c r="H816" s="32"/>
    </row>
    <row r="817" spans="1:8" x14ac:dyDescent="0.3">
      <c r="A817" s="72">
        <v>0.18</v>
      </c>
      <c r="B817" s="73">
        <f>H812</f>
        <v>96425</v>
      </c>
      <c r="C817" s="74">
        <f>H813</f>
        <v>8678.25</v>
      </c>
      <c r="D817" s="74">
        <f>H814</f>
        <v>8678.25</v>
      </c>
      <c r="E817" s="507">
        <f>C817+D817</f>
        <v>17356.5</v>
      </c>
      <c r="F817" s="507"/>
      <c r="G817" s="74"/>
      <c r="H817" s="75"/>
    </row>
    <row r="818" spans="1:8" x14ac:dyDescent="0.3">
      <c r="A818" s="452" t="s">
        <v>200</v>
      </c>
      <c r="B818" s="453"/>
      <c r="C818" s="453"/>
      <c r="D818" s="453"/>
      <c r="E818" s="453"/>
      <c r="F818" s="453"/>
      <c r="G818" s="453"/>
      <c r="H818" s="454"/>
    </row>
    <row r="819" spans="1:8" ht="15.6" x14ac:dyDescent="0.3">
      <c r="A819" s="455" t="s">
        <v>53</v>
      </c>
      <c r="B819" s="456"/>
      <c r="C819" s="456"/>
      <c r="D819" s="457"/>
      <c r="E819" s="458" t="s">
        <v>54</v>
      </c>
      <c r="F819" s="459"/>
      <c r="G819" s="459"/>
      <c r="H819" s="460"/>
    </row>
    <row r="820" spans="1:8" x14ac:dyDescent="0.3">
      <c r="A820" s="461" t="s">
        <v>55</v>
      </c>
      <c r="B820" s="462"/>
      <c r="C820" s="462"/>
      <c r="D820" s="463"/>
      <c r="E820" s="39"/>
      <c r="F820" s="28"/>
      <c r="G820" s="28"/>
      <c r="H820" s="32"/>
    </row>
    <row r="821" spans="1:8" x14ac:dyDescent="0.3">
      <c r="A821" s="461" t="s">
        <v>56</v>
      </c>
      <c r="B821" s="462"/>
      <c r="C821" s="462"/>
      <c r="D821" s="463"/>
      <c r="E821" s="39"/>
      <c r="F821" s="28"/>
      <c r="G821" s="28"/>
      <c r="H821" s="32"/>
    </row>
    <row r="822" spans="1:8" x14ac:dyDescent="0.3">
      <c r="A822" s="461" t="s">
        <v>57</v>
      </c>
      <c r="B822" s="462"/>
      <c r="C822" s="462"/>
      <c r="D822" s="463"/>
      <c r="E822" s="167"/>
      <c r="H822" s="168"/>
    </row>
    <row r="823" spans="1:8" ht="15.6" x14ac:dyDescent="0.3">
      <c r="A823" s="464" t="s">
        <v>58</v>
      </c>
      <c r="B823" s="465"/>
      <c r="C823" s="465"/>
      <c r="D823" s="510"/>
      <c r="E823" s="466" t="s">
        <v>59</v>
      </c>
      <c r="F823" s="467"/>
      <c r="G823" s="467"/>
      <c r="H823" s="468"/>
    </row>
    <row r="826" spans="1:8" ht="44.4" x14ac:dyDescent="0.7">
      <c r="A826" s="469" t="s">
        <v>0</v>
      </c>
      <c r="B826" s="470"/>
      <c r="C826" s="470"/>
      <c r="D826" s="470"/>
      <c r="E826" s="471" t="s">
        <v>92</v>
      </c>
      <c r="F826" s="472"/>
      <c r="G826" s="472"/>
      <c r="H826" s="473"/>
    </row>
    <row r="827" spans="1:8" ht="20.399999999999999" x14ac:dyDescent="0.35">
      <c r="A827" s="1"/>
      <c r="B827" s="476" t="s">
        <v>2</v>
      </c>
      <c r="C827" s="476"/>
      <c r="D827" s="476"/>
      <c r="E827" s="474"/>
      <c r="F827" s="474"/>
      <c r="G827" s="474"/>
      <c r="H827" s="475"/>
    </row>
    <row r="828" spans="1:8" x14ac:dyDescent="0.3">
      <c r="A828" s="477" t="s">
        <v>3</v>
      </c>
      <c r="B828" s="478"/>
      <c r="C828" s="136"/>
      <c r="D828" s="499" t="s">
        <v>4</v>
      </c>
      <c r="E828" s="499"/>
      <c r="F828" s="137"/>
      <c r="G828" s="575" t="s">
        <v>134</v>
      </c>
      <c r="H828" s="576"/>
    </row>
    <row r="829" spans="1:8" ht="15.6" x14ac:dyDescent="0.3">
      <c r="A829" s="138" t="s">
        <v>6</v>
      </c>
      <c r="B829" s="5"/>
      <c r="C829" s="481" t="s">
        <v>7</v>
      </c>
      <c r="D829" s="481"/>
      <c r="E829" s="482">
        <v>19</v>
      </c>
      <c r="F829" s="482"/>
      <c r="G829" s="7" t="s">
        <v>8</v>
      </c>
      <c r="H829" s="8" t="s">
        <v>194</v>
      </c>
    </row>
    <row r="830" spans="1:8" ht="15.75" customHeight="1" x14ac:dyDescent="0.3">
      <c r="A830" s="514" t="s">
        <v>231</v>
      </c>
      <c r="B830" s="515"/>
      <c r="C830" s="481" t="s">
        <v>10</v>
      </c>
      <c r="D830" s="481"/>
      <c r="E830" s="482"/>
      <c r="F830" s="482"/>
      <c r="G830" s="7" t="s">
        <v>8</v>
      </c>
      <c r="H830" s="6"/>
    </row>
    <row r="831" spans="1:8" ht="30" customHeight="1" x14ac:dyDescent="0.3">
      <c r="A831" s="517" t="s">
        <v>232</v>
      </c>
      <c r="B831" s="518"/>
      <c r="C831" s="519" t="s">
        <v>12</v>
      </c>
      <c r="D831" s="519"/>
      <c r="E831" s="564" t="s">
        <v>201</v>
      </c>
      <c r="F831" s="565"/>
      <c r="G831" s="10" t="s">
        <v>8</v>
      </c>
      <c r="H831" s="109">
        <v>45485</v>
      </c>
    </row>
    <row r="832" spans="1:8" ht="15.75" customHeight="1" x14ac:dyDescent="0.3">
      <c r="A832" s="517" t="s">
        <v>233</v>
      </c>
      <c r="B832" s="518"/>
      <c r="C832" s="481" t="s">
        <v>15</v>
      </c>
      <c r="D832" s="481"/>
      <c r="E832" s="566" t="s">
        <v>234</v>
      </c>
      <c r="F832" s="567"/>
      <c r="G832" s="567"/>
      <c r="H832" s="568"/>
    </row>
    <row r="833" spans="1:8" ht="15.6" x14ac:dyDescent="0.3">
      <c r="A833" s="12" t="s">
        <v>13</v>
      </c>
      <c r="B833" s="172" t="s">
        <v>196</v>
      </c>
      <c r="C833" s="569"/>
      <c r="D833" s="570"/>
      <c r="E833" s="570"/>
      <c r="F833" s="570"/>
      <c r="G833" s="570"/>
      <c r="H833" s="571"/>
    </row>
    <row r="834" spans="1:8" ht="15" x14ac:dyDescent="0.3">
      <c r="A834" s="492" t="s">
        <v>17</v>
      </c>
      <c r="B834" s="494" t="s">
        <v>18</v>
      </c>
      <c r="C834" s="494" t="s">
        <v>19</v>
      </c>
      <c r="D834" s="494" t="s">
        <v>20</v>
      </c>
      <c r="E834" s="494" t="s">
        <v>21</v>
      </c>
      <c r="F834" s="494" t="s">
        <v>22</v>
      </c>
      <c r="G834" s="494"/>
      <c r="H834" s="492" t="s">
        <v>23</v>
      </c>
    </row>
    <row r="835" spans="1:8" ht="27.6" x14ac:dyDescent="0.3">
      <c r="A835" s="492"/>
      <c r="B835" s="494"/>
      <c r="C835" s="494"/>
      <c r="D835" s="494"/>
      <c r="E835" s="494"/>
      <c r="F835" s="53" t="s">
        <v>24</v>
      </c>
      <c r="G835" s="53" t="s">
        <v>25</v>
      </c>
      <c r="H835" s="492"/>
    </row>
    <row r="836" spans="1:8" x14ac:dyDescent="0.3">
      <c r="A836" s="57">
        <v>1</v>
      </c>
      <c r="B836" s="113" t="s">
        <v>202</v>
      </c>
      <c r="C836" s="57">
        <v>1</v>
      </c>
      <c r="D836" s="171">
        <v>998719</v>
      </c>
      <c r="E836" s="57">
        <v>28500</v>
      </c>
      <c r="F836" s="58">
        <f>C836*E836*9%</f>
        <v>2565</v>
      </c>
      <c r="G836" s="58">
        <f>C836*E836*9%</f>
        <v>2565</v>
      </c>
      <c r="H836" s="59">
        <f>C836*E836+F836+G836</f>
        <v>33630</v>
      </c>
    </row>
    <row r="837" spans="1:8" x14ac:dyDescent="0.3">
      <c r="A837" s="57"/>
      <c r="B837" s="60"/>
      <c r="C837" s="57"/>
      <c r="D837" s="56"/>
      <c r="E837" s="57"/>
      <c r="F837" s="58"/>
      <c r="G837" s="58"/>
      <c r="H837" s="59"/>
    </row>
    <row r="838" spans="1:8" x14ac:dyDescent="0.3">
      <c r="A838" s="55"/>
      <c r="B838" s="63"/>
      <c r="C838" s="55"/>
      <c r="D838" s="56"/>
      <c r="E838" s="55"/>
      <c r="F838" s="58"/>
      <c r="G838" s="58"/>
      <c r="H838" s="59"/>
    </row>
    <row r="839" spans="1:8" x14ac:dyDescent="0.3">
      <c r="A839" s="90"/>
      <c r="B839" s="132"/>
      <c r="C839" s="24"/>
      <c r="D839" s="164"/>
      <c r="E839" s="24"/>
      <c r="F839" s="165"/>
      <c r="G839" s="165"/>
      <c r="H839" s="166"/>
    </row>
    <row r="840" spans="1:8" x14ac:dyDescent="0.3">
      <c r="A840" s="90"/>
      <c r="B840" s="132"/>
      <c r="C840" s="24"/>
      <c r="D840" s="164"/>
      <c r="E840" s="24"/>
      <c r="F840" s="165"/>
      <c r="G840" s="165"/>
      <c r="H840" s="166"/>
    </row>
    <row r="841" spans="1:8" x14ac:dyDescent="0.3">
      <c r="A841" s="90"/>
      <c r="B841" s="132"/>
      <c r="C841" s="24"/>
      <c r="D841" s="164"/>
      <c r="E841" s="24"/>
      <c r="F841" s="165"/>
      <c r="G841" s="165"/>
      <c r="H841" s="166"/>
    </row>
    <row r="842" spans="1:8" x14ac:dyDescent="0.3">
      <c r="A842" s="27"/>
      <c r="B842" s="132"/>
      <c r="C842" s="24"/>
      <c r="D842" s="25"/>
      <c r="E842" s="25"/>
      <c r="F842" s="165"/>
      <c r="G842" s="165"/>
      <c r="H842" s="166"/>
    </row>
    <row r="843" spans="1:8" x14ac:dyDescent="0.3">
      <c r="A843" s="27"/>
      <c r="B843" s="28"/>
      <c r="C843" s="24"/>
      <c r="D843" s="25"/>
      <c r="E843" s="25"/>
      <c r="F843" s="165"/>
      <c r="G843" s="165"/>
      <c r="H843" s="166"/>
    </row>
    <row r="844" spans="1:8" x14ac:dyDescent="0.3">
      <c r="A844" s="27"/>
      <c r="B844" s="28"/>
      <c r="C844" s="24"/>
      <c r="D844" s="25"/>
      <c r="E844" s="25"/>
      <c r="F844" s="165"/>
      <c r="G844" s="165"/>
      <c r="H844" s="166"/>
    </row>
    <row r="845" spans="1:8" x14ac:dyDescent="0.3">
      <c r="A845" s="27"/>
      <c r="B845" s="28"/>
      <c r="C845" s="24"/>
      <c r="D845" s="25"/>
      <c r="E845" s="25"/>
      <c r="F845" s="165"/>
      <c r="G845" s="165"/>
      <c r="H845" s="166"/>
    </row>
    <row r="846" spans="1:8" x14ac:dyDescent="0.3">
      <c r="A846" s="27"/>
      <c r="B846" s="28"/>
      <c r="C846" s="24"/>
      <c r="D846" s="25"/>
      <c r="E846" s="25"/>
      <c r="F846" s="165"/>
      <c r="G846" s="165"/>
      <c r="H846" s="166"/>
    </row>
    <row r="847" spans="1:8" x14ac:dyDescent="0.3">
      <c r="A847" s="27"/>
      <c r="B847" s="28"/>
      <c r="C847" s="24"/>
      <c r="D847" s="25"/>
      <c r="E847" s="25"/>
      <c r="F847" s="165"/>
      <c r="G847" s="165"/>
      <c r="H847" s="166"/>
    </row>
    <row r="848" spans="1:8" x14ac:dyDescent="0.3">
      <c r="A848" s="27"/>
      <c r="B848" s="28"/>
      <c r="C848" s="24"/>
      <c r="D848" s="25"/>
      <c r="E848" s="25"/>
      <c r="F848" s="28"/>
      <c r="G848" s="28"/>
      <c r="H848" s="32"/>
    </row>
    <row r="849" spans="1:8" x14ac:dyDescent="0.3">
      <c r="A849" s="27"/>
      <c r="B849" s="28"/>
      <c r="C849" s="24"/>
      <c r="D849" s="25"/>
      <c r="E849" s="25"/>
      <c r="F849" s="28"/>
      <c r="G849" s="28"/>
      <c r="H849" s="32"/>
    </row>
    <row r="850" spans="1:8" x14ac:dyDescent="0.3">
      <c r="A850" s="27"/>
      <c r="B850" s="28"/>
      <c r="C850" s="24"/>
      <c r="D850" s="25"/>
      <c r="E850" s="25"/>
      <c r="F850" s="28"/>
      <c r="G850" s="28"/>
      <c r="H850" s="32"/>
    </row>
    <row r="851" spans="1:8" x14ac:dyDescent="0.3">
      <c r="A851" s="27"/>
      <c r="B851" s="28"/>
      <c r="C851" s="24"/>
      <c r="D851" s="25"/>
      <c r="E851" s="25"/>
      <c r="F851" s="28"/>
      <c r="G851" s="28"/>
      <c r="H851" s="32"/>
    </row>
    <row r="852" spans="1:8" x14ac:dyDescent="0.3">
      <c r="A852" s="27"/>
      <c r="B852" s="28"/>
      <c r="C852" s="24"/>
      <c r="D852" s="25"/>
      <c r="E852" s="25"/>
      <c r="F852" s="28"/>
      <c r="G852" s="28"/>
      <c r="H852" s="32"/>
    </row>
    <row r="853" spans="1:8" x14ac:dyDescent="0.3">
      <c r="A853" s="27"/>
      <c r="B853" s="28"/>
      <c r="C853" s="24"/>
      <c r="D853" s="25"/>
      <c r="E853" s="25"/>
      <c r="F853" s="28"/>
      <c r="G853" s="28"/>
      <c r="H853" s="32"/>
    </row>
    <row r="854" spans="1:8" x14ac:dyDescent="0.3">
      <c r="A854" s="27"/>
      <c r="B854" s="28"/>
      <c r="C854" s="24"/>
      <c r="D854" s="25"/>
      <c r="E854" s="25"/>
      <c r="F854" s="28"/>
      <c r="G854" s="28"/>
      <c r="H854" s="32"/>
    </row>
    <row r="855" spans="1:8" x14ac:dyDescent="0.3">
      <c r="A855" s="27"/>
      <c r="B855" s="28"/>
      <c r="C855" s="24"/>
      <c r="D855" s="25"/>
      <c r="E855" s="25"/>
      <c r="F855" s="28"/>
      <c r="G855" s="28"/>
      <c r="H855" s="32"/>
    </row>
    <row r="856" spans="1:8" x14ac:dyDescent="0.3">
      <c r="A856" s="27"/>
      <c r="B856" s="28"/>
      <c r="C856" s="24"/>
      <c r="D856" s="25"/>
      <c r="E856" s="25"/>
      <c r="F856" s="28"/>
      <c r="G856" s="28"/>
      <c r="H856" s="32"/>
    </row>
    <row r="857" spans="1:8" x14ac:dyDescent="0.3">
      <c r="A857" s="27"/>
      <c r="B857" s="28"/>
      <c r="C857" s="24"/>
      <c r="D857" s="25"/>
      <c r="E857" s="25"/>
      <c r="F857" s="28"/>
      <c r="G857" s="28"/>
      <c r="H857" s="32"/>
    </row>
    <row r="858" spans="1:8" ht="15.6" x14ac:dyDescent="0.3">
      <c r="A858" s="448" t="s">
        <v>45</v>
      </c>
      <c r="B858" s="449"/>
      <c r="C858" s="449"/>
      <c r="D858" s="25"/>
      <c r="E858" s="25"/>
      <c r="F858" s="447" t="s">
        <v>46</v>
      </c>
      <c r="G858" s="447"/>
      <c r="H858" s="66">
        <f>(C836*E836)+(C837*E837)+(C838*E838)</f>
        <v>28500</v>
      </c>
    </row>
    <row r="859" spans="1:8" ht="15.6" x14ac:dyDescent="0.3">
      <c r="A859" s="497" t="s">
        <v>203</v>
      </c>
      <c r="B859" s="498"/>
      <c r="C859" s="498"/>
      <c r="D859" s="498"/>
      <c r="E859" s="498"/>
      <c r="F859" s="447" t="s">
        <v>47</v>
      </c>
      <c r="G859" s="447"/>
      <c r="H859" s="66">
        <f>H858*9%</f>
        <v>2565</v>
      </c>
    </row>
    <row r="860" spans="1:8" ht="15.6" x14ac:dyDescent="0.3">
      <c r="A860" s="27"/>
      <c r="B860" s="28"/>
      <c r="C860" s="24"/>
      <c r="D860" s="25"/>
      <c r="E860" s="25"/>
      <c r="F860" s="447" t="s">
        <v>48</v>
      </c>
      <c r="G860" s="447"/>
      <c r="H860" s="66">
        <f>H858*9%</f>
        <v>2565</v>
      </c>
    </row>
    <row r="861" spans="1:8" ht="15.6" x14ac:dyDescent="0.3">
      <c r="A861" s="448" t="s">
        <v>49</v>
      </c>
      <c r="B861" s="449"/>
      <c r="C861" s="449"/>
      <c r="D861" s="449"/>
      <c r="E861" s="25"/>
      <c r="F861" s="447" t="s">
        <v>50</v>
      </c>
      <c r="G861" s="447"/>
      <c r="H861" s="66">
        <v>33630</v>
      </c>
    </row>
    <row r="862" spans="1:8" ht="27" x14ac:dyDescent="0.3">
      <c r="A862" s="68" t="s">
        <v>22</v>
      </c>
      <c r="B862" s="69" t="s">
        <v>51</v>
      </c>
      <c r="C862" s="70" t="s">
        <v>24</v>
      </c>
      <c r="D862" s="31" t="s">
        <v>25</v>
      </c>
      <c r="E862" s="450" t="s">
        <v>52</v>
      </c>
      <c r="F862" s="450"/>
      <c r="G862" s="28"/>
      <c r="H862" s="32"/>
    </row>
    <row r="863" spans="1:8" x14ac:dyDescent="0.3">
      <c r="A863" s="72">
        <v>0.18</v>
      </c>
      <c r="B863" s="73">
        <f>H858</f>
        <v>28500</v>
      </c>
      <c r="C863" s="74">
        <f>H859</f>
        <v>2565</v>
      </c>
      <c r="D863" s="74">
        <f>H860</f>
        <v>2565</v>
      </c>
      <c r="E863" s="507">
        <f>C863+D863</f>
        <v>5130</v>
      </c>
      <c r="F863" s="507"/>
      <c r="G863" s="74"/>
      <c r="H863" s="75"/>
    </row>
    <row r="864" spans="1:8" x14ac:dyDescent="0.3">
      <c r="A864" s="452" t="s">
        <v>204</v>
      </c>
      <c r="B864" s="453"/>
      <c r="C864" s="453"/>
      <c r="D864" s="453"/>
      <c r="E864" s="453"/>
      <c r="F864" s="453"/>
      <c r="G864" s="453"/>
      <c r="H864" s="454"/>
    </row>
    <row r="865" spans="1:8" ht="15.6" x14ac:dyDescent="0.3">
      <c r="A865" s="455" t="s">
        <v>53</v>
      </c>
      <c r="B865" s="456"/>
      <c r="C865" s="456"/>
      <c r="D865" s="457"/>
      <c r="E865" s="458" t="s">
        <v>54</v>
      </c>
      <c r="F865" s="459"/>
      <c r="G865" s="459"/>
      <c r="H865" s="460"/>
    </row>
    <row r="866" spans="1:8" x14ac:dyDescent="0.3">
      <c r="A866" s="461" t="s">
        <v>55</v>
      </c>
      <c r="B866" s="462"/>
      <c r="C866" s="462"/>
      <c r="D866" s="463"/>
      <c r="E866" s="39"/>
      <c r="F866" s="28"/>
      <c r="G866" s="28"/>
      <c r="H866" s="32"/>
    </row>
    <row r="867" spans="1:8" x14ac:dyDescent="0.3">
      <c r="A867" s="461" t="s">
        <v>56</v>
      </c>
      <c r="B867" s="462"/>
      <c r="C867" s="462"/>
      <c r="D867" s="463"/>
      <c r="E867" s="39"/>
      <c r="F867" s="28"/>
      <c r="G867" s="28"/>
      <c r="H867" s="32"/>
    </row>
    <row r="868" spans="1:8" x14ac:dyDescent="0.3">
      <c r="A868" s="461" t="s">
        <v>57</v>
      </c>
      <c r="B868" s="462"/>
      <c r="C868" s="462"/>
      <c r="D868" s="463"/>
      <c r="E868" s="167"/>
      <c r="H868" s="168"/>
    </row>
    <row r="869" spans="1:8" ht="15.6" x14ac:dyDescent="0.3">
      <c r="A869" s="464" t="s">
        <v>58</v>
      </c>
      <c r="B869" s="465"/>
      <c r="C869" s="465"/>
      <c r="D869" s="510"/>
      <c r="E869" s="466" t="s">
        <v>59</v>
      </c>
      <c r="F869" s="467"/>
      <c r="G869" s="467"/>
      <c r="H869" s="468"/>
    </row>
    <row r="871" spans="1:8" ht="44.4" x14ac:dyDescent="0.7">
      <c r="A871" s="469" t="s">
        <v>0</v>
      </c>
      <c r="B871" s="470"/>
      <c r="C871" s="470"/>
      <c r="D871" s="470"/>
      <c r="E871" s="471" t="s">
        <v>92</v>
      </c>
      <c r="F871" s="472"/>
      <c r="G871" s="472"/>
      <c r="H871" s="473"/>
    </row>
    <row r="872" spans="1:8" ht="20.399999999999999" x14ac:dyDescent="0.35">
      <c r="A872" s="1"/>
      <c r="B872" s="476" t="s">
        <v>2</v>
      </c>
      <c r="C872" s="476"/>
      <c r="D872" s="476"/>
      <c r="E872" s="474"/>
      <c r="F872" s="474"/>
      <c r="G872" s="474"/>
      <c r="H872" s="475"/>
    </row>
    <row r="873" spans="1:8" x14ac:dyDescent="0.3">
      <c r="A873" s="477" t="s">
        <v>3</v>
      </c>
      <c r="B873" s="478"/>
      <c r="C873" s="136"/>
      <c r="D873" s="499" t="s">
        <v>4</v>
      </c>
      <c r="E873" s="499"/>
      <c r="F873" s="137"/>
      <c r="G873" s="575" t="s">
        <v>134</v>
      </c>
      <c r="H873" s="576"/>
    </row>
    <row r="874" spans="1:8" ht="15.6" x14ac:dyDescent="0.3">
      <c r="A874" s="138" t="s">
        <v>6</v>
      </c>
      <c r="B874" s="5"/>
      <c r="C874" s="481" t="s">
        <v>7</v>
      </c>
      <c r="D874" s="481"/>
      <c r="E874" s="482">
        <v>20</v>
      </c>
      <c r="F874" s="482"/>
      <c r="G874" s="7" t="s">
        <v>8</v>
      </c>
      <c r="H874" s="8" t="s">
        <v>194</v>
      </c>
    </row>
    <row r="875" spans="1:8" ht="15.6" x14ac:dyDescent="0.3">
      <c r="A875" s="514" t="s">
        <v>205</v>
      </c>
      <c r="B875" s="515"/>
      <c r="C875" s="481" t="s">
        <v>10</v>
      </c>
      <c r="D875" s="481"/>
      <c r="E875" s="482"/>
      <c r="F875" s="482"/>
      <c r="G875" s="7" t="s">
        <v>8</v>
      </c>
      <c r="H875" s="6"/>
    </row>
    <row r="876" spans="1:8" ht="15" x14ac:dyDescent="0.3">
      <c r="A876" s="517" t="s">
        <v>206</v>
      </c>
      <c r="B876" s="518"/>
      <c r="C876" s="519" t="s">
        <v>12</v>
      </c>
      <c r="D876" s="519"/>
      <c r="E876" s="564"/>
      <c r="F876" s="565"/>
      <c r="G876" s="10" t="s">
        <v>8</v>
      </c>
      <c r="H876" s="109"/>
    </row>
    <row r="877" spans="1:8" ht="15.6" x14ac:dyDescent="0.3">
      <c r="A877" s="517" t="s">
        <v>207</v>
      </c>
      <c r="B877" s="518"/>
      <c r="C877" s="481" t="s">
        <v>15</v>
      </c>
      <c r="D877" s="481"/>
      <c r="E877" s="566" t="s">
        <v>212</v>
      </c>
      <c r="F877" s="567"/>
      <c r="G877" s="567"/>
      <c r="H877" s="568"/>
    </row>
    <row r="878" spans="1:8" ht="15.6" x14ac:dyDescent="0.3">
      <c r="A878" s="12" t="s">
        <v>13</v>
      </c>
      <c r="B878" s="172" t="s">
        <v>208</v>
      </c>
      <c r="C878" s="569"/>
      <c r="D878" s="570"/>
      <c r="E878" s="570"/>
      <c r="F878" s="570"/>
      <c r="G878" s="570"/>
      <c r="H878" s="571"/>
    </row>
    <row r="879" spans="1:8" ht="15" x14ac:dyDescent="0.3">
      <c r="A879" s="492" t="s">
        <v>17</v>
      </c>
      <c r="B879" s="494" t="s">
        <v>18</v>
      </c>
      <c r="C879" s="494" t="s">
        <v>19</v>
      </c>
      <c r="D879" s="494" t="s">
        <v>20</v>
      </c>
      <c r="E879" s="494" t="s">
        <v>21</v>
      </c>
      <c r="F879" s="494" t="s">
        <v>22</v>
      </c>
      <c r="G879" s="494"/>
      <c r="H879" s="492" t="s">
        <v>23</v>
      </c>
    </row>
    <row r="880" spans="1:8" ht="27.6" x14ac:dyDescent="0.3">
      <c r="A880" s="492"/>
      <c r="B880" s="494"/>
      <c r="C880" s="494"/>
      <c r="D880" s="494"/>
      <c r="E880" s="494"/>
      <c r="F880" s="53" t="s">
        <v>24</v>
      </c>
      <c r="G880" s="53" t="s">
        <v>25</v>
      </c>
      <c r="H880" s="492"/>
    </row>
    <row r="881" spans="1:9" x14ac:dyDescent="0.3">
      <c r="A881" s="57">
        <v>1</v>
      </c>
      <c r="B881" s="113" t="s">
        <v>209</v>
      </c>
      <c r="C881" s="57">
        <v>1</v>
      </c>
      <c r="D881" s="171">
        <v>998719</v>
      </c>
      <c r="E881" s="57">
        <v>3500</v>
      </c>
      <c r="F881" s="58">
        <f>C881*E881*9%</f>
        <v>315</v>
      </c>
      <c r="G881" s="58">
        <f>C881*E881*9%</f>
        <v>315</v>
      </c>
      <c r="H881" s="59">
        <f>C881*E881+F881+G881</f>
        <v>4130</v>
      </c>
      <c r="I881" s="362">
        <f>E881*C881</f>
        <v>3500</v>
      </c>
    </row>
    <row r="882" spans="1:9" x14ac:dyDescent="0.3">
      <c r="A882" s="57">
        <v>2</v>
      </c>
      <c r="B882" s="60" t="s">
        <v>210</v>
      </c>
      <c r="C882" s="57">
        <v>1</v>
      </c>
      <c r="D882" s="56">
        <v>998719</v>
      </c>
      <c r="E882" s="57">
        <v>2900</v>
      </c>
      <c r="F882" s="58">
        <f>C882*E882*9%</f>
        <v>261</v>
      </c>
      <c r="G882" s="58">
        <f>C882*E882*9%</f>
        <v>261</v>
      </c>
      <c r="H882" s="59">
        <f>C882*E882+F882+G882</f>
        <v>3422</v>
      </c>
      <c r="I882" s="362">
        <f>E882*C882</f>
        <v>2900</v>
      </c>
    </row>
    <row r="883" spans="1:9" x14ac:dyDescent="0.3">
      <c r="A883" s="55">
        <v>3</v>
      </c>
      <c r="B883" s="63" t="s">
        <v>211</v>
      </c>
      <c r="C883" s="55">
        <v>6</v>
      </c>
      <c r="D883" s="56">
        <v>8546</v>
      </c>
      <c r="E883" s="55">
        <v>1200</v>
      </c>
      <c r="F883" s="58">
        <f>C883*E883*9%</f>
        <v>648</v>
      </c>
      <c r="G883" s="58">
        <f>C883*E883*9%</f>
        <v>648</v>
      </c>
      <c r="H883" s="59">
        <f>C883*E883+F883+G883</f>
        <v>8496</v>
      </c>
      <c r="I883" s="362">
        <f>E883*C883</f>
        <v>7200</v>
      </c>
    </row>
    <row r="884" spans="1:9" x14ac:dyDescent="0.3">
      <c r="A884" s="90"/>
      <c r="B884" s="132"/>
      <c r="C884" s="24"/>
      <c r="D884" s="164"/>
      <c r="E884" s="24"/>
      <c r="F884" s="165"/>
      <c r="G884" s="165"/>
      <c r="H884" s="166"/>
    </row>
    <row r="885" spans="1:9" x14ac:dyDescent="0.3">
      <c r="A885" s="90"/>
      <c r="B885" s="132"/>
      <c r="C885" s="24"/>
      <c r="D885" s="164"/>
      <c r="E885" s="24"/>
      <c r="F885" s="165"/>
      <c r="G885" s="165"/>
      <c r="H885" s="166"/>
    </row>
    <row r="886" spans="1:9" x14ac:dyDescent="0.3">
      <c r="A886" s="90"/>
      <c r="B886" s="132"/>
      <c r="C886" s="24"/>
      <c r="D886" s="164"/>
      <c r="E886" s="24"/>
      <c r="F886" s="165"/>
      <c r="G886" s="165"/>
      <c r="H886" s="166"/>
    </row>
    <row r="887" spans="1:9" x14ac:dyDescent="0.3">
      <c r="A887" s="27"/>
      <c r="B887" s="132"/>
      <c r="C887" s="24"/>
      <c r="D887" s="25"/>
      <c r="E887" s="25"/>
      <c r="F887" s="165"/>
      <c r="G887" s="165"/>
      <c r="H887" s="166"/>
    </row>
    <row r="888" spans="1:9" x14ac:dyDescent="0.3">
      <c r="A888" s="27"/>
      <c r="B888" s="28"/>
      <c r="C888" s="24"/>
      <c r="D888" s="25"/>
      <c r="E888" s="25"/>
      <c r="F888" s="165"/>
      <c r="G888" s="165"/>
      <c r="H888" s="166"/>
    </row>
    <row r="889" spans="1:9" x14ac:dyDescent="0.3">
      <c r="A889" s="27"/>
      <c r="B889" s="28"/>
      <c r="C889" s="24"/>
      <c r="D889" s="25"/>
      <c r="E889" s="25"/>
      <c r="F889" s="165"/>
      <c r="G889" s="165"/>
      <c r="H889" s="166"/>
    </row>
    <row r="890" spans="1:9" x14ac:dyDescent="0.3">
      <c r="A890" s="27"/>
      <c r="B890" s="28"/>
      <c r="C890" s="24"/>
      <c r="D890" s="25"/>
      <c r="E890" s="25"/>
      <c r="F890" s="165"/>
      <c r="G890" s="165"/>
      <c r="H890" s="166"/>
    </row>
    <row r="891" spans="1:9" x14ac:dyDescent="0.3">
      <c r="A891" s="27"/>
      <c r="B891" s="28"/>
      <c r="C891" s="24"/>
      <c r="D891" s="25"/>
      <c r="E891" s="25"/>
      <c r="F891" s="165"/>
      <c r="G891" s="165"/>
      <c r="H891" s="166"/>
    </row>
    <row r="892" spans="1:9" x14ac:dyDescent="0.3">
      <c r="A892" s="27"/>
      <c r="B892" s="28"/>
      <c r="C892" s="24"/>
      <c r="D892" s="25"/>
      <c r="E892" s="25"/>
      <c r="F892" s="165"/>
      <c r="G892" s="165"/>
      <c r="H892" s="166"/>
    </row>
    <row r="893" spans="1:9" x14ac:dyDescent="0.3">
      <c r="A893" s="27"/>
      <c r="B893" s="28"/>
      <c r="C893" s="24"/>
      <c r="D893" s="25"/>
      <c r="E893" s="25"/>
      <c r="F893" s="28"/>
      <c r="G893" s="28"/>
      <c r="H893" s="32"/>
    </row>
    <row r="894" spans="1:9" x14ac:dyDescent="0.3">
      <c r="A894" s="27"/>
      <c r="B894" s="28"/>
      <c r="C894" s="24"/>
      <c r="D894" s="25"/>
      <c r="E894" s="25"/>
      <c r="F894" s="28"/>
      <c r="G894" s="28"/>
      <c r="H894" s="32"/>
    </row>
    <row r="895" spans="1:9" x14ac:dyDescent="0.3">
      <c r="A895" s="27"/>
      <c r="B895" s="28"/>
      <c r="C895" s="24"/>
      <c r="D895" s="25"/>
      <c r="E895" s="25"/>
      <c r="F895" s="28"/>
      <c r="G895" s="28"/>
      <c r="H895" s="32"/>
    </row>
    <row r="896" spans="1:9" x14ac:dyDescent="0.3">
      <c r="A896" s="27"/>
      <c r="B896" s="28"/>
      <c r="C896" s="24"/>
      <c r="D896" s="25"/>
      <c r="E896" s="25"/>
      <c r="F896" s="28"/>
      <c r="G896" s="28"/>
      <c r="H896" s="32"/>
    </row>
    <row r="897" spans="1:8" x14ac:dyDescent="0.3">
      <c r="A897" s="27"/>
      <c r="B897" s="28"/>
      <c r="C897" s="24"/>
      <c r="D897" s="25"/>
      <c r="E897" s="25"/>
      <c r="F897" s="28"/>
      <c r="G897" s="28"/>
      <c r="H897" s="32"/>
    </row>
    <row r="898" spans="1:8" x14ac:dyDescent="0.3">
      <c r="A898" s="27"/>
      <c r="B898" s="28"/>
      <c r="C898" s="24"/>
      <c r="D898" s="25"/>
      <c r="E898" s="25"/>
      <c r="F898" s="28"/>
      <c r="G898" s="28"/>
      <c r="H898" s="32"/>
    </row>
    <row r="899" spans="1:8" x14ac:dyDescent="0.3">
      <c r="A899" s="27"/>
      <c r="B899" s="28"/>
      <c r="C899" s="24"/>
      <c r="D899" s="25"/>
      <c r="E899" s="25"/>
      <c r="F899" s="28"/>
      <c r="G899" s="28"/>
      <c r="H899" s="32"/>
    </row>
    <row r="900" spans="1:8" x14ac:dyDescent="0.3">
      <c r="A900" s="27"/>
      <c r="B900" s="28"/>
      <c r="C900" s="24"/>
      <c r="D900" s="25"/>
      <c r="E900" s="25"/>
      <c r="F900" s="28"/>
      <c r="G900" s="28"/>
      <c r="H900" s="32"/>
    </row>
    <row r="901" spans="1:8" x14ac:dyDescent="0.3">
      <c r="A901" s="27"/>
      <c r="B901" s="28"/>
      <c r="C901" s="24"/>
      <c r="D901" s="25"/>
      <c r="E901" s="25"/>
      <c r="F901" s="28"/>
      <c r="G901" s="28"/>
      <c r="H901" s="32"/>
    </row>
    <row r="902" spans="1:8" x14ac:dyDescent="0.3">
      <c r="A902" s="27"/>
      <c r="B902" s="28"/>
      <c r="C902" s="24"/>
      <c r="D902" s="25"/>
      <c r="E902" s="25"/>
      <c r="F902" s="28"/>
      <c r="G902" s="28"/>
      <c r="H902" s="32"/>
    </row>
    <row r="903" spans="1:8" ht="15.6" x14ac:dyDescent="0.3">
      <c r="A903" s="448" t="s">
        <v>45</v>
      </c>
      <c r="B903" s="449"/>
      <c r="C903" s="449"/>
      <c r="D903" s="25"/>
      <c r="E903" s="25"/>
      <c r="F903" s="447" t="s">
        <v>46</v>
      </c>
      <c r="G903" s="447"/>
      <c r="H903" s="66">
        <f>(C881*E881)+(C882*E882)+(C883*E883)</f>
        <v>13600</v>
      </c>
    </row>
    <row r="904" spans="1:8" ht="15.6" x14ac:dyDescent="0.3">
      <c r="A904" s="497" t="s">
        <v>213</v>
      </c>
      <c r="B904" s="498"/>
      <c r="C904" s="498"/>
      <c r="D904" s="498"/>
      <c r="E904" s="498"/>
      <c r="F904" s="447" t="s">
        <v>47</v>
      </c>
      <c r="G904" s="447"/>
      <c r="H904" s="66">
        <f>H903*9%</f>
        <v>1224</v>
      </c>
    </row>
    <row r="905" spans="1:8" ht="15.6" x14ac:dyDescent="0.3">
      <c r="A905" s="27"/>
      <c r="B905" s="28"/>
      <c r="C905" s="24"/>
      <c r="D905" s="25"/>
      <c r="E905" s="25"/>
      <c r="F905" s="447" t="s">
        <v>48</v>
      </c>
      <c r="G905" s="447"/>
      <c r="H905" s="66">
        <f>H903*9%</f>
        <v>1224</v>
      </c>
    </row>
    <row r="906" spans="1:8" ht="15.6" x14ac:dyDescent="0.3">
      <c r="A906" s="448" t="s">
        <v>49</v>
      </c>
      <c r="B906" s="449"/>
      <c r="C906" s="449"/>
      <c r="D906" s="449"/>
      <c r="E906" s="25"/>
      <c r="F906" s="447" t="s">
        <v>50</v>
      </c>
      <c r="G906" s="447"/>
      <c r="H906" s="66">
        <v>16048</v>
      </c>
    </row>
    <row r="907" spans="1:8" ht="27" x14ac:dyDescent="0.3">
      <c r="A907" s="68" t="s">
        <v>22</v>
      </c>
      <c r="B907" s="69" t="s">
        <v>51</v>
      </c>
      <c r="C907" s="70" t="s">
        <v>24</v>
      </c>
      <c r="D907" s="31" t="s">
        <v>25</v>
      </c>
      <c r="E907" s="450" t="s">
        <v>52</v>
      </c>
      <c r="F907" s="450"/>
      <c r="G907" s="28"/>
      <c r="H907" s="32"/>
    </row>
    <row r="908" spans="1:8" x14ac:dyDescent="0.3">
      <c r="A908" s="72">
        <v>0.18</v>
      </c>
      <c r="B908" s="73">
        <f>H903</f>
        <v>13600</v>
      </c>
      <c r="C908" s="74">
        <f>H904</f>
        <v>1224</v>
      </c>
      <c r="D908" s="74">
        <f>H905</f>
        <v>1224</v>
      </c>
      <c r="E908" s="507">
        <f>C908+D908</f>
        <v>2448</v>
      </c>
      <c r="F908" s="507"/>
      <c r="G908" s="74"/>
      <c r="H908" s="75"/>
    </row>
    <row r="909" spans="1:8" x14ac:dyDescent="0.3">
      <c r="A909" s="452" t="s">
        <v>214</v>
      </c>
      <c r="B909" s="453"/>
      <c r="C909" s="453"/>
      <c r="D909" s="453"/>
      <c r="E909" s="453"/>
      <c r="F909" s="453"/>
      <c r="G909" s="453"/>
      <c r="H909" s="454"/>
    </row>
    <row r="910" spans="1:8" ht="15.6" x14ac:dyDescent="0.3">
      <c r="A910" s="455" t="s">
        <v>53</v>
      </c>
      <c r="B910" s="456"/>
      <c r="C910" s="456"/>
      <c r="D910" s="457"/>
      <c r="E910" s="458" t="s">
        <v>54</v>
      </c>
      <c r="F910" s="459"/>
      <c r="G910" s="459"/>
      <c r="H910" s="460"/>
    </row>
    <row r="911" spans="1:8" x14ac:dyDescent="0.3">
      <c r="A911" s="461" t="s">
        <v>55</v>
      </c>
      <c r="B911" s="462"/>
      <c r="C911" s="462"/>
      <c r="D911" s="463"/>
      <c r="E911" s="39"/>
      <c r="F911" s="28"/>
      <c r="G911" s="28"/>
      <c r="H911" s="32"/>
    </row>
    <row r="912" spans="1:8" x14ac:dyDescent="0.3">
      <c r="A912" s="461" t="s">
        <v>56</v>
      </c>
      <c r="B912" s="462"/>
      <c r="C912" s="462"/>
      <c r="D912" s="463"/>
      <c r="E912" s="39"/>
      <c r="F912" s="28"/>
      <c r="G912" s="28"/>
      <c r="H912" s="32"/>
    </row>
    <row r="913" spans="1:9" x14ac:dyDescent="0.3">
      <c r="A913" s="461" t="s">
        <v>57</v>
      </c>
      <c r="B913" s="462"/>
      <c r="C913" s="462"/>
      <c r="D913" s="463"/>
      <c r="E913" s="167"/>
      <c r="H913" s="168"/>
    </row>
    <row r="914" spans="1:9" ht="15.6" x14ac:dyDescent="0.3">
      <c r="A914" s="464" t="s">
        <v>58</v>
      </c>
      <c r="B914" s="465"/>
      <c r="C914" s="465"/>
      <c r="D914" s="510"/>
      <c r="E914" s="466" t="s">
        <v>59</v>
      </c>
      <c r="F914" s="467"/>
      <c r="G914" s="467"/>
      <c r="H914" s="468"/>
    </row>
    <row r="918" spans="1:9" ht="44.4" x14ac:dyDescent="0.7">
      <c r="A918" s="469" t="s">
        <v>0</v>
      </c>
      <c r="B918" s="470"/>
      <c r="C918" s="470"/>
      <c r="D918" s="470"/>
      <c r="E918" s="471" t="s">
        <v>1</v>
      </c>
      <c r="F918" s="472"/>
      <c r="G918" s="472"/>
      <c r="H918" s="473"/>
    </row>
    <row r="919" spans="1:9" ht="20.399999999999999" x14ac:dyDescent="0.35">
      <c r="A919" s="156"/>
      <c r="B919" s="476" t="s">
        <v>2</v>
      </c>
      <c r="C919" s="476"/>
      <c r="D919" s="476"/>
      <c r="E919" s="474"/>
      <c r="F919" s="474"/>
      <c r="G919" s="474"/>
      <c r="H919" s="475"/>
    </row>
    <row r="920" spans="1:9" x14ac:dyDescent="0.3">
      <c r="A920" s="157" t="s">
        <v>3</v>
      </c>
      <c r="B920" s="137"/>
      <c r="C920" s="136"/>
      <c r="D920" s="499" t="s">
        <v>4</v>
      </c>
      <c r="E920" s="499"/>
      <c r="F920" s="137"/>
      <c r="G920" s="137" t="s">
        <v>134</v>
      </c>
      <c r="H920" s="120"/>
    </row>
    <row r="921" spans="1:9" ht="15.6" x14ac:dyDescent="0.3">
      <c r="A921" s="158" t="s">
        <v>6</v>
      </c>
      <c r="B921" s="5"/>
      <c r="C921" s="481" t="s">
        <v>7</v>
      </c>
      <c r="D921" s="481"/>
      <c r="E921" s="482">
        <v>21</v>
      </c>
      <c r="F921" s="482"/>
      <c r="G921" s="7" t="s">
        <v>8</v>
      </c>
      <c r="H921" s="9" t="s">
        <v>221</v>
      </c>
    </row>
    <row r="922" spans="1:9" ht="15.6" x14ac:dyDescent="0.3">
      <c r="A922" s="551" t="s">
        <v>217</v>
      </c>
      <c r="B922" s="552"/>
      <c r="C922" s="481" t="s">
        <v>10</v>
      </c>
      <c r="D922" s="481"/>
      <c r="E922" s="482"/>
      <c r="F922" s="482"/>
      <c r="G922" s="7" t="s">
        <v>8</v>
      </c>
      <c r="H922" s="9"/>
    </row>
    <row r="923" spans="1:9" ht="15" x14ac:dyDescent="0.3">
      <c r="A923" s="517" t="s">
        <v>218</v>
      </c>
      <c r="B923" s="553"/>
      <c r="C923" s="483" t="s">
        <v>12</v>
      </c>
      <c r="D923" s="484"/>
      <c r="E923" s="584"/>
      <c r="F923" s="585"/>
      <c r="G923" s="10" t="s">
        <v>8</v>
      </c>
      <c r="H923" s="82"/>
    </row>
    <row r="924" spans="1:9" ht="15.6" x14ac:dyDescent="0.3">
      <c r="A924" s="556" t="s">
        <v>219</v>
      </c>
      <c r="B924" s="557"/>
      <c r="C924" s="481" t="s">
        <v>15</v>
      </c>
      <c r="D924" s="481"/>
      <c r="E924" s="502" t="s">
        <v>220</v>
      </c>
      <c r="F924" s="503"/>
      <c r="G924" s="503"/>
      <c r="H924" s="504"/>
    </row>
    <row r="925" spans="1:9" ht="15.6" x14ac:dyDescent="0.3">
      <c r="A925" s="558" t="s">
        <v>222</v>
      </c>
      <c r="B925" s="559"/>
      <c r="C925" s="489"/>
      <c r="D925" s="490"/>
      <c r="E925" s="490"/>
      <c r="F925" s="490"/>
      <c r="G925" s="490"/>
      <c r="H925" s="491"/>
    </row>
    <row r="926" spans="1:9" ht="15" x14ac:dyDescent="0.3">
      <c r="A926" s="492" t="s">
        <v>17</v>
      </c>
      <c r="B926" s="494" t="s">
        <v>18</v>
      </c>
      <c r="C926" s="494" t="s">
        <v>19</v>
      </c>
      <c r="D926" s="494" t="s">
        <v>20</v>
      </c>
      <c r="E926" s="494" t="s">
        <v>21</v>
      </c>
      <c r="F926" s="494" t="s">
        <v>22</v>
      </c>
      <c r="G926" s="494"/>
      <c r="H926" s="492" t="s">
        <v>23</v>
      </c>
    </row>
    <row r="927" spans="1:9" ht="27.6" x14ac:dyDescent="0.3">
      <c r="A927" s="492"/>
      <c r="B927" s="494"/>
      <c r="C927" s="494"/>
      <c r="D927" s="494"/>
      <c r="E927" s="494"/>
      <c r="F927" s="53" t="s">
        <v>24</v>
      </c>
      <c r="G927" s="53" t="s">
        <v>25</v>
      </c>
      <c r="H927" s="492"/>
    </row>
    <row r="928" spans="1:9" x14ac:dyDescent="0.3">
      <c r="A928" s="57">
        <v>1</v>
      </c>
      <c r="B928" s="60" t="s">
        <v>223</v>
      </c>
      <c r="C928" s="57">
        <v>5</v>
      </c>
      <c r="D928" s="83">
        <v>998719</v>
      </c>
      <c r="E928" s="57">
        <v>3500</v>
      </c>
      <c r="F928" s="58">
        <f>E928*C928*9%</f>
        <v>1575</v>
      </c>
      <c r="G928" s="58">
        <f>F928</f>
        <v>1575</v>
      </c>
      <c r="H928" s="59">
        <f>G928+F928+E928*C928</f>
        <v>20650</v>
      </c>
      <c r="I928" s="362">
        <f>E928*C928</f>
        <v>17500</v>
      </c>
    </row>
    <row r="929" spans="1:9" x14ac:dyDescent="0.3">
      <c r="A929" s="57">
        <v>2</v>
      </c>
      <c r="B929" s="60" t="s">
        <v>224</v>
      </c>
      <c r="C929" s="57">
        <v>45</v>
      </c>
      <c r="D929" s="83">
        <v>998719</v>
      </c>
      <c r="E929" s="57">
        <v>250</v>
      </c>
      <c r="F929" s="58">
        <f>E929*C929*9%</f>
        <v>1012.5</v>
      </c>
      <c r="G929" s="58">
        <f>F929</f>
        <v>1012.5</v>
      </c>
      <c r="H929" s="59">
        <f>G929+F929+E929*C929</f>
        <v>13275</v>
      </c>
      <c r="I929" s="362">
        <f>E929*C929</f>
        <v>11250</v>
      </c>
    </row>
    <row r="930" spans="1:9" x14ac:dyDescent="0.3">
      <c r="A930" s="57">
        <v>3</v>
      </c>
      <c r="B930" s="60" t="s">
        <v>225</v>
      </c>
      <c r="C930" s="57">
        <v>1</v>
      </c>
      <c r="D930" s="83">
        <v>998719</v>
      </c>
      <c r="E930" s="57">
        <v>28000</v>
      </c>
      <c r="F930" s="58">
        <f>E930*C930*9%</f>
        <v>2520</v>
      </c>
      <c r="G930" s="58">
        <f>F930</f>
        <v>2520</v>
      </c>
      <c r="H930" s="59">
        <f>G930+F930+E930*C930</f>
        <v>33040</v>
      </c>
      <c r="I930" s="362">
        <f>E930*C930</f>
        <v>28000</v>
      </c>
    </row>
    <row r="931" spans="1:9" x14ac:dyDescent="0.3">
      <c r="A931" s="57"/>
      <c r="B931" s="60"/>
      <c r="C931" s="57"/>
      <c r="D931" s="83"/>
      <c r="E931" s="57"/>
      <c r="F931" s="58"/>
      <c r="G931" s="58"/>
      <c r="H931" s="59"/>
    </row>
    <row r="932" spans="1:9" x14ac:dyDescent="0.3">
      <c r="A932" s="173"/>
      <c r="B932" s="174"/>
      <c r="C932" s="175"/>
      <c r="D932" s="176"/>
      <c r="E932" s="175"/>
      <c r="F932" s="165"/>
      <c r="G932" s="165"/>
      <c r="H932" s="166"/>
    </row>
    <row r="933" spans="1:9" x14ac:dyDescent="0.3">
      <c r="A933" s="27"/>
      <c r="B933" s="88"/>
      <c r="C933" s="24"/>
      <c r="D933" s="89"/>
      <c r="E933" s="24"/>
      <c r="F933" s="133"/>
      <c r="G933" s="133"/>
      <c r="H933" s="134"/>
    </row>
    <row r="934" spans="1:9" x14ac:dyDescent="0.3">
      <c r="A934" s="27"/>
      <c r="B934" s="88"/>
      <c r="C934" s="24"/>
      <c r="D934" s="89"/>
      <c r="E934" s="24"/>
      <c r="F934" s="133"/>
      <c r="G934" s="133"/>
      <c r="H934" s="134"/>
    </row>
    <row r="935" spans="1:9" x14ac:dyDescent="0.3">
      <c r="A935" s="27"/>
      <c r="B935" s="88"/>
      <c r="C935" s="24"/>
      <c r="D935" s="89"/>
      <c r="E935" s="24"/>
      <c r="F935" s="133"/>
      <c r="G935" s="133"/>
      <c r="H935" s="134"/>
    </row>
    <row r="936" spans="1:9" x14ac:dyDescent="0.3">
      <c r="A936" s="27"/>
      <c r="B936" s="88"/>
      <c r="C936" s="24"/>
      <c r="D936" s="89"/>
      <c r="E936" s="24"/>
      <c r="F936" s="133"/>
      <c r="G936" s="133"/>
      <c r="H936" s="134"/>
    </row>
    <row r="937" spans="1:9" x14ac:dyDescent="0.3">
      <c r="A937" s="27"/>
      <c r="B937" s="88"/>
      <c r="C937" s="24"/>
      <c r="D937" s="89"/>
      <c r="E937" s="24"/>
      <c r="F937" s="133"/>
      <c r="G937" s="133"/>
      <c r="H937" s="134"/>
    </row>
    <row r="938" spans="1:9" x14ac:dyDescent="0.3">
      <c r="A938" s="27"/>
      <c r="B938" s="88"/>
      <c r="C938" s="24"/>
      <c r="D938" s="89"/>
      <c r="E938" s="24"/>
      <c r="F938" s="133"/>
      <c r="G938" s="133"/>
      <c r="H938" s="134"/>
    </row>
    <row r="939" spans="1:9" x14ac:dyDescent="0.3">
      <c r="A939" s="27"/>
      <c r="B939" s="88"/>
      <c r="C939" s="24"/>
      <c r="D939" s="89"/>
      <c r="E939" s="24"/>
      <c r="F939" s="133"/>
      <c r="G939" s="133"/>
      <c r="H939" s="134"/>
    </row>
    <row r="940" spans="1:9" x14ac:dyDescent="0.3">
      <c r="A940" s="27"/>
      <c r="B940" s="88"/>
      <c r="C940" s="24"/>
      <c r="D940" s="89"/>
      <c r="E940" s="24"/>
      <c r="F940" s="133"/>
      <c r="G940" s="133"/>
      <c r="H940" s="134"/>
    </row>
    <row r="941" spans="1:9" x14ac:dyDescent="0.3">
      <c r="A941" s="27"/>
      <c r="B941" s="88"/>
      <c r="C941" s="24"/>
      <c r="D941" s="89"/>
      <c r="E941" s="24"/>
      <c r="F941" s="133"/>
      <c r="G941" s="133"/>
      <c r="H941" s="134"/>
    </row>
    <row r="942" spans="1:9" x14ac:dyDescent="0.3">
      <c r="A942" s="27"/>
      <c r="B942" s="28"/>
      <c r="C942" s="24"/>
      <c r="D942" s="89"/>
      <c r="E942" s="25"/>
      <c r="F942" s="25"/>
      <c r="G942" s="25"/>
      <c r="H942" s="32"/>
    </row>
    <row r="943" spans="1:9" x14ac:dyDescent="0.3">
      <c r="A943" s="27"/>
      <c r="B943" s="28"/>
      <c r="C943" s="24"/>
      <c r="D943" s="89"/>
      <c r="E943" s="25"/>
      <c r="F943" s="25"/>
      <c r="G943" s="25"/>
      <c r="H943" s="32"/>
    </row>
    <row r="944" spans="1:9" x14ac:dyDescent="0.3">
      <c r="A944" s="159"/>
      <c r="B944" s="28"/>
      <c r="C944" s="24"/>
      <c r="D944" s="25"/>
      <c r="E944" s="25"/>
      <c r="F944" s="28"/>
      <c r="G944" s="28"/>
      <c r="H944" s="32"/>
    </row>
    <row r="945" spans="1:8" x14ac:dyDescent="0.3">
      <c r="A945" s="159"/>
      <c r="B945" s="28"/>
      <c r="C945" s="24"/>
      <c r="D945" s="25"/>
      <c r="E945" s="25"/>
      <c r="F945" s="28"/>
      <c r="G945" s="28"/>
      <c r="H945" s="32"/>
    </row>
    <row r="946" spans="1:8" x14ac:dyDescent="0.3">
      <c r="A946" s="159"/>
      <c r="B946" s="28"/>
      <c r="C946" s="24"/>
      <c r="D946" s="25"/>
      <c r="E946" s="25"/>
      <c r="F946" s="28"/>
      <c r="G946" s="28"/>
      <c r="H946" s="32"/>
    </row>
    <row r="947" spans="1:8" x14ac:dyDescent="0.3">
      <c r="A947" s="159"/>
      <c r="B947" s="28"/>
      <c r="C947" s="24"/>
      <c r="D947" s="25"/>
      <c r="E947" s="25"/>
      <c r="F947" s="28"/>
      <c r="G947" s="28"/>
      <c r="H947" s="32"/>
    </row>
    <row r="948" spans="1:8" x14ac:dyDescent="0.3">
      <c r="A948" s="159"/>
      <c r="B948" s="28"/>
      <c r="C948" s="24"/>
      <c r="D948" s="25"/>
      <c r="E948" s="25"/>
      <c r="F948" s="28"/>
      <c r="G948" s="28"/>
      <c r="H948" s="32"/>
    </row>
    <row r="949" spans="1:8" x14ac:dyDescent="0.3">
      <c r="A949" s="159"/>
      <c r="B949" s="28"/>
      <c r="C949" s="24"/>
      <c r="D949" s="25"/>
      <c r="E949" s="25"/>
      <c r="F949" s="28"/>
      <c r="G949" s="28"/>
      <c r="H949" s="32"/>
    </row>
    <row r="950" spans="1:8" ht="15.6" x14ac:dyDescent="0.3">
      <c r="A950" s="64" t="s">
        <v>45</v>
      </c>
      <c r="B950" s="28"/>
      <c r="C950" s="24"/>
      <c r="D950" s="25"/>
      <c r="E950" s="25"/>
      <c r="F950" s="447" t="s">
        <v>46</v>
      </c>
      <c r="G950" s="447"/>
      <c r="H950" s="66">
        <v>56750</v>
      </c>
    </row>
    <row r="951" spans="1:8" ht="15.6" x14ac:dyDescent="0.3">
      <c r="A951" s="497" t="s">
        <v>226</v>
      </c>
      <c r="B951" s="498"/>
      <c r="C951" s="498"/>
      <c r="D951" s="498"/>
      <c r="E951" s="498"/>
      <c r="F951" s="447" t="s">
        <v>47</v>
      </c>
      <c r="G951" s="447"/>
      <c r="H951" s="66">
        <f>H950*9%</f>
        <v>5107.5</v>
      </c>
    </row>
    <row r="952" spans="1:8" ht="15.6" x14ac:dyDescent="0.3">
      <c r="A952" s="159"/>
      <c r="B952" s="28"/>
      <c r="C952" s="24"/>
      <c r="D952" s="25"/>
      <c r="E952" s="25"/>
      <c r="F952" s="447" t="s">
        <v>48</v>
      </c>
      <c r="G952" s="447"/>
      <c r="H952" s="66">
        <f>H950*9%</f>
        <v>5107.5</v>
      </c>
    </row>
    <row r="953" spans="1:8" ht="15.6" x14ac:dyDescent="0.3">
      <c r="A953" s="64" t="s">
        <v>49</v>
      </c>
      <c r="B953" s="28"/>
      <c r="C953" s="24"/>
      <c r="D953" s="25"/>
      <c r="E953" s="25"/>
      <c r="F953" s="447" t="s">
        <v>50</v>
      </c>
      <c r="G953" s="447"/>
      <c r="H953" s="66">
        <f>H950+H951+H952</f>
        <v>66965</v>
      </c>
    </row>
    <row r="954" spans="1:8" ht="27" x14ac:dyDescent="0.3">
      <c r="A954" s="68" t="s">
        <v>22</v>
      </c>
      <c r="B954" s="30" t="s">
        <v>51</v>
      </c>
      <c r="C954" s="70" t="s">
        <v>24</v>
      </c>
      <c r="D954" s="31" t="s">
        <v>25</v>
      </c>
      <c r="E954" s="450" t="s">
        <v>52</v>
      </c>
      <c r="F954" s="450"/>
      <c r="G954" s="28"/>
      <c r="H954" s="32"/>
    </row>
    <row r="955" spans="1:8" x14ac:dyDescent="0.3">
      <c r="A955" s="72">
        <v>0.18</v>
      </c>
      <c r="B955" s="73">
        <f>H950</f>
        <v>56750</v>
      </c>
      <c r="C955" s="74">
        <f>H951</f>
        <v>5107.5</v>
      </c>
      <c r="D955" s="74">
        <f>H951</f>
        <v>5107.5</v>
      </c>
      <c r="E955" s="507">
        <f>C955+D955</f>
        <v>10215</v>
      </c>
      <c r="F955" s="507"/>
      <c r="G955" s="74"/>
      <c r="H955" s="75"/>
    </row>
    <row r="956" spans="1:8" x14ac:dyDescent="0.3">
      <c r="A956" s="508" t="s">
        <v>227</v>
      </c>
      <c r="B956" s="509"/>
      <c r="C956" s="509"/>
      <c r="D956" s="509"/>
      <c r="E956" s="453"/>
      <c r="F956" s="453"/>
      <c r="G956" s="453"/>
      <c r="H956" s="454"/>
    </row>
    <row r="957" spans="1:8" ht="15.6" x14ac:dyDescent="0.3">
      <c r="A957" s="455" t="s">
        <v>53</v>
      </c>
      <c r="B957" s="456"/>
      <c r="C957" s="456"/>
      <c r="D957" s="457"/>
      <c r="E957" s="458" t="s">
        <v>54</v>
      </c>
      <c r="F957" s="459"/>
      <c r="G957" s="459"/>
      <c r="H957" s="460"/>
    </row>
    <row r="958" spans="1:8" x14ac:dyDescent="0.3">
      <c r="A958" s="461" t="s">
        <v>55</v>
      </c>
      <c r="B958" s="462"/>
      <c r="C958" s="462"/>
      <c r="D958" s="463"/>
      <c r="E958" s="39"/>
      <c r="F958" s="25"/>
      <c r="G958" s="28"/>
      <c r="H958" s="32"/>
    </row>
    <row r="959" spans="1:8" x14ac:dyDescent="0.3">
      <c r="A959" s="461" t="s">
        <v>56</v>
      </c>
      <c r="B959" s="462"/>
      <c r="C959" s="462"/>
      <c r="D959" s="463"/>
      <c r="E959" s="39"/>
      <c r="F959" s="25"/>
      <c r="G959" s="28"/>
      <c r="H959" s="32"/>
    </row>
    <row r="960" spans="1:8" x14ac:dyDescent="0.3">
      <c r="A960" s="461" t="s">
        <v>57</v>
      </c>
      <c r="B960" s="462"/>
      <c r="C960" s="462"/>
      <c r="D960" s="463"/>
      <c r="E960" s="25"/>
      <c r="F960" s="25"/>
      <c r="G960" s="28"/>
      <c r="H960" s="32"/>
    </row>
    <row r="961" spans="1:8" ht="15.6" x14ac:dyDescent="0.3">
      <c r="A961" s="464" t="s">
        <v>58</v>
      </c>
      <c r="B961" s="465"/>
      <c r="C961" s="465"/>
      <c r="D961" s="510"/>
      <c r="E961" s="466" t="s">
        <v>59</v>
      </c>
      <c r="F961" s="467"/>
      <c r="G961" s="467"/>
      <c r="H961" s="468"/>
    </row>
    <row r="965" spans="1:8" ht="44.4" x14ac:dyDescent="0.7">
      <c r="A965" s="469" t="s">
        <v>0</v>
      </c>
      <c r="B965" s="470"/>
      <c r="C965" s="470"/>
      <c r="D965" s="470"/>
      <c r="E965" s="471" t="s">
        <v>92</v>
      </c>
      <c r="F965" s="472"/>
      <c r="G965" s="472"/>
      <c r="H965" s="473"/>
    </row>
    <row r="966" spans="1:8" ht="20.399999999999999" x14ac:dyDescent="0.35">
      <c r="A966" s="1"/>
      <c r="B966" s="476" t="s">
        <v>2</v>
      </c>
      <c r="C966" s="476"/>
      <c r="D966" s="476"/>
      <c r="E966" s="474"/>
      <c r="F966" s="474"/>
      <c r="G966" s="474"/>
      <c r="H966" s="475"/>
    </row>
    <row r="967" spans="1:8" x14ac:dyDescent="0.3">
      <c r="A967" s="477" t="s">
        <v>3</v>
      </c>
      <c r="B967" s="478"/>
      <c r="C967" s="136"/>
      <c r="D967" s="499" t="s">
        <v>4</v>
      </c>
      <c r="E967" s="499"/>
      <c r="F967" s="137"/>
      <c r="G967" s="575" t="s">
        <v>134</v>
      </c>
      <c r="H967" s="576"/>
    </row>
    <row r="968" spans="1:8" ht="15.6" x14ac:dyDescent="0.3">
      <c r="A968" s="4" t="s">
        <v>6</v>
      </c>
      <c r="B968" s="5"/>
      <c r="C968" s="481" t="s">
        <v>7</v>
      </c>
      <c r="D968" s="481"/>
      <c r="E968" s="482">
        <v>22</v>
      </c>
      <c r="F968" s="482"/>
      <c r="G968" s="7" t="s">
        <v>8</v>
      </c>
      <c r="H968" s="8" t="s">
        <v>221</v>
      </c>
    </row>
    <row r="969" spans="1:8" ht="15.6" x14ac:dyDescent="0.3">
      <c r="A969" s="556" t="s">
        <v>177</v>
      </c>
      <c r="B969" s="557"/>
      <c r="C969" s="481" t="s">
        <v>10</v>
      </c>
      <c r="D969" s="481"/>
      <c r="E969" s="482"/>
      <c r="F969" s="482"/>
      <c r="G969" s="7" t="s">
        <v>8</v>
      </c>
      <c r="H969" s="6"/>
    </row>
    <row r="970" spans="1:8" ht="15.6" x14ac:dyDescent="0.3">
      <c r="A970" s="577" t="s">
        <v>178</v>
      </c>
      <c r="B970" s="578"/>
      <c r="C970" s="481" t="s">
        <v>12</v>
      </c>
      <c r="D970" s="481"/>
      <c r="E970" s="482"/>
      <c r="F970" s="482"/>
      <c r="G970" s="7" t="s">
        <v>8</v>
      </c>
      <c r="H970" s="8"/>
    </row>
    <row r="971" spans="1:8" ht="15.6" x14ac:dyDescent="0.3">
      <c r="A971" s="556" t="s">
        <v>179</v>
      </c>
      <c r="B971" s="557"/>
      <c r="C971" s="481" t="s">
        <v>15</v>
      </c>
      <c r="D971" s="481"/>
      <c r="E971" s="566" t="s">
        <v>180</v>
      </c>
      <c r="F971" s="567"/>
      <c r="G971" s="567"/>
      <c r="H971" s="568"/>
    </row>
    <row r="972" spans="1:8" ht="15.6" x14ac:dyDescent="0.3">
      <c r="A972" s="558" t="s">
        <v>182</v>
      </c>
      <c r="B972" s="559"/>
      <c r="C972" s="569"/>
      <c r="D972" s="570"/>
      <c r="E972" s="570"/>
      <c r="F972" s="570"/>
      <c r="G972" s="570"/>
      <c r="H972" s="571"/>
    </row>
    <row r="973" spans="1:8" ht="15" x14ac:dyDescent="0.3">
      <c r="A973" s="492" t="s">
        <v>17</v>
      </c>
      <c r="B973" s="494" t="s">
        <v>18</v>
      </c>
      <c r="C973" s="494" t="s">
        <v>19</v>
      </c>
      <c r="D973" s="494" t="s">
        <v>20</v>
      </c>
      <c r="E973" s="494" t="s">
        <v>21</v>
      </c>
      <c r="F973" s="494" t="s">
        <v>22</v>
      </c>
      <c r="G973" s="494"/>
      <c r="H973" s="492" t="s">
        <v>23</v>
      </c>
    </row>
    <row r="974" spans="1:8" ht="27.6" x14ac:dyDescent="0.3">
      <c r="A974" s="492"/>
      <c r="B974" s="494"/>
      <c r="C974" s="494"/>
      <c r="D974" s="494"/>
      <c r="E974" s="494"/>
      <c r="F974" s="53" t="s">
        <v>24</v>
      </c>
      <c r="G974" s="53" t="s">
        <v>25</v>
      </c>
      <c r="H974" s="492"/>
    </row>
    <row r="975" spans="1:8" x14ac:dyDescent="0.3">
      <c r="A975" s="57">
        <v>1</v>
      </c>
      <c r="B975" s="113" t="s">
        <v>228</v>
      </c>
      <c r="C975" s="57">
        <v>2</v>
      </c>
      <c r="D975" s="171">
        <v>32089090</v>
      </c>
      <c r="E975" s="57">
        <v>1670</v>
      </c>
      <c r="F975" s="58">
        <f>C975*E975*9%</f>
        <v>300.59999999999997</v>
      </c>
      <c r="G975" s="58">
        <f>C975*E975*9%</f>
        <v>300.59999999999997</v>
      </c>
      <c r="H975" s="59">
        <f>C975*E975+F975+G975</f>
        <v>3941.2</v>
      </c>
    </row>
    <row r="976" spans="1:8" x14ac:dyDescent="0.3">
      <c r="A976" s="57"/>
      <c r="B976" s="60"/>
      <c r="C976" s="57"/>
      <c r="D976" s="56"/>
      <c r="E976" s="57"/>
      <c r="F976" s="58"/>
      <c r="G976" s="58"/>
      <c r="H976" s="59"/>
    </row>
    <row r="977" spans="1:8" x14ac:dyDescent="0.3">
      <c r="A977" s="55"/>
      <c r="B977" s="63"/>
      <c r="C977" s="55"/>
      <c r="D977" s="56"/>
      <c r="E977" s="55"/>
      <c r="F977" s="58"/>
      <c r="G977" s="58"/>
      <c r="H977" s="59"/>
    </row>
    <row r="978" spans="1:8" x14ac:dyDescent="0.3">
      <c r="A978" s="90"/>
      <c r="B978" s="132"/>
      <c r="C978" s="24"/>
      <c r="D978" s="164"/>
      <c r="E978" s="24"/>
      <c r="F978" s="165"/>
      <c r="G978" s="165"/>
      <c r="H978" s="166"/>
    </row>
    <row r="979" spans="1:8" x14ac:dyDescent="0.3">
      <c r="A979" s="90"/>
      <c r="B979" s="132"/>
      <c r="C979" s="24"/>
      <c r="D979" s="164"/>
      <c r="E979" s="24"/>
      <c r="F979" s="165"/>
      <c r="G979" s="165"/>
      <c r="H979" s="166"/>
    </row>
    <row r="980" spans="1:8" x14ac:dyDescent="0.3">
      <c r="A980" s="90"/>
      <c r="B980" s="132"/>
      <c r="C980" s="24"/>
      <c r="D980" s="164"/>
      <c r="E980" s="24"/>
      <c r="F980" s="165"/>
      <c r="G980" s="165"/>
      <c r="H980" s="166"/>
    </row>
    <row r="981" spans="1:8" x14ac:dyDescent="0.3">
      <c r="A981" s="27"/>
      <c r="B981" s="132"/>
      <c r="C981" s="24"/>
      <c r="D981" s="25"/>
      <c r="E981" s="25"/>
      <c r="F981" s="165"/>
      <c r="G981" s="165"/>
      <c r="H981" s="166"/>
    </row>
    <row r="982" spans="1:8" x14ac:dyDescent="0.3">
      <c r="A982" s="27"/>
      <c r="B982" s="28"/>
      <c r="C982" s="24"/>
      <c r="D982" s="25"/>
      <c r="E982" s="25"/>
      <c r="F982" s="165"/>
      <c r="G982" s="165"/>
      <c r="H982" s="166"/>
    </row>
    <row r="983" spans="1:8" x14ac:dyDescent="0.3">
      <c r="A983" s="27"/>
      <c r="B983" s="28"/>
      <c r="C983" s="24"/>
      <c r="D983" s="25"/>
      <c r="E983" s="25"/>
      <c r="F983" s="165"/>
      <c r="G983" s="165"/>
      <c r="H983" s="166"/>
    </row>
    <row r="984" spans="1:8" x14ac:dyDescent="0.3">
      <c r="A984" s="27"/>
      <c r="B984" s="28"/>
      <c r="C984" s="24"/>
      <c r="D984" s="25"/>
      <c r="E984" s="25"/>
      <c r="F984" s="165"/>
      <c r="G984" s="165"/>
      <c r="H984" s="166"/>
    </row>
    <row r="985" spans="1:8" x14ac:dyDescent="0.3">
      <c r="A985" s="27"/>
      <c r="B985" s="28"/>
      <c r="C985" s="24"/>
      <c r="D985" s="25"/>
      <c r="E985" s="25"/>
      <c r="F985" s="165"/>
      <c r="G985" s="165"/>
      <c r="H985" s="166"/>
    </row>
    <row r="986" spans="1:8" x14ac:dyDescent="0.3">
      <c r="A986" s="27"/>
      <c r="B986" s="28"/>
      <c r="C986" s="24"/>
      <c r="D986" s="25"/>
      <c r="E986" s="25"/>
      <c r="F986" s="165"/>
      <c r="G986" s="165"/>
      <c r="H986" s="166"/>
    </row>
    <row r="987" spans="1:8" x14ac:dyDescent="0.3">
      <c r="A987" s="27"/>
      <c r="B987" s="28"/>
      <c r="C987" s="24"/>
      <c r="D987" s="25"/>
      <c r="E987" s="25"/>
      <c r="F987" s="28"/>
      <c r="G987" s="28"/>
      <c r="H987" s="32"/>
    </row>
    <row r="988" spans="1:8" x14ac:dyDescent="0.3">
      <c r="A988" s="27"/>
      <c r="B988" s="28"/>
      <c r="C988" s="24"/>
      <c r="D988" s="25"/>
      <c r="E988" s="25"/>
      <c r="F988" s="28"/>
      <c r="G988" s="28"/>
      <c r="H988" s="32"/>
    </row>
    <row r="989" spans="1:8" x14ac:dyDescent="0.3">
      <c r="A989" s="27"/>
      <c r="B989" s="28"/>
      <c r="C989" s="24"/>
      <c r="D989" s="25"/>
      <c r="E989" s="25"/>
      <c r="F989" s="28"/>
      <c r="G989" s="28"/>
      <c r="H989" s="32"/>
    </row>
    <row r="990" spans="1:8" x14ac:dyDescent="0.3">
      <c r="A990" s="27"/>
      <c r="B990" s="28"/>
      <c r="C990" s="24"/>
      <c r="D990" s="25"/>
      <c r="E990" s="25"/>
      <c r="F990" s="28"/>
      <c r="G990" s="28"/>
      <c r="H990" s="32"/>
    </row>
    <row r="991" spans="1:8" x14ac:dyDescent="0.3">
      <c r="A991" s="27"/>
      <c r="B991" s="28"/>
      <c r="C991" s="24"/>
      <c r="D991" s="25"/>
      <c r="E991" s="25"/>
      <c r="F991" s="28"/>
      <c r="G991" s="28"/>
      <c r="H991" s="32"/>
    </row>
    <row r="992" spans="1:8" x14ac:dyDescent="0.3">
      <c r="A992" s="27"/>
      <c r="B992" s="28"/>
      <c r="C992" s="24"/>
      <c r="D992" s="25"/>
      <c r="E992" s="25"/>
      <c r="F992" s="28"/>
      <c r="G992" s="28"/>
      <c r="H992" s="32"/>
    </row>
    <row r="993" spans="1:8" x14ac:dyDescent="0.3">
      <c r="A993" s="27"/>
      <c r="B993" s="28"/>
      <c r="C993" s="24"/>
      <c r="D993" s="25"/>
      <c r="E993" s="25"/>
      <c r="F993" s="28"/>
      <c r="G993" s="28"/>
      <c r="H993" s="32"/>
    </row>
    <row r="994" spans="1:8" x14ac:dyDescent="0.3">
      <c r="A994" s="27"/>
      <c r="B994" s="28"/>
      <c r="C994" s="24"/>
      <c r="D994" s="25"/>
      <c r="E994" s="25"/>
      <c r="F994" s="28"/>
      <c r="G994" s="28"/>
      <c r="H994" s="32"/>
    </row>
    <row r="995" spans="1:8" x14ac:dyDescent="0.3">
      <c r="A995" s="27"/>
      <c r="B995" s="28"/>
      <c r="C995" s="24"/>
      <c r="D995" s="25"/>
      <c r="E995" s="25"/>
      <c r="F995" s="28"/>
      <c r="G995" s="28"/>
      <c r="H995" s="32"/>
    </row>
    <row r="996" spans="1:8" x14ac:dyDescent="0.3">
      <c r="A996" s="27"/>
      <c r="B996" s="28"/>
      <c r="C996" s="24"/>
      <c r="D996" s="25"/>
      <c r="E996" s="25"/>
      <c r="F996" s="28"/>
      <c r="G996" s="28"/>
      <c r="H996" s="32"/>
    </row>
    <row r="997" spans="1:8" x14ac:dyDescent="0.3">
      <c r="A997" s="27"/>
      <c r="B997" s="28"/>
      <c r="C997" s="24"/>
      <c r="D997" s="25"/>
      <c r="E997" s="25"/>
      <c r="F997" s="28"/>
      <c r="G997" s="28"/>
      <c r="H997" s="32"/>
    </row>
    <row r="998" spans="1:8" ht="15.6" x14ac:dyDescent="0.3">
      <c r="A998" s="448" t="s">
        <v>45</v>
      </c>
      <c r="B998" s="449"/>
      <c r="C998" s="449"/>
      <c r="D998" s="25"/>
      <c r="E998" s="25"/>
      <c r="F998" s="447" t="s">
        <v>46</v>
      </c>
      <c r="G998" s="447"/>
      <c r="H998" s="66">
        <f>(C975*E975)+(C976*E976)+(C977*E977)</f>
        <v>3340</v>
      </c>
    </row>
    <row r="999" spans="1:8" ht="15.6" x14ac:dyDescent="0.3">
      <c r="A999" s="497" t="s">
        <v>229</v>
      </c>
      <c r="B999" s="498"/>
      <c r="C999" s="498"/>
      <c r="D999" s="498"/>
      <c r="E999" s="498"/>
      <c r="F999" s="447" t="s">
        <v>47</v>
      </c>
      <c r="G999" s="447"/>
      <c r="H999" s="66">
        <f>H998*9%</f>
        <v>300.59999999999997</v>
      </c>
    </row>
    <row r="1000" spans="1:8" ht="15.6" x14ac:dyDescent="0.3">
      <c r="A1000" s="27"/>
      <c r="B1000" s="28"/>
      <c r="C1000" s="24"/>
      <c r="D1000" s="25"/>
      <c r="E1000" s="25"/>
      <c r="F1000" s="447" t="s">
        <v>48</v>
      </c>
      <c r="G1000" s="447"/>
      <c r="H1000" s="66">
        <f>H998*9%</f>
        <v>300.59999999999997</v>
      </c>
    </row>
    <row r="1001" spans="1:8" ht="15.6" x14ac:dyDescent="0.3">
      <c r="A1001" s="448" t="s">
        <v>49</v>
      </c>
      <c r="B1001" s="449"/>
      <c r="C1001" s="449"/>
      <c r="D1001" s="449"/>
      <c r="E1001" s="25"/>
      <c r="F1001" s="447" t="s">
        <v>50</v>
      </c>
      <c r="G1001" s="447"/>
      <c r="H1001" s="66">
        <f>SUM(H998:H1000)</f>
        <v>3941.2</v>
      </c>
    </row>
    <row r="1002" spans="1:8" ht="27" x14ac:dyDescent="0.3">
      <c r="A1002" s="68" t="s">
        <v>22</v>
      </c>
      <c r="B1002" s="69" t="s">
        <v>51</v>
      </c>
      <c r="C1002" s="70" t="s">
        <v>24</v>
      </c>
      <c r="D1002" s="31" t="s">
        <v>25</v>
      </c>
      <c r="E1002" s="450" t="s">
        <v>52</v>
      </c>
      <c r="F1002" s="450"/>
      <c r="G1002" s="28"/>
      <c r="H1002" s="32"/>
    </row>
    <row r="1003" spans="1:8" x14ac:dyDescent="0.3">
      <c r="A1003" s="72">
        <v>0.18</v>
      </c>
      <c r="B1003" s="73">
        <f>H998</f>
        <v>3340</v>
      </c>
      <c r="C1003" s="74">
        <f>H999</f>
        <v>300.59999999999997</v>
      </c>
      <c r="D1003" s="74">
        <f>H1000</f>
        <v>300.59999999999997</v>
      </c>
      <c r="E1003" s="507">
        <f>C1003+D1003</f>
        <v>601.19999999999993</v>
      </c>
      <c r="F1003" s="507"/>
      <c r="G1003" s="74"/>
      <c r="H1003" s="75"/>
    </row>
    <row r="1004" spans="1:8" x14ac:dyDescent="0.3">
      <c r="A1004" s="452" t="s">
        <v>230</v>
      </c>
      <c r="B1004" s="453"/>
      <c r="C1004" s="453"/>
      <c r="D1004" s="453"/>
      <c r="E1004" s="453"/>
      <c r="F1004" s="453"/>
      <c r="G1004" s="453"/>
      <c r="H1004" s="454"/>
    </row>
    <row r="1005" spans="1:8" ht="15.6" x14ac:dyDescent="0.3">
      <c r="A1005" s="455" t="s">
        <v>53</v>
      </c>
      <c r="B1005" s="456"/>
      <c r="C1005" s="456"/>
      <c r="D1005" s="457"/>
      <c r="E1005" s="458" t="s">
        <v>54</v>
      </c>
      <c r="F1005" s="459"/>
      <c r="G1005" s="459"/>
      <c r="H1005" s="460"/>
    </row>
    <row r="1006" spans="1:8" x14ac:dyDescent="0.3">
      <c r="A1006" s="461" t="s">
        <v>55</v>
      </c>
      <c r="B1006" s="462"/>
      <c r="C1006" s="462"/>
      <c r="D1006" s="463"/>
      <c r="E1006" s="39"/>
      <c r="F1006" s="28"/>
      <c r="G1006" s="28"/>
      <c r="H1006" s="32"/>
    </row>
    <row r="1007" spans="1:8" x14ac:dyDescent="0.3">
      <c r="A1007" s="461" t="s">
        <v>56</v>
      </c>
      <c r="B1007" s="462"/>
      <c r="C1007" s="462"/>
      <c r="D1007" s="463"/>
      <c r="E1007" s="39"/>
      <c r="F1007" s="28"/>
      <c r="G1007" s="28"/>
      <c r="H1007" s="32"/>
    </row>
    <row r="1008" spans="1:8" x14ac:dyDescent="0.3">
      <c r="A1008" s="461" t="s">
        <v>57</v>
      </c>
      <c r="B1008" s="462"/>
      <c r="C1008" s="462"/>
      <c r="D1008" s="463"/>
      <c r="E1008" s="167"/>
      <c r="H1008" s="168"/>
    </row>
    <row r="1009" spans="1:9" ht="15.6" x14ac:dyDescent="0.3">
      <c r="A1009" s="464" t="s">
        <v>58</v>
      </c>
      <c r="B1009" s="465"/>
      <c r="C1009" s="465"/>
      <c r="D1009" s="510"/>
      <c r="E1009" s="466" t="s">
        <v>59</v>
      </c>
      <c r="F1009" s="467"/>
      <c r="G1009" s="467"/>
      <c r="H1009" s="468"/>
    </row>
    <row r="1012" spans="1:9" ht="44.4" x14ac:dyDescent="0.7">
      <c r="A1012" s="469" t="s">
        <v>0</v>
      </c>
      <c r="B1012" s="470"/>
      <c r="C1012" s="470"/>
      <c r="D1012" s="470"/>
      <c r="E1012" s="471" t="s">
        <v>92</v>
      </c>
      <c r="F1012" s="472"/>
      <c r="G1012" s="472"/>
      <c r="H1012" s="473"/>
    </row>
    <row r="1013" spans="1:9" ht="20.399999999999999" x14ac:dyDescent="0.35">
      <c r="A1013" s="1"/>
      <c r="B1013" s="476" t="s">
        <v>2</v>
      </c>
      <c r="C1013" s="476"/>
      <c r="D1013" s="476"/>
      <c r="E1013" s="474"/>
      <c r="F1013" s="474"/>
      <c r="G1013" s="474"/>
      <c r="H1013" s="475"/>
    </row>
    <row r="1014" spans="1:9" x14ac:dyDescent="0.3">
      <c r="A1014" s="477" t="s">
        <v>3</v>
      </c>
      <c r="B1014" s="478"/>
      <c r="C1014" s="479" t="s">
        <v>4</v>
      </c>
      <c r="D1014" s="479"/>
      <c r="E1014" s="480" t="s">
        <v>5</v>
      </c>
      <c r="F1014" s="480"/>
      <c r="G1014" s="480"/>
      <c r="H1014" s="480"/>
    </row>
    <row r="1015" spans="1:9" ht="15.6" x14ac:dyDescent="0.3">
      <c r="A1015" s="138" t="s">
        <v>6</v>
      </c>
      <c r="B1015" s="5"/>
      <c r="C1015" s="481" t="s">
        <v>7</v>
      </c>
      <c r="D1015" s="481"/>
      <c r="E1015" s="482">
        <v>23</v>
      </c>
      <c r="F1015" s="482"/>
      <c r="G1015" s="7" t="s">
        <v>8</v>
      </c>
      <c r="H1015" s="8" t="s">
        <v>221</v>
      </c>
    </row>
    <row r="1016" spans="1:9" ht="15.6" x14ac:dyDescent="0.3">
      <c r="A1016" s="514" t="s">
        <v>231</v>
      </c>
      <c r="B1016" s="515"/>
      <c r="C1016" s="481" t="s">
        <v>10</v>
      </c>
      <c r="D1016" s="481"/>
      <c r="E1016" s="482"/>
      <c r="F1016" s="482"/>
      <c r="G1016" s="7" t="s">
        <v>8</v>
      </c>
      <c r="H1016" s="6"/>
    </row>
    <row r="1017" spans="1:9" ht="15" x14ac:dyDescent="0.3">
      <c r="A1017" s="517" t="s">
        <v>232</v>
      </c>
      <c r="B1017" s="518"/>
      <c r="C1017" s="519" t="s">
        <v>12</v>
      </c>
      <c r="D1017" s="519"/>
      <c r="E1017" s="564"/>
      <c r="F1017" s="565"/>
      <c r="G1017" s="10" t="s">
        <v>8</v>
      </c>
      <c r="H1017" s="109"/>
    </row>
    <row r="1018" spans="1:9" ht="15.6" x14ac:dyDescent="0.3">
      <c r="A1018" s="517" t="s">
        <v>233</v>
      </c>
      <c r="B1018" s="518"/>
      <c r="C1018" s="481" t="s">
        <v>15</v>
      </c>
      <c r="D1018" s="481"/>
      <c r="E1018" s="566" t="s">
        <v>234</v>
      </c>
      <c r="F1018" s="567"/>
      <c r="G1018" s="567"/>
      <c r="H1018" s="568"/>
    </row>
    <row r="1019" spans="1:9" ht="15.6" x14ac:dyDescent="0.3">
      <c r="A1019" s="12" t="s">
        <v>13</v>
      </c>
      <c r="B1019" s="13" t="s">
        <v>196</v>
      </c>
      <c r="C1019" s="569"/>
      <c r="D1019" s="570"/>
      <c r="E1019" s="570"/>
      <c r="F1019" s="570"/>
      <c r="G1019" s="570"/>
      <c r="H1019" s="571"/>
    </row>
    <row r="1020" spans="1:9" ht="15" x14ac:dyDescent="0.3">
      <c r="A1020" s="492" t="s">
        <v>17</v>
      </c>
      <c r="B1020" s="494" t="s">
        <v>18</v>
      </c>
      <c r="C1020" s="494" t="s">
        <v>19</v>
      </c>
      <c r="D1020" s="494" t="s">
        <v>20</v>
      </c>
      <c r="E1020" s="494" t="s">
        <v>21</v>
      </c>
      <c r="F1020" s="494" t="s">
        <v>22</v>
      </c>
      <c r="G1020" s="494"/>
      <c r="H1020" s="492" t="s">
        <v>23</v>
      </c>
    </row>
    <row r="1021" spans="1:9" ht="27.6" x14ac:dyDescent="0.3">
      <c r="A1021" s="492"/>
      <c r="B1021" s="494"/>
      <c r="C1021" s="494"/>
      <c r="D1021" s="494"/>
      <c r="E1021" s="494"/>
      <c r="F1021" s="53" t="s">
        <v>24</v>
      </c>
      <c r="G1021" s="53" t="s">
        <v>25</v>
      </c>
      <c r="H1021" s="492"/>
    </row>
    <row r="1022" spans="1:9" x14ac:dyDescent="0.3">
      <c r="A1022" s="57">
        <v>1</v>
      </c>
      <c r="B1022" s="113" t="s">
        <v>236</v>
      </c>
      <c r="C1022" s="57">
        <v>7</v>
      </c>
      <c r="D1022" s="163">
        <v>38249025</v>
      </c>
      <c r="E1022" s="57">
        <v>380</v>
      </c>
      <c r="F1022" s="58">
        <f>C1022*E1022*9%</f>
        <v>239.39999999999998</v>
      </c>
      <c r="G1022" s="58">
        <f>C1022*E1022*9%</f>
        <v>239.39999999999998</v>
      </c>
      <c r="H1022" s="59">
        <f>C1022*E1022+F1022+G1022</f>
        <v>3138.8</v>
      </c>
      <c r="I1022" s="362">
        <f>E1022*C1022</f>
        <v>2660</v>
      </c>
    </row>
    <row r="1023" spans="1:9" x14ac:dyDescent="0.3">
      <c r="A1023" s="57"/>
      <c r="B1023" s="60"/>
      <c r="C1023" s="57"/>
      <c r="D1023" s="56"/>
      <c r="E1023" s="57"/>
      <c r="F1023" s="58"/>
      <c r="G1023" s="58"/>
      <c r="H1023" s="59"/>
    </row>
    <row r="1024" spans="1:9" x14ac:dyDescent="0.3">
      <c r="A1024" s="55"/>
      <c r="B1024" s="63"/>
      <c r="C1024" s="55"/>
      <c r="D1024" s="56"/>
      <c r="E1024" s="55"/>
      <c r="F1024" s="58"/>
      <c r="G1024" s="58"/>
      <c r="H1024" s="59"/>
    </row>
    <row r="1025" spans="1:8" x14ac:dyDescent="0.3">
      <c r="A1025" s="90"/>
      <c r="B1025" s="132"/>
      <c r="C1025" s="24"/>
      <c r="D1025" s="164"/>
      <c r="E1025" s="24"/>
      <c r="F1025" s="165"/>
      <c r="G1025" s="165"/>
      <c r="H1025" s="166"/>
    </row>
    <row r="1026" spans="1:8" x14ac:dyDescent="0.3">
      <c r="A1026" s="90"/>
      <c r="B1026" s="132"/>
      <c r="C1026" s="24"/>
      <c r="D1026" s="164"/>
      <c r="E1026" s="24"/>
      <c r="F1026" s="165"/>
      <c r="G1026" s="165"/>
      <c r="H1026" s="166"/>
    </row>
    <row r="1027" spans="1:8" x14ac:dyDescent="0.3">
      <c r="A1027" s="90"/>
      <c r="B1027" s="132"/>
      <c r="C1027" s="24"/>
      <c r="D1027" s="164"/>
      <c r="E1027" s="24"/>
      <c r="F1027" s="165"/>
      <c r="G1027" s="165"/>
      <c r="H1027" s="166"/>
    </row>
    <row r="1028" spans="1:8" x14ac:dyDescent="0.3">
      <c r="A1028" s="27"/>
      <c r="B1028" s="132"/>
      <c r="C1028" s="24"/>
      <c r="D1028" s="25"/>
      <c r="E1028" s="25"/>
      <c r="F1028" s="165"/>
      <c r="G1028" s="165"/>
      <c r="H1028" s="166"/>
    </row>
    <row r="1029" spans="1:8" x14ac:dyDescent="0.3">
      <c r="A1029" s="27"/>
      <c r="B1029" s="28"/>
      <c r="C1029" s="24"/>
      <c r="D1029" s="25"/>
      <c r="E1029" s="25"/>
      <c r="F1029" s="165"/>
      <c r="G1029" s="165"/>
      <c r="H1029" s="166"/>
    </row>
    <row r="1030" spans="1:8" x14ac:dyDescent="0.3">
      <c r="A1030" s="27"/>
      <c r="B1030" s="28"/>
      <c r="C1030" s="24"/>
      <c r="D1030" s="25"/>
      <c r="E1030" s="25"/>
      <c r="F1030" s="165"/>
      <c r="G1030" s="165"/>
      <c r="H1030" s="166"/>
    </row>
    <row r="1031" spans="1:8" x14ac:dyDescent="0.3">
      <c r="A1031" s="27"/>
      <c r="B1031" s="28"/>
      <c r="C1031" s="24"/>
      <c r="D1031" s="25"/>
      <c r="E1031" s="25"/>
      <c r="F1031" s="165"/>
      <c r="G1031" s="165"/>
      <c r="H1031" s="166"/>
    </row>
    <row r="1032" spans="1:8" x14ac:dyDescent="0.3">
      <c r="A1032" s="27"/>
      <c r="B1032" s="28"/>
      <c r="C1032" s="24"/>
      <c r="D1032" s="25"/>
      <c r="E1032" s="25"/>
      <c r="F1032" s="165"/>
      <c r="G1032" s="165"/>
      <c r="H1032" s="166"/>
    </row>
    <row r="1033" spans="1:8" x14ac:dyDescent="0.3">
      <c r="A1033" s="27"/>
      <c r="B1033" s="28"/>
      <c r="C1033" s="24"/>
      <c r="D1033" s="25"/>
      <c r="E1033" s="25"/>
      <c r="F1033" s="165"/>
      <c r="G1033" s="165"/>
      <c r="H1033" s="166"/>
    </row>
    <row r="1034" spans="1:8" x14ac:dyDescent="0.3">
      <c r="A1034" s="27"/>
      <c r="B1034" s="28"/>
      <c r="C1034" s="24"/>
      <c r="D1034" s="25"/>
      <c r="E1034" s="25"/>
      <c r="F1034" s="28"/>
      <c r="G1034" s="28"/>
      <c r="H1034" s="32"/>
    </row>
    <row r="1035" spans="1:8" x14ac:dyDescent="0.3">
      <c r="A1035" s="27"/>
      <c r="B1035" s="28"/>
      <c r="C1035" s="24"/>
      <c r="D1035" s="25"/>
      <c r="E1035" s="25"/>
      <c r="F1035" s="28"/>
      <c r="G1035" s="28"/>
      <c r="H1035" s="32"/>
    </row>
    <row r="1036" spans="1:8" x14ac:dyDescent="0.3">
      <c r="A1036" s="27"/>
      <c r="B1036" s="28"/>
      <c r="C1036" s="24"/>
      <c r="D1036" s="25"/>
      <c r="E1036" s="25"/>
      <c r="F1036" s="28"/>
      <c r="G1036" s="28"/>
      <c r="H1036" s="32"/>
    </row>
    <row r="1037" spans="1:8" x14ac:dyDescent="0.3">
      <c r="A1037" s="27"/>
      <c r="B1037" s="28"/>
      <c r="C1037" s="24"/>
      <c r="D1037" s="25"/>
      <c r="E1037" s="25"/>
      <c r="F1037" s="28"/>
      <c r="G1037" s="28"/>
      <c r="H1037" s="32"/>
    </row>
    <row r="1038" spans="1:8" x14ac:dyDescent="0.3">
      <c r="A1038" s="27"/>
      <c r="B1038" s="28"/>
      <c r="C1038" s="24"/>
      <c r="D1038" s="25"/>
      <c r="E1038" s="25"/>
      <c r="F1038" s="28"/>
      <c r="G1038" s="28"/>
      <c r="H1038" s="32"/>
    </row>
    <row r="1039" spans="1:8" x14ac:dyDescent="0.3">
      <c r="A1039" s="27"/>
      <c r="B1039" s="28"/>
      <c r="C1039" s="24"/>
      <c r="D1039" s="25"/>
      <c r="E1039" s="25"/>
      <c r="F1039" s="28"/>
      <c r="G1039" s="28"/>
      <c r="H1039" s="32"/>
    </row>
    <row r="1040" spans="1:8" x14ac:dyDescent="0.3">
      <c r="A1040" s="27"/>
      <c r="B1040" s="28"/>
      <c r="C1040" s="24"/>
      <c r="D1040" s="25"/>
      <c r="E1040" s="25"/>
      <c r="F1040" s="28"/>
      <c r="G1040" s="28"/>
      <c r="H1040" s="32"/>
    </row>
    <row r="1041" spans="1:8" x14ac:dyDescent="0.3">
      <c r="A1041" s="27"/>
      <c r="B1041" s="28"/>
      <c r="C1041" s="24"/>
      <c r="D1041" s="25"/>
      <c r="E1041" s="25"/>
      <c r="F1041" s="28"/>
      <c r="G1041" s="28"/>
      <c r="H1041" s="32"/>
    </row>
    <row r="1042" spans="1:8" x14ac:dyDescent="0.3">
      <c r="A1042" s="27"/>
      <c r="B1042" s="28"/>
      <c r="C1042" s="24"/>
      <c r="D1042" s="25"/>
      <c r="E1042" s="25"/>
      <c r="F1042" s="28"/>
      <c r="G1042" s="28"/>
      <c r="H1042" s="32"/>
    </row>
    <row r="1043" spans="1:8" x14ac:dyDescent="0.3">
      <c r="A1043" s="27"/>
      <c r="B1043" s="28"/>
      <c r="C1043" s="24"/>
      <c r="D1043" s="25"/>
      <c r="E1043" s="25"/>
      <c r="F1043" s="28"/>
      <c r="G1043" s="28"/>
      <c r="H1043" s="32"/>
    </row>
    <row r="1044" spans="1:8" x14ac:dyDescent="0.3">
      <c r="A1044" s="27"/>
      <c r="B1044" s="28"/>
      <c r="C1044" s="24"/>
      <c r="D1044" s="25"/>
      <c r="E1044" s="25"/>
      <c r="F1044" s="28"/>
      <c r="G1044" s="28"/>
      <c r="H1044" s="32"/>
    </row>
    <row r="1045" spans="1:8" ht="15.6" x14ac:dyDescent="0.3">
      <c r="A1045" s="448" t="s">
        <v>45</v>
      </c>
      <c r="B1045" s="449"/>
      <c r="C1045" s="449"/>
      <c r="D1045" s="25"/>
      <c r="E1045" s="25"/>
      <c r="F1045" s="447" t="s">
        <v>46</v>
      </c>
      <c r="G1045" s="447"/>
      <c r="H1045" s="66">
        <f>(C1022*E1022)+(C1023*E1023)+(C1024*E1024)</f>
        <v>2660</v>
      </c>
    </row>
    <row r="1046" spans="1:8" ht="15.6" x14ac:dyDescent="0.3">
      <c r="A1046" s="497" t="s">
        <v>237</v>
      </c>
      <c r="B1046" s="498"/>
      <c r="C1046" s="498"/>
      <c r="D1046" s="498"/>
      <c r="E1046" s="498"/>
      <c r="F1046" s="447" t="s">
        <v>47</v>
      </c>
      <c r="G1046" s="447"/>
      <c r="H1046" s="66">
        <f>H1045*9%</f>
        <v>239.39999999999998</v>
      </c>
    </row>
    <row r="1047" spans="1:8" ht="15.6" x14ac:dyDescent="0.3">
      <c r="A1047" s="27"/>
      <c r="B1047" s="28"/>
      <c r="C1047" s="24"/>
      <c r="D1047" s="25"/>
      <c r="E1047" s="25"/>
      <c r="F1047" s="447" t="s">
        <v>48</v>
      </c>
      <c r="G1047" s="447"/>
      <c r="H1047" s="66">
        <f>H1045*9%</f>
        <v>239.39999999999998</v>
      </c>
    </row>
    <row r="1048" spans="1:8" ht="15.6" x14ac:dyDescent="0.3">
      <c r="A1048" s="448" t="s">
        <v>49</v>
      </c>
      <c r="B1048" s="449"/>
      <c r="C1048" s="449"/>
      <c r="D1048" s="449"/>
      <c r="E1048" s="25"/>
      <c r="F1048" s="447" t="s">
        <v>50</v>
      </c>
      <c r="G1048" s="447"/>
      <c r="H1048" s="66">
        <v>3139</v>
      </c>
    </row>
    <row r="1049" spans="1:8" ht="27" x14ac:dyDescent="0.3">
      <c r="A1049" s="68" t="s">
        <v>22</v>
      </c>
      <c r="B1049" s="69" t="s">
        <v>51</v>
      </c>
      <c r="C1049" s="70" t="s">
        <v>24</v>
      </c>
      <c r="D1049" s="31" t="s">
        <v>25</v>
      </c>
      <c r="E1049" s="450" t="s">
        <v>52</v>
      </c>
      <c r="F1049" s="450"/>
      <c r="G1049" s="28"/>
      <c r="H1049" s="32"/>
    </row>
    <row r="1050" spans="1:8" x14ac:dyDescent="0.3">
      <c r="A1050" s="72">
        <v>0.18</v>
      </c>
      <c r="B1050" s="73">
        <f>H1045</f>
        <v>2660</v>
      </c>
      <c r="C1050" s="74">
        <f>H1046</f>
        <v>239.39999999999998</v>
      </c>
      <c r="D1050" s="74">
        <f>H1047</f>
        <v>239.39999999999998</v>
      </c>
      <c r="E1050" s="507">
        <v>479</v>
      </c>
      <c r="F1050" s="507"/>
      <c r="G1050" s="74"/>
      <c r="H1050" s="75"/>
    </row>
    <row r="1051" spans="1:8" x14ac:dyDescent="0.3">
      <c r="A1051" s="452" t="s">
        <v>238</v>
      </c>
      <c r="B1051" s="453"/>
      <c r="C1051" s="453"/>
      <c r="D1051" s="453"/>
      <c r="E1051" s="453"/>
      <c r="F1051" s="453"/>
      <c r="G1051" s="453"/>
      <c r="H1051" s="454"/>
    </row>
    <row r="1052" spans="1:8" ht="15.6" x14ac:dyDescent="0.3">
      <c r="A1052" s="455" t="s">
        <v>53</v>
      </c>
      <c r="B1052" s="456"/>
      <c r="C1052" s="456"/>
      <c r="D1052" s="457"/>
      <c r="E1052" s="458" t="s">
        <v>54</v>
      </c>
      <c r="F1052" s="459"/>
      <c r="G1052" s="459"/>
      <c r="H1052" s="460"/>
    </row>
    <row r="1053" spans="1:8" x14ac:dyDescent="0.3">
      <c r="A1053" s="461" t="s">
        <v>55</v>
      </c>
      <c r="B1053" s="462"/>
      <c r="C1053" s="462"/>
      <c r="D1053" s="463"/>
      <c r="E1053" s="39"/>
      <c r="F1053" s="28"/>
      <c r="G1053" s="28"/>
      <c r="H1053" s="32"/>
    </row>
    <row r="1054" spans="1:8" x14ac:dyDescent="0.3">
      <c r="A1054" s="461" t="s">
        <v>56</v>
      </c>
      <c r="B1054" s="462"/>
      <c r="C1054" s="462"/>
      <c r="D1054" s="463"/>
      <c r="E1054" s="39"/>
      <c r="F1054" s="28"/>
      <c r="G1054" s="28"/>
      <c r="H1054" s="32"/>
    </row>
    <row r="1055" spans="1:8" x14ac:dyDescent="0.3">
      <c r="A1055" s="461" t="s">
        <v>57</v>
      </c>
      <c r="B1055" s="462"/>
      <c r="C1055" s="462"/>
      <c r="D1055" s="463"/>
      <c r="E1055" s="167"/>
      <c r="H1055" s="168"/>
    </row>
    <row r="1056" spans="1:8" ht="15.6" x14ac:dyDescent="0.3">
      <c r="A1056" s="464" t="s">
        <v>58</v>
      </c>
      <c r="B1056" s="465"/>
      <c r="C1056" s="465"/>
      <c r="D1056" s="510"/>
      <c r="E1056" s="466" t="s">
        <v>59</v>
      </c>
      <c r="F1056" s="467"/>
      <c r="G1056" s="467"/>
      <c r="H1056" s="468"/>
    </row>
    <row r="1060" spans="1:8" ht="44.4" x14ac:dyDescent="0.7">
      <c r="A1060" s="469" t="s">
        <v>0</v>
      </c>
      <c r="B1060" s="470"/>
      <c r="C1060" s="470"/>
      <c r="D1060" s="470"/>
      <c r="E1060" s="471" t="s">
        <v>1</v>
      </c>
      <c r="F1060" s="472"/>
      <c r="G1060" s="472"/>
      <c r="H1060" s="473"/>
    </row>
    <row r="1061" spans="1:8" ht="20.399999999999999" x14ac:dyDescent="0.35">
      <c r="A1061" s="1"/>
      <c r="B1061" s="476" t="s">
        <v>2</v>
      </c>
      <c r="C1061" s="476"/>
      <c r="D1061" s="476"/>
      <c r="E1061" s="474"/>
      <c r="F1061" s="474"/>
      <c r="G1061" s="474"/>
      <c r="H1061" s="475"/>
    </row>
    <row r="1062" spans="1:8" x14ac:dyDescent="0.3">
      <c r="A1062" s="477" t="s">
        <v>3</v>
      </c>
      <c r="B1062" s="478"/>
      <c r="C1062" s="479" t="s">
        <v>4</v>
      </c>
      <c r="D1062" s="479"/>
      <c r="E1062" s="548" t="s">
        <v>5</v>
      </c>
      <c r="F1062" s="549"/>
      <c r="G1062" s="549"/>
      <c r="H1062" s="550"/>
    </row>
    <row r="1063" spans="1:8" ht="15.6" x14ac:dyDescent="0.3">
      <c r="A1063" s="138" t="s">
        <v>6</v>
      </c>
      <c r="B1063" s="5"/>
      <c r="C1063" s="512" t="s">
        <v>7</v>
      </c>
      <c r="D1063" s="513"/>
      <c r="E1063" s="594">
        <v>24</v>
      </c>
      <c r="F1063" s="594"/>
      <c r="G1063" s="179" t="s">
        <v>8</v>
      </c>
      <c r="H1063" s="8" t="s">
        <v>243</v>
      </c>
    </row>
    <row r="1064" spans="1:8" ht="15.6" x14ac:dyDescent="0.3">
      <c r="A1064" s="514" t="s">
        <v>239</v>
      </c>
      <c r="B1064" s="515"/>
      <c r="C1064" s="516" t="s">
        <v>10</v>
      </c>
      <c r="D1064" s="481"/>
      <c r="E1064" s="482"/>
      <c r="F1064" s="482"/>
      <c r="G1064" s="7" t="s">
        <v>8</v>
      </c>
      <c r="H1064" s="9"/>
    </row>
    <row r="1065" spans="1:8" ht="15" x14ac:dyDescent="0.3">
      <c r="A1065" s="517" t="s">
        <v>240</v>
      </c>
      <c r="B1065" s="518"/>
      <c r="C1065" s="484" t="s">
        <v>12</v>
      </c>
      <c r="D1065" s="519"/>
      <c r="E1065" s="520"/>
      <c r="F1065" s="520"/>
      <c r="G1065" s="10" t="s">
        <v>8</v>
      </c>
      <c r="H1065" s="11"/>
    </row>
    <row r="1066" spans="1:8" ht="15.6" x14ac:dyDescent="0.3">
      <c r="A1066" s="517" t="s">
        <v>241</v>
      </c>
      <c r="B1066" s="518"/>
      <c r="C1066" s="521" t="s">
        <v>15</v>
      </c>
      <c r="D1066" s="522"/>
      <c r="E1066" s="523" t="s">
        <v>242</v>
      </c>
      <c r="F1066" s="524"/>
      <c r="G1066" s="524"/>
      <c r="H1066" s="6"/>
    </row>
    <row r="1067" spans="1:8" ht="15.6" x14ac:dyDescent="0.3">
      <c r="A1067" s="180" t="s">
        <v>13</v>
      </c>
      <c r="B1067" s="181" t="s">
        <v>153</v>
      </c>
      <c r="C1067" s="182"/>
      <c r="D1067" s="50"/>
      <c r="E1067" s="183"/>
      <c r="F1067" s="183"/>
      <c r="G1067" s="183"/>
      <c r="H1067" s="52"/>
    </row>
    <row r="1068" spans="1:8" ht="15" x14ac:dyDescent="0.3">
      <c r="A1068" s="527" t="s">
        <v>17</v>
      </c>
      <c r="B1068" s="505" t="s">
        <v>18</v>
      </c>
      <c r="C1068" s="505" t="s">
        <v>19</v>
      </c>
      <c r="D1068" s="505" t="s">
        <v>20</v>
      </c>
      <c r="E1068" s="505" t="s">
        <v>21</v>
      </c>
      <c r="F1068" s="505" t="s">
        <v>22</v>
      </c>
      <c r="G1068" s="505"/>
      <c r="H1068" s="527" t="s">
        <v>23</v>
      </c>
    </row>
    <row r="1069" spans="1:8" ht="27.6" x14ac:dyDescent="0.3">
      <c r="A1069" s="492"/>
      <c r="B1069" s="494"/>
      <c r="C1069" s="494"/>
      <c r="D1069" s="494"/>
      <c r="E1069" s="494"/>
      <c r="F1069" s="53" t="s">
        <v>24</v>
      </c>
      <c r="G1069" s="53" t="s">
        <v>25</v>
      </c>
      <c r="H1069" s="492"/>
    </row>
    <row r="1070" spans="1:8" x14ac:dyDescent="0.3">
      <c r="A1070" s="184">
        <v>1</v>
      </c>
      <c r="B1070" s="60" t="s">
        <v>244</v>
      </c>
      <c r="C1070" s="57">
        <v>1</v>
      </c>
      <c r="D1070" s="56">
        <v>998719</v>
      </c>
      <c r="E1070" s="185">
        <v>3000</v>
      </c>
      <c r="F1070" s="58">
        <f>E1070*C1070*9%</f>
        <v>270</v>
      </c>
      <c r="G1070" s="58">
        <f>F1070</f>
        <v>270</v>
      </c>
      <c r="H1070" s="59">
        <f>E1070*C1070+F1070+G1070</f>
        <v>3540</v>
      </c>
    </row>
    <row r="1071" spans="1:8" x14ac:dyDescent="0.3">
      <c r="A1071" s="186"/>
      <c r="B1071" s="187"/>
      <c r="C1071" s="188"/>
      <c r="D1071" s="56"/>
      <c r="E1071" s="57"/>
      <c r="F1071" s="58"/>
      <c r="G1071" s="58"/>
      <c r="H1071" s="59"/>
    </row>
    <row r="1072" spans="1:8" x14ac:dyDescent="0.3">
      <c r="A1072" s="57"/>
      <c r="B1072" s="60"/>
      <c r="C1072" s="57"/>
      <c r="D1072" s="56"/>
      <c r="E1072" s="57"/>
      <c r="F1072" s="58"/>
      <c r="G1072" s="58"/>
      <c r="H1072" s="59"/>
    </row>
    <row r="1073" spans="1:8" x14ac:dyDescent="0.3">
      <c r="A1073" s="173"/>
      <c r="B1073" s="174"/>
      <c r="C1073" s="175"/>
      <c r="D1073" s="152"/>
      <c r="E1073" s="175"/>
      <c r="F1073" s="165"/>
      <c r="G1073" s="165"/>
      <c r="H1073" s="166"/>
    </row>
    <row r="1074" spans="1:8" x14ac:dyDescent="0.3">
      <c r="A1074" s="173"/>
      <c r="B1074" s="174"/>
      <c r="C1074" s="175"/>
      <c r="D1074" s="152"/>
      <c r="E1074" s="175"/>
      <c r="F1074" s="165"/>
      <c r="G1074" s="165"/>
      <c r="H1074" s="166"/>
    </row>
    <row r="1075" spans="1:8" x14ac:dyDescent="0.3">
      <c r="A1075" s="173"/>
      <c r="B1075" s="174"/>
      <c r="C1075" s="175"/>
      <c r="D1075" s="152"/>
      <c r="E1075" s="175"/>
      <c r="F1075" s="165"/>
      <c r="G1075" s="165"/>
      <c r="H1075" s="166"/>
    </row>
    <row r="1076" spans="1:8" x14ac:dyDescent="0.3">
      <c r="A1076" s="173"/>
      <c r="B1076" s="174"/>
      <c r="C1076" s="175"/>
      <c r="D1076" s="152"/>
      <c r="E1076" s="175"/>
      <c r="F1076" s="165"/>
      <c r="G1076" s="165"/>
      <c r="H1076" s="166"/>
    </row>
    <row r="1077" spans="1:8" x14ac:dyDescent="0.3">
      <c r="A1077" s="173"/>
      <c r="B1077" s="174"/>
      <c r="C1077" s="175"/>
      <c r="D1077" s="152"/>
      <c r="E1077" s="175"/>
      <c r="F1077" s="165"/>
      <c r="G1077" s="165"/>
      <c r="H1077" s="166"/>
    </row>
    <row r="1078" spans="1:8" x14ac:dyDescent="0.3">
      <c r="A1078" s="173"/>
      <c r="B1078" s="174"/>
      <c r="C1078" s="175"/>
      <c r="D1078" s="152"/>
      <c r="E1078" s="175"/>
      <c r="F1078" s="165"/>
      <c r="G1078" s="165"/>
      <c r="H1078" s="166"/>
    </row>
    <row r="1079" spans="1:8" x14ac:dyDescent="0.3">
      <c r="A1079" s="173"/>
      <c r="B1079" s="174"/>
      <c r="C1079" s="175"/>
      <c r="D1079" s="152"/>
      <c r="E1079" s="175"/>
      <c r="F1079" s="165"/>
      <c r="G1079" s="165"/>
      <c r="H1079" s="166"/>
    </row>
    <row r="1080" spans="1:8" x14ac:dyDescent="0.3">
      <c r="A1080" s="173"/>
      <c r="B1080" s="174"/>
      <c r="C1080" s="175"/>
      <c r="D1080" s="152"/>
      <c r="E1080" s="175"/>
      <c r="F1080" s="165"/>
      <c r="G1080" s="165"/>
      <c r="H1080" s="166"/>
    </row>
    <row r="1081" spans="1:8" x14ac:dyDescent="0.3">
      <c r="A1081" s="173"/>
      <c r="B1081" s="174"/>
      <c r="C1081" s="175"/>
      <c r="D1081" s="152"/>
      <c r="E1081" s="175"/>
      <c r="F1081" s="165"/>
      <c r="G1081" s="165"/>
      <c r="H1081" s="166"/>
    </row>
    <row r="1082" spans="1:8" x14ac:dyDescent="0.3">
      <c r="A1082" s="173"/>
      <c r="B1082" s="174"/>
      <c r="C1082" s="175"/>
      <c r="D1082" s="152"/>
      <c r="E1082" s="175"/>
      <c r="F1082" s="165"/>
      <c r="G1082" s="165"/>
      <c r="H1082" s="166"/>
    </row>
    <row r="1083" spans="1:8" x14ac:dyDescent="0.3">
      <c r="A1083" s="27"/>
      <c r="B1083" s="174"/>
      <c r="C1083" s="24"/>
      <c r="D1083" s="152"/>
      <c r="E1083" s="175"/>
      <c r="F1083" s="175"/>
      <c r="G1083" s="162"/>
      <c r="H1083" s="154"/>
    </row>
    <row r="1084" spans="1:8" x14ac:dyDescent="0.3">
      <c r="A1084" s="27"/>
      <c r="B1084" s="174"/>
      <c r="C1084" s="24"/>
      <c r="D1084" s="152"/>
      <c r="E1084" s="25"/>
      <c r="F1084" s="175"/>
      <c r="G1084" s="162"/>
      <c r="H1084" s="154"/>
    </row>
    <row r="1085" spans="1:8" x14ac:dyDescent="0.3">
      <c r="A1085" s="27"/>
      <c r="B1085" s="28"/>
      <c r="C1085" s="24"/>
      <c r="D1085" s="152"/>
      <c r="E1085" s="25"/>
      <c r="F1085" s="175"/>
      <c r="G1085" s="162"/>
      <c r="H1085" s="154"/>
    </row>
    <row r="1086" spans="1:8" x14ac:dyDescent="0.3">
      <c r="A1086" s="27"/>
      <c r="B1086" s="28"/>
      <c r="C1086" s="24"/>
      <c r="D1086" s="25"/>
      <c r="E1086" s="25"/>
      <c r="F1086" s="25"/>
      <c r="G1086" s="28"/>
      <c r="H1086" s="32"/>
    </row>
    <row r="1087" spans="1:8" ht="15.6" x14ac:dyDescent="0.3">
      <c r="A1087" s="448" t="s">
        <v>45</v>
      </c>
      <c r="B1087" s="449"/>
      <c r="C1087" s="24"/>
      <c r="D1087" s="25"/>
      <c r="E1087" s="25"/>
      <c r="F1087" s="447" t="s">
        <v>46</v>
      </c>
      <c r="G1087" s="447"/>
      <c r="H1087" s="66">
        <v>3000</v>
      </c>
    </row>
    <row r="1088" spans="1:8" ht="15.6" x14ac:dyDescent="0.3">
      <c r="A1088" s="497" t="s">
        <v>245</v>
      </c>
      <c r="B1088" s="498"/>
      <c r="C1088" s="498"/>
      <c r="D1088" s="498"/>
      <c r="E1088" s="498"/>
      <c r="F1088" s="447" t="s">
        <v>47</v>
      </c>
      <c r="G1088" s="447"/>
      <c r="H1088" s="66">
        <f>H1087*9%</f>
        <v>270</v>
      </c>
    </row>
    <row r="1089" spans="1:8" ht="15.6" x14ac:dyDescent="0.3">
      <c r="A1089" s="27"/>
      <c r="B1089" s="28"/>
      <c r="C1089" s="24"/>
      <c r="D1089" s="25"/>
      <c r="E1089" s="25"/>
      <c r="F1089" s="447" t="s">
        <v>48</v>
      </c>
      <c r="G1089" s="447"/>
      <c r="H1089" s="66">
        <f>H1088</f>
        <v>270</v>
      </c>
    </row>
    <row r="1090" spans="1:8" ht="15.6" x14ac:dyDescent="0.3">
      <c r="A1090" s="448" t="s">
        <v>49</v>
      </c>
      <c r="B1090" s="449"/>
      <c r="C1090" s="24"/>
      <c r="D1090" s="25"/>
      <c r="E1090" s="25"/>
      <c r="F1090" s="447" t="s">
        <v>50</v>
      </c>
      <c r="G1090" s="447"/>
      <c r="H1090" s="66">
        <f>H1087+H1088+H1089</f>
        <v>3540</v>
      </c>
    </row>
    <row r="1091" spans="1:8" ht="15.6" x14ac:dyDescent="0.3">
      <c r="A1091" s="90"/>
      <c r="B1091" s="177"/>
      <c r="C1091" s="24"/>
      <c r="D1091" s="25"/>
      <c r="E1091" s="25"/>
      <c r="F1091" s="26"/>
      <c r="G1091" s="26"/>
      <c r="H1091" s="66"/>
    </row>
    <row r="1092" spans="1:8" ht="27" x14ac:dyDescent="0.3">
      <c r="A1092" s="29" t="s">
        <v>22</v>
      </c>
      <c r="B1092" s="30" t="s">
        <v>51</v>
      </c>
      <c r="C1092" s="31" t="s">
        <v>24</v>
      </c>
      <c r="D1092" s="31" t="s">
        <v>25</v>
      </c>
      <c r="E1092" s="528" t="s">
        <v>52</v>
      </c>
      <c r="F1092" s="528"/>
      <c r="G1092" s="28"/>
      <c r="H1092" s="32"/>
    </row>
    <row r="1093" spans="1:8" x14ac:dyDescent="0.3">
      <c r="A1093" s="33">
        <v>0.18</v>
      </c>
      <c r="B1093" s="34">
        <f>H1087</f>
        <v>3000</v>
      </c>
      <c r="C1093" s="35">
        <f>H1088</f>
        <v>270</v>
      </c>
      <c r="D1093" s="35">
        <f>H1089</f>
        <v>270</v>
      </c>
      <c r="E1093" s="529">
        <f>C1093+D1093</f>
        <v>540</v>
      </c>
      <c r="F1093" s="530"/>
      <c r="G1093" s="28"/>
      <c r="H1093" s="32"/>
    </row>
    <row r="1094" spans="1:8" x14ac:dyDescent="0.3">
      <c r="A1094" s="452" t="s">
        <v>246</v>
      </c>
      <c r="B1094" s="453"/>
      <c r="C1094" s="453"/>
      <c r="D1094" s="453"/>
      <c r="E1094" s="453"/>
      <c r="F1094" s="453"/>
      <c r="G1094" s="453"/>
      <c r="H1094" s="454"/>
    </row>
    <row r="1095" spans="1:8" ht="15.6" x14ac:dyDescent="0.3">
      <c r="A1095" s="455" t="s">
        <v>53</v>
      </c>
      <c r="B1095" s="456"/>
      <c r="C1095" s="456"/>
      <c r="D1095" s="457"/>
      <c r="E1095" s="458" t="s">
        <v>54</v>
      </c>
      <c r="F1095" s="459"/>
      <c r="G1095" s="459"/>
      <c r="H1095" s="460"/>
    </row>
    <row r="1096" spans="1:8" x14ac:dyDescent="0.3">
      <c r="A1096" s="461" t="s">
        <v>55</v>
      </c>
      <c r="B1096" s="462"/>
      <c r="C1096" s="462"/>
      <c r="D1096" s="463"/>
      <c r="E1096" s="39"/>
      <c r="F1096" s="25"/>
      <c r="G1096" s="28"/>
      <c r="H1096" s="32"/>
    </row>
    <row r="1097" spans="1:8" x14ac:dyDescent="0.3">
      <c r="A1097" s="461" t="s">
        <v>56</v>
      </c>
      <c r="B1097" s="462"/>
      <c r="C1097" s="462"/>
      <c r="D1097" s="463"/>
      <c r="E1097" s="39"/>
      <c r="F1097" s="25"/>
      <c r="G1097" s="28"/>
      <c r="H1097" s="32"/>
    </row>
    <row r="1098" spans="1:8" x14ac:dyDescent="0.3">
      <c r="A1098" s="461" t="s">
        <v>57</v>
      </c>
      <c r="B1098" s="462"/>
      <c r="C1098" s="462"/>
      <c r="D1098" s="463"/>
      <c r="E1098" s="25"/>
      <c r="F1098" s="25"/>
      <c r="G1098" s="28"/>
      <c r="H1098" s="32"/>
    </row>
    <row r="1099" spans="1:8" ht="15.6" x14ac:dyDescent="0.3">
      <c r="A1099" s="464" t="s">
        <v>58</v>
      </c>
      <c r="B1099" s="465"/>
      <c r="C1099" s="465"/>
      <c r="D1099" s="510"/>
      <c r="E1099" s="466" t="s">
        <v>59</v>
      </c>
      <c r="F1099" s="467"/>
      <c r="G1099" s="467"/>
      <c r="H1099" s="468"/>
    </row>
    <row r="1105" spans="1:8" ht="44.4" x14ac:dyDescent="0.7">
      <c r="A1105" s="469" t="s">
        <v>0</v>
      </c>
      <c r="B1105" s="470"/>
      <c r="C1105" s="470"/>
      <c r="D1105" s="470"/>
      <c r="E1105" s="471" t="s">
        <v>1</v>
      </c>
      <c r="F1105" s="472"/>
      <c r="G1105" s="472"/>
      <c r="H1105" s="473"/>
    </row>
    <row r="1106" spans="1:8" ht="20.399999999999999" x14ac:dyDescent="0.35">
      <c r="A1106" s="1"/>
      <c r="B1106" s="476" t="s">
        <v>2</v>
      </c>
      <c r="C1106" s="476"/>
      <c r="D1106" s="476"/>
      <c r="E1106" s="474"/>
      <c r="F1106" s="474"/>
      <c r="G1106" s="474"/>
      <c r="H1106" s="475"/>
    </row>
    <row r="1107" spans="1:8" x14ac:dyDescent="0.3">
      <c r="A1107" s="477" t="s">
        <v>3</v>
      </c>
      <c r="B1107" s="478"/>
      <c r="C1107" s="479" t="s">
        <v>4</v>
      </c>
      <c r="D1107" s="479"/>
      <c r="E1107" s="548" t="s">
        <v>5</v>
      </c>
      <c r="F1107" s="549"/>
      <c r="G1107" s="549"/>
      <c r="H1107" s="550"/>
    </row>
    <row r="1108" spans="1:8" ht="15.6" x14ac:dyDescent="0.3">
      <c r="A1108" s="4" t="s">
        <v>6</v>
      </c>
      <c r="B1108" s="5"/>
      <c r="C1108" s="512" t="s">
        <v>7</v>
      </c>
      <c r="D1108" s="513"/>
      <c r="E1108" s="594">
        <v>25</v>
      </c>
      <c r="F1108" s="594"/>
      <c r="G1108" s="179" t="s">
        <v>8</v>
      </c>
      <c r="H1108" s="8" t="s">
        <v>243</v>
      </c>
    </row>
    <row r="1109" spans="1:8" ht="15.6" x14ac:dyDescent="0.3">
      <c r="A1109" s="514" t="s">
        <v>248</v>
      </c>
      <c r="B1109" s="515"/>
      <c r="C1109" s="516" t="s">
        <v>10</v>
      </c>
      <c r="D1109" s="481"/>
      <c r="E1109" s="482"/>
      <c r="F1109" s="482"/>
      <c r="G1109" s="7" t="s">
        <v>8</v>
      </c>
      <c r="H1109" s="9"/>
    </row>
    <row r="1110" spans="1:8" ht="15" x14ac:dyDescent="0.3">
      <c r="A1110" s="517" t="s">
        <v>249</v>
      </c>
      <c r="B1110" s="518"/>
      <c r="C1110" s="484" t="s">
        <v>12</v>
      </c>
      <c r="D1110" s="519"/>
      <c r="E1110" s="520"/>
      <c r="F1110" s="520"/>
      <c r="G1110" s="10" t="s">
        <v>8</v>
      </c>
      <c r="H1110" s="11"/>
    </row>
    <row r="1111" spans="1:8" ht="15.6" x14ac:dyDescent="0.3">
      <c r="A1111" s="517" t="s">
        <v>250</v>
      </c>
      <c r="B1111" s="518"/>
      <c r="C1111" s="521" t="s">
        <v>15</v>
      </c>
      <c r="D1111" s="522"/>
      <c r="E1111" s="523" t="s">
        <v>247</v>
      </c>
      <c r="F1111" s="524"/>
      <c r="G1111" s="524"/>
      <c r="H1111" s="6"/>
    </row>
    <row r="1112" spans="1:8" ht="15.6" x14ac:dyDescent="0.3">
      <c r="A1112" s="180" t="s">
        <v>13</v>
      </c>
      <c r="B1112" s="181" t="s">
        <v>153</v>
      </c>
      <c r="C1112" s="182"/>
      <c r="D1112" s="50"/>
      <c r="E1112" s="183"/>
      <c r="F1112" s="183"/>
      <c r="G1112" s="183"/>
      <c r="H1112" s="52"/>
    </row>
    <row r="1113" spans="1:8" ht="15" x14ac:dyDescent="0.3">
      <c r="A1113" s="527" t="s">
        <v>17</v>
      </c>
      <c r="B1113" s="505" t="s">
        <v>18</v>
      </c>
      <c r="C1113" s="505" t="s">
        <v>19</v>
      </c>
      <c r="D1113" s="505" t="s">
        <v>20</v>
      </c>
      <c r="E1113" s="505" t="s">
        <v>21</v>
      </c>
      <c r="F1113" s="505" t="s">
        <v>22</v>
      </c>
      <c r="G1113" s="505"/>
      <c r="H1113" s="527" t="s">
        <v>23</v>
      </c>
    </row>
    <row r="1114" spans="1:8" ht="27.6" x14ac:dyDescent="0.3">
      <c r="A1114" s="492"/>
      <c r="B1114" s="494"/>
      <c r="C1114" s="494"/>
      <c r="D1114" s="494"/>
      <c r="E1114" s="494"/>
      <c r="F1114" s="53" t="s">
        <v>24</v>
      </c>
      <c r="G1114" s="53" t="s">
        <v>25</v>
      </c>
      <c r="H1114" s="492"/>
    </row>
    <row r="1115" spans="1:8" x14ac:dyDescent="0.3">
      <c r="A1115" s="184">
        <v>1</v>
      </c>
      <c r="B1115" s="60" t="s">
        <v>251</v>
      </c>
      <c r="C1115" s="57">
        <v>1</v>
      </c>
      <c r="D1115" s="56">
        <v>8534</v>
      </c>
      <c r="E1115" s="185">
        <v>18000</v>
      </c>
      <c r="F1115" s="58">
        <f>E1115*C1115*9%</f>
        <v>1620</v>
      </c>
      <c r="G1115" s="58">
        <f>F1115</f>
        <v>1620</v>
      </c>
      <c r="H1115" s="59">
        <f>E1115*C1115+F1115+G1115</f>
        <v>21240</v>
      </c>
    </row>
    <row r="1116" spans="1:8" x14ac:dyDescent="0.3">
      <c r="A1116" s="186">
        <v>2</v>
      </c>
      <c r="B1116" s="187" t="s">
        <v>252</v>
      </c>
      <c r="C1116" s="188">
        <v>1</v>
      </c>
      <c r="D1116" s="56">
        <v>998719</v>
      </c>
      <c r="E1116" s="57">
        <v>1500</v>
      </c>
      <c r="F1116" s="58">
        <f>E1116*C1116*9%</f>
        <v>135</v>
      </c>
      <c r="G1116" s="58">
        <f>F1116</f>
        <v>135</v>
      </c>
      <c r="H1116" s="59">
        <f>E1116*C1116+F1116+G1116</f>
        <v>1770</v>
      </c>
    </row>
    <row r="1117" spans="1:8" x14ac:dyDescent="0.3">
      <c r="A1117" s="57"/>
      <c r="B1117" s="60"/>
      <c r="C1117" s="57"/>
      <c r="D1117" s="56"/>
      <c r="E1117" s="57"/>
      <c r="F1117" s="58"/>
      <c r="G1117" s="58"/>
      <c r="H1117" s="59"/>
    </row>
    <row r="1118" spans="1:8" x14ac:dyDescent="0.3">
      <c r="A1118" s="173"/>
      <c r="B1118" s="174"/>
      <c r="C1118" s="175"/>
      <c r="D1118" s="152"/>
      <c r="E1118" s="175"/>
      <c r="F1118" s="165"/>
      <c r="G1118" s="165"/>
      <c r="H1118" s="166"/>
    </row>
    <row r="1119" spans="1:8" x14ac:dyDescent="0.3">
      <c r="A1119" s="173"/>
      <c r="B1119" s="174"/>
      <c r="C1119" s="175"/>
      <c r="D1119" s="152"/>
      <c r="E1119" s="175"/>
      <c r="F1119" s="165"/>
      <c r="G1119" s="165"/>
      <c r="H1119" s="166"/>
    </row>
    <row r="1120" spans="1:8" x14ac:dyDescent="0.3">
      <c r="A1120" s="173"/>
      <c r="B1120" s="174"/>
      <c r="C1120" s="175"/>
      <c r="D1120" s="152"/>
      <c r="E1120" s="175"/>
      <c r="F1120" s="165"/>
      <c r="G1120" s="165"/>
      <c r="H1120" s="166"/>
    </row>
    <row r="1121" spans="1:8" x14ac:dyDescent="0.3">
      <c r="A1121" s="173"/>
      <c r="B1121" s="174"/>
      <c r="C1121" s="175"/>
      <c r="D1121" s="152"/>
      <c r="E1121" s="175"/>
      <c r="F1121" s="165"/>
      <c r="G1121" s="165"/>
      <c r="H1121" s="166"/>
    </row>
    <row r="1122" spans="1:8" x14ac:dyDescent="0.3">
      <c r="A1122" s="173"/>
      <c r="B1122" s="174"/>
      <c r="C1122" s="175"/>
      <c r="D1122" s="152"/>
      <c r="E1122" s="175"/>
      <c r="F1122" s="165"/>
      <c r="G1122" s="165"/>
      <c r="H1122" s="166"/>
    </row>
    <row r="1123" spans="1:8" x14ac:dyDescent="0.3">
      <c r="A1123" s="173"/>
      <c r="B1123" s="174"/>
      <c r="C1123" s="175"/>
      <c r="D1123" s="152"/>
      <c r="E1123" s="175"/>
      <c r="F1123" s="165"/>
      <c r="G1123" s="165"/>
      <c r="H1123" s="166"/>
    </row>
    <row r="1124" spans="1:8" x14ac:dyDescent="0.3">
      <c r="A1124" s="173"/>
      <c r="B1124" s="174"/>
      <c r="C1124" s="175"/>
      <c r="D1124" s="152"/>
      <c r="E1124" s="175"/>
      <c r="F1124" s="165"/>
      <c r="G1124" s="165"/>
      <c r="H1124" s="166"/>
    </row>
    <row r="1125" spans="1:8" x14ac:dyDescent="0.3">
      <c r="A1125" s="173"/>
      <c r="B1125" s="174"/>
      <c r="C1125" s="175"/>
      <c r="D1125" s="152"/>
      <c r="E1125" s="175"/>
      <c r="F1125" s="165"/>
      <c r="G1125" s="165"/>
      <c r="H1125" s="166"/>
    </row>
    <row r="1126" spans="1:8" x14ac:dyDescent="0.3">
      <c r="A1126" s="173"/>
      <c r="B1126" s="174"/>
      <c r="C1126" s="175"/>
      <c r="D1126" s="152"/>
      <c r="E1126" s="175"/>
      <c r="F1126" s="165"/>
      <c r="G1126" s="165"/>
      <c r="H1126" s="166"/>
    </row>
    <row r="1127" spans="1:8" x14ac:dyDescent="0.3">
      <c r="A1127" s="173"/>
      <c r="B1127" s="174"/>
      <c r="C1127" s="175"/>
      <c r="D1127" s="152"/>
      <c r="E1127" s="175"/>
      <c r="F1127" s="165"/>
      <c r="G1127" s="165"/>
      <c r="H1127" s="166"/>
    </row>
    <row r="1128" spans="1:8" x14ac:dyDescent="0.3">
      <c r="A1128" s="173"/>
      <c r="B1128" s="174"/>
      <c r="C1128" s="175"/>
      <c r="D1128" s="152"/>
      <c r="E1128" s="175"/>
      <c r="F1128" s="165"/>
      <c r="G1128" s="165"/>
      <c r="H1128" s="166"/>
    </row>
    <row r="1129" spans="1:8" x14ac:dyDescent="0.3">
      <c r="A1129" s="173"/>
      <c r="B1129" s="174"/>
      <c r="C1129" s="175"/>
      <c r="D1129" s="152"/>
      <c r="E1129" s="175"/>
      <c r="F1129" s="165"/>
      <c r="G1129" s="165"/>
      <c r="H1129" s="166"/>
    </row>
    <row r="1130" spans="1:8" x14ac:dyDescent="0.3">
      <c r="A1130" s="173"/>
      <c r="B1130" s="174"/>
      <c r="C1130" s="175"/>
      <c r="D1130" s="152"/>
      <c r="E1130" s="175"/>
      <c r="F1130" s="165"/>
      <c r="G1130" s="165"/>
      <c r="H1130" s="166"/>
    </row>
    <row r="1131" spans="1:8" x14ac:dyDescent="0.3">
      <c r="A1131" s="173"/>
      <c r="B1131" s="174"/>
      <c r="C1131" s="175"/>
      <c r="D1131" s="152"/>
      <c r="E1131" s="175"/>
      <c r="F1131" s="165"/>
      <c r="G1131" s="165"/>
      <c r="H1131" s="166"/>
    </row>
    <row r="1132" spans="1:8" x14ac:dyDescent="0.3">
      <c r="A1132" s="27"/>
      <c r="B1132" s="174"/>
      <c r="C1132" s="24"/>
      <c r="D1132" s="152"/>
      <c r="E1132" s="175"/>
      <c r="F1132" s="175"/>
      <c r="G1132" s="162"/>
      <c r="H1132" s="154"/>
    </row>
    <row r="1133" spans="1:8" x14ac:dyDescent="0.3">
      <c r="A1133" s="27"/>
      <c r="B1133" s="174"/>
      <c r="C1133" s="24"/>
      <c r="D1133" s="152"/>
      <c r="E1133" s="25"/>
      <c r="F1133" s="175"/>
      <c r="G1133" s="162"/>
      <c r="H1133" s="154"/>
    </row>
    <row r="1134" spans="1:8" x14ac:dyDescent="0.3">
      <c r="A1134" s="27"/>
      <c r="B1134" s="28"/>
      <c r="C1134" s="24"/>
      <c r="D1134" s="152"/>
      <c r="E1134" s="25"/>
      <c r="F1134" s="175"/>
      <c r="G1134" s="162"/>
      <c r="H1134" s="154"/>
    </row>
    <row r="1135" spans="1:8" x14ac:dyDescent="0.3">
      <c r="A1135" s="27"/>
      <c r="B1135" s="28"/>
      <c r="C1135" s="24"/>
      <c r="D1135" s="25"/>
      <c r="E1135" s="25"/>
      <c r="F1135" s="25"/>
      <c r="G1135" s="28"/>
      <c r="H1135" s="32"/>
    </row>
    <row r="1136" spans="1:8" ht="15.6" x14ac:dyDescent="0.3">
      <c r="A1136" s="448" t="s">
        <v>45</v>
      </c>
      <c r="B1136" s="449"/>
      <c r="C1136" s="24"/>
      <c r="D1136" s="25"/>
      <c r="E1136" s="25"/>
      <c r="F1136" s="447" t="s">
        <v>46</v>
      </c>
      <c r="G1136" s="447"/>
      <c r="H1136" s="66">
        <v>19500</v>
      </c>
    </row>
    <row r="1137" spans="1:8" ht="15.6" x14ac:dyDescent="0.3">
      <c r="A1137" s="497" t="s">
        <v>253</v>
      </c>
      <c r="B1137" s="498"/>
      <c r="C1137" s="498"/>
      <c r="D1137" s="498"/>
      <c r="E1137" s="498"/>
      <c r="F1137" s="447" t="s">
        <v>47</v>
      </c>
      <c r="G1137" s="447"/>
      <c r="H1137" s="66">
        <f>H1136*9%</f>
        <v>1755</v>
      </c>
    </row>
    <row r="1138" spans="1:8" ht="15.6" x14ac:dyDescent="0.3">
      <c r="A1138" s="27"/>
      <c r="B1138" s="28"/>
      <c r="C1138" s="24"/>
      <c r="D1138" s="25"/>
      <c r="E1138" s="25"/>
      <c r="F1138" s="447" t="s">
        <v>48</v>
      </c>
      <c r="G1138" s="447"/>
      <c r="H1138" s="66">
        <f>H1137</f>
        <v>1755</v>
      </c>
    </row>
    <row r="1139" spans="1:8" ht="15.6" x14ac:dyDescent="0.3">
      <c r="A1139" s="448" t="s">
        <v>49</v>
      </c>
      <c r="B1139" s="449"/>
      <c r="C1139" s="24"/>
      <c r="D1139" s="25"/>
      <c r="E1139" s="25"/>
      <c r="F1139" s="447" t="s">
        <v>50</v>
      </c>
      <c r="G1139" s="447"/>
      <c r="H1139" s="66">
        <f>H1136+H1137+H1138</f>
        <v>23010</v>
      </c>
    </row>
    <row r="1140" spans="1:8" ht="15.6" x14ac:dyDescent="0.3">
      <c r="A1140" s="90"/>
      <c r="B1140" s="177"/>
      <c r="C1140" s="24"/>
      <c r="D1140" s="25"/>
      <c r="E1140" s="25"/>
      <c r="F1140" s="26"/>
      <c r="G1140" s="26"/>
      <c r="H1140" s="66"/>
    </row>
    <row r="1141" spans="1:8" ht="27" x14ac:dyDescent="0.3">
      <c r="A1141" s="29" t="s">
        <v>22</v>
      </c>
      <c r="B1141" s="30" t="s">
        <v>51</v>
      </c>
      <c r="C1141" s="31" t="s">
        <v>24</v>
      </c>
      <c r="D1141" s="31" t="s">
        <v>25</v>
      </c>
      <c r="E1141" s="528" t="s">
        <v>52</v>
      </c>
      <c r="F1141" s="528"/>
      <c r="G1141" s="28"/>
      <c r="H1141" s="32"/>
    </row>
    <row r="1142" spans="1:8" x14ac:dyDescent="0.3">
      <c r="A1142" s="33">
        <v>0.18</v>
      </c>
      <c r="B1142" s="34">
        <f>H1136</f>
        <v>19500</v>
      </c>
      <c r="C1142" s="35">
        <f>H1137</f>
        <v>1755</v>
      </c>
      <c r="D1142" s="35">
        <f>H1138</f>
        <v>1755</v>
      </c>
      <c r="E1142" s="529">
        <f>C1142+D1142</f>
        <v>3510</v>
      </c>
      <c r="F1142" s="530"/>
      <c r="G1142" s="28"/>
      <c r="H1142" s="32"/>
    </row>
    <row r="1143" spans="1:8" x14ac:dyDescent="0.3">
      <c r="A1143" s="452" t="s">
        <v>254</v>
      </c>
      <c r="B1143" s="453"/>
      <c r="C1143" s="453"/>
      <c r="D1143" s="453"/>
      <c r="E1143" s="453"/>
      <c r="F1143" s="453"/>
      <c r="G1143" s="453"/>
      <c r="H1143" s="454"/>
    </row>
    <row r="1144" spans="1:8" ht="15.6" x14ac:dyDescent="0.3">
      <c r="A1144" s="455" t="s">
        <v>53</v>
      </c>
      <c r="B1144" s="456"/>
      <c r="C1144" s="456"/>
      <c r="D1144" s="457"/>
      <c r="E1144" s="458" t="s">
        <v>54</v>
      </c>
      <c r="F1144" s="459"/>
      <c r="G1144" s="459"/>
      <c r="H1144" s="460"/>
    </row>
    <row r="1145" spans="1:8" x14ac:dyDescent="0.3">
      <c r="A1145" s="461" t="s">
        <v>55</v>
      </c>
      <c r="B1145" s="462"/>
      <c r="C1145" s="462"/>
      <c r="D1145" s="463"/>
      <c r="E1145" s="39"/>
      <c r="F1145" s="25"/>
      <c r="G1145" s="28"/>
      <c r="H1145" s="32"/>
    </row>
    <row r="1146" spans="1:8" x14ac:dyDescent="0.3">
      <c r="A1146" s="461" t="s">
        <v>56</v>
      </c>
      <c r="B1146" s="462"/>
      <c r="C1146" s="462"/>
      <c r="D1146" s="463"/>
      <c r="E1146" s="39"/>
      <c r="F1146" s="25"/>
      <c r="G1146" s="28"/>
      <c r="H1146" s="32"/>
    </row>
    <row r="1147" spans="1:8" x14ac:dyDescent="0.3">
      <c r="A1147" s="461" t="s">
        <v>57</v>
      </c>
      <c r="B1147" s="462"/>
      <c r="C1147" s="462"/>
      <c r="D1147" s="463"/>
      <c r="E1147" s="25"/>
      <c r="F1147" s="25"/>
      <c r="G1147" s="28"/>
      <c r="H1147" s="32"/>
    </row>
    <row r="1148" spans="1:8" ht="15.6" x14ac:dyDescent="0.3">
      <c r="A1148" s="464" t="s">
        <v>58</v>
      </c>
      <c r="B1148" s="465"/>
      <c r="C1148" s="465"/>
      <c r="D1148" s="510"/>
      <c r="E1148" s="466" t="s">
        <v>59</v>
      </c>
      <c r="F1148" s="467"/>
      <c r="G1148" s="467"/>
      <c r="H1148" s="468"/>
    </row>
    <row r="1152" spans="1:8" ht="44.4" x14ac:dyDescent="0.7">
      <c r="A1152" s="469" t="s">
        <v>0</v>
      </c>
      <c r="B1152" s="470"/>
      <c r="C1152" s="470"/>
      <c r="D1152" s="470"/>
      <c r="E1152" s="471" t="s">
        <v>1</v>
      </c>
      <c r="F1152" s="472"/>
      <c r="G1152" s="472"/>
      <c r="H1152" s="473"/>
    </row>
    <row r="1153" spans="1:11" ht="20.399999999999999" x14ac:dyDescent="0.35">
      <c r="A1153" s="1"/>
      <c r="B1153" s="535" t="s">
        <v>2</v>
      </c>
      <c r="C1153" s="535"/>
      <c r="D1153" s="535"/>
      <c r="E1153" s="474"/>
      <c r="F1153" s="474"/>
      <c r="G1153" s="474"/>
      <c r="H1153" s="475"/>
    </row>
    <row r="1154" spans="1:11" x14ac:dyDescent="0.3">
      <c r="A1154" s="477" t="s">
        <v>3</v>
      </c>
      <c r="B1154" s="478"/>
      <c r="C1154" s="136"/>
      <c r="D1154" s="499" t="s">
        <v>4</v>
      </c>
      <c r="E1154" s="499"/>
      <c r="F1154" s="137"/>
      <c r="G1154" s="137" t="s">
        <v>134</v>
      </c>
      <c r="H1154" s="120"/>
      <c r="K1154" t="s">
        <v>411</v>
      </c>
    </row>
    <row r="1155" spans="1:11" ht="15.6" x14ac:dyDescent="0.3">
      <c r="A1155" s="138" t="s">
        <v>6</v>
      </c>
      <c r="B1155" s="5"/>
      <c r="C1155" s="536" t="s">
        <v>7</v>
      </c>
      <c r="D1155" s="516"/>
      <c r="E1155" s="489">
        <v>26</v>
      </c>
      <c r="F1155" s="491"/>
      <c r="G1155" s="7" t="s">
        <v>8</v>
      </c>
      <c r="H1155" s="9" t="s">
        <v>274</v>
      </c>
      <c r="K1155" t="s">
        <v>412</v>
      </c>
    </row>
    <row r="1156" spans="1:11" ht="16.2" thickBot="1" x14ac:dyDescent="0.35">
      <c r="A1156" s="241" t="s">
        <v>275</v>
      </c>
      <c r="B1156" s="242"/>
      <c r="C1156" s="536" t="s">
        <v>276</v>
      </c>
      <c r="D1156" s="516"/>
      <c r="E1156" s="624">
        <v>4300559880</v>
      </c>
      <c r="F1156" s="625"/>
      <c r="G1156" s="7"/>
      <c r="H1156" s="178"/>
    </row>
    <row r="1157" spans="1:11" ht="15.6" x14ac:dyDescent="0.3">
      <c r="A1157" s="626" t="s">
        <v>277</v>
      </c>
      <c r="B1157" s="627"/>
      <c r="C1157" s="628" t="s">
        <v>265</v>
      </c>
      <c r="D1157" s="484"/>
      <c r="E1157" s="489" t="s">
        <v>266</v>
      </c>
      <c r="F1157" s="491"/>
      <c r="G1157" s="10"/>
      <c r="H1157" s="82"/>
    </row>
    <row r="1158" spans="1:11" ht="15.6" x14ac:dyDescent="0.3">
      <c r="A1158" s="629" t="s">
        <v>278</v>
      </c>
      <c r="B1158" s="630"/>
      <c r="C1158" s="536" t="s">
        <v>15</v>
      </c>
      <c r="D1158" s="516"/>
      <c r="E1158" s="631" t="s">
        <v>279</v>
      </c>
      <c r="F1158" s="632"/>
      <c r="G1158" s="633"/>
      <c r="H1158" s="126"/>
    </row>
    <row r="1159" spans="1:11" ht="15.6" x14ac:dyDescent="0.3">
      <c r="A1159" s="558"/>
      <c r="B1159" s="559"/>
      <c r="C1159" s="489"/>
      <c r="D1159" s="490"/>
      <c r="E1159" s="490"/>
      <c r="F1159" s="490"/>
      <c r="G1159" s="490"/>
      <c r="H1159" s="491"/>
    </row>
    <row r="1160" spans="1:11" ht="15" x14ac:dyDescent="0.3">
      <c r="A1160" s="493" t="s">
        <v>17</v>
      </c>
      <c r="B1160" s="495" t="s">
        <v>18</v>
      </c>
      <c r="C1160" s="495" t="s">
        <v>19</v>
      </c>
      <c r="D1160" s="495" t="s">
        <v>20</v>
      </c>
      <c r="E1160" s="495" t="s">
        <v>21</v>
      </c>
      <c r="F1160" s="541" t="s">
        <v>22</v>
      </c>
      <c r="G1160" s="542"/>
      <c r="H1160" s="493" t="s">
        <v>23</v>
      </c>
    </row>
    <row r="1161" spans="1:11" ht="27.6" x14ac:dyDescent="0.3">
      <c r="A1161" s="527"/>
      <c r="B1161" s="505"/>
      <c r="C1161" s="505"/>
      <c r="D1161" s="505"/>
      <c r="E1161" s="505"/>
      <c r="F1161" s="53" t="s">
        <v>24</v>
      </c>
      <c r="G1161" s="53" t="s">
        <v>25</v>
      </c>
      <c r="H1161" s="527"/>
    </row>
    <row r="1162" spans="1:11" x14ac:dyDescent="0.3">
      <c r="A1162" s="15">
        <v>1</v>
      </c>
      <c r="B1162" s="190" t="s">
        <v>280</v>
      </c>
      <c r="C1162" s="191">
        <v>1</v>
      </c>
      <c r="D1162" s="192">
        <v>998715</v>
      </c>
      <c r="E1162" s="192">
        <v>9650</v>
      </c>
      <c r="F1162" s="193">
        <f>E1162*C1162*9%</f>
        <v>868.5</v>
      </c>
      <c r="G1162" s="58">
        <f>F1162</f>
        <v>868.5</v>
      </c>
      <c r="H1162" s="59">
        <f>G1162+F1162+E1162</f>
        <v>11387</v>
      </c>
    </row>
    <row r="1163" spans="1:11" x14ac:dyDescent="0.3">
      <c r="A1163" s="20"/>
      <c r="B1163" s="60"/>
      <c r="C1163" s="55"/>
      <c r="D1163" s="55"/>
      <c r="E1163" s="55"/>
      <c r="F1163" s="93"/>
      <c r="G1163" s="93"/>
      <c r="H1163" s="62"/>
    </row>
    <row r="1164" spans="1:11" x14ac:dyDescent="0.3">
      <c r="A1164" s="20"/>
      <c r="B1164" s="60"/>
      <c r="C1164" s="55"/>
      <c r="D1164" s="55"/>
      <c r="E1164" s="55"/>
      <c r="F1164" s="93"/>
      <c r="G1164" s="93"/>
      <c r="H1164" s="62"/>
    </row>
    <row r="1165" spans="1:11" x14ac:dyDescent="0.3">
      <c r="A1165" s="20"/>
      <c r="B1165" s="63"/>
      <c r="C1165" s="129"/>
      <c r="D1165" s="55"/>
      <c r="E1165" s="55"/>
      <c r="F1165" s="93"/>
      <c r="G1165" s="93"/>
      <c r="H1165" s="62"/>
    </row>
    <row r="1166" spans="1:11" x14ac:dyDescent="0.3">
      <c r="A1166" s="20"/>
      <c r="B1166" s="63"/>
      <c r="C1166" s="129"/>
      <c r="D1166" s="55"/>
      <c r="E1166" s="55"/>
      <c r="F1166" s="93"/>
      <c r="G1166" s="93"/>
      <c r="H1166" s="62"/>
    </row>
    <row r="1167" spans="1:11" x14ac:dyDescent="0.3">
      <c r="A1167" s="20"/>
      <c r="B1167" s="130"/>
      <c r="C1167" s="129"/>
      <c r="D1167" s="55"/>
      <c r="E1167" s="55"/>
      <c r="F1167" s="93"/>
      <c r="G1167" s="93"/>
      <c r="H1167" s="62"/>
    </row>
    <row r="1168" spans="1:11" x14ac:dyDescent="0.3">
      <c r="A1168" s="20"/>
      <c r="B1168" s="63"/>
      <c r="C1168" s="129"/>
      <c r="D1168" s="55"/>
      <c r="E1168" s="55"/>
      <c r="F1168" s="93"/>
      <c r="G1168" s="93"/>
      <c r="H1168" s="62"/>
    </row>
    <row r="1169" spans="1:8" x14ac:dyDescent="0.3">
      <c r="A1169" s="20"/>
      <c r="B1169" s="63"/>
      <c r="C1169" s="55"/>
      <c r="D1169" s="55"/>
      <c r="E1169" s="55"/>
      <c r="F1169" s="93"/>
      <c r="G1169" s="93"/>
      <c r="H1169" s="62"/>
    </row>
    <row r="1170" spans="1:8" x14ac:dyDescent="0.3">
      <c r="A1170" s="27"/>
      <c r="B1170" s="28"/>
      <c r="C1170" s="24"/>
      <c r="D1170" s="25"/>
      <c r="E1170" s="25"/>
      <c r="F1170" s="28"/>
      <c r="G1170" s="28"/>
      <c r="H1170" s="32"/>
    </row>
    <row r="1171" spans="1:8" x14ac:dyDescent="0.3">
      <c r="A1171" s="618" t="s">
        <v>267</v>
      </c>
      <c r="B1171" s="619"/>
      <c r="C1171" s="618" t="s">
        <v>268</v>
      </c>
      <c r="D1171" s="620"/>
      <c r="E1171" s="619"/>
      <c r="F1171" s="28"/>
      <c r="G1171" s="28"/>
      <c r="H1171" s="32"/>
    </row>
    <row r="1172" spans="1:8" x14ac:dyDescent="0.3">
      <c r="A1172" s="178" t="s">
        <v>269</v>
      </c>
      <c r="B1172" s="163"/>
      <c r="C1172" s="621">
        <v>10142001000604</v>
      </c>
      <c r="D1172" s="622"/>
      <c r="E1172" s="623"/>
      <c r="F1172" s="28"/>
      <c r="G1172" s="28"/>
      <c r="H1172" s="32"/>
    </row>
    <row r="1173" spans="1:8" x14ac:dyDescent="0.3">
      <c r="A1173" s="178" t="s">
        <v>270</v>
      </c>
      <c r="B1173" s="163"/>
      <c r="C1173" s="618" t="s">
        <v>271</v>
      </c>
      <c r="D1173" s="620"/>
      <c r="E1173" s="619"/>
      <c r="F1173" s="28"/>
      <c r="G1173" s="28"/>
      <c r="H1173" s="32"/>
    </row>
    <row r="1174" spans="1:8" x14ac:dyDescent="0.3">
      <c r="A1174" s="618" t="s">
        <v>272</v>
      </c>
      <c r="B1174" s="619"/>
      <c r="C1174" s="618" t="s">
        <v>273</v>
      </c>
      <c r="D1174" s="620"/>
      <c r="E1174" s="619"/>
      <c r="F1174" s="28"/>
      <c r="G1174" s="28"/>
      <c r="H1174" s="32"/>
    </row>
    <row r="1175" spans="1:8" x14ac:dyDescent="0.3">
      <c r="A1175" s="27"/>
      <c r="B1175" s="28"/>
      <c r="C1175" s="24"/>
      <c r="D1175" s="25"/>
      <c r="E1175" s="25"/>
      <c r="F1175" s="28"/>
      <c r="G1175" s="28"/>
      <c r="H1175" s="32"/>
    </row>
    <row r="1176" spans="1:8" x14ac:dyDescent="0.3">
      <c r="A1176" s="27"/>
      <c r="B1176" s="28"/>
      <c r="C1176" s="24"/>
      <c r="D1176" s="25"/>
      <c r="E1176" s="25"/>
      <c r="F1176" s="28"/>
      <c r="G1176" s="28"/>
      <c r="H1176" s="32"/>
    </row>
    <row r="1177" spans="1:8" x14ac:dyDescent="0.3">
      <c r="A1177" s="27"/>
      <c r="B1177" s="28"/>
      <c r="C1177" s="24"/>
      <c r="D1177" s="25"/>
      <c r="E1177" s="25"/>
      <c r="F1177" s="28"/>
      <c r="G1177" s="28"/>
      <c r="H1177" s="32"/>
    </row>
    <row r="1178" spans="1:8" ht="15.6" x14ac:dyDescent="0.3">
      <c r="A1178" s="448" t="s">
        <v>45</v>
      </c>
      <c r="B1178" s="449"/>
      <c r="C1178" s="24"/>
      <c r="D1178" s="25"/>
      <c r="E1178" s="25"/>
      <c r="F1178" s="447" t="s">
        <v>46</v>
      </c>
      <c r="G1178" s="447"/>
      <c r="H1178" s="66">
        <v>9650</v>
      </c>
    </row>
    <row r="1179" spans="1:8" ht="15.6" x14ac:dyDescent="0.3">
      <c r="A1179" s="497" t="s">
        <v>281</v>
      </c>
      <c r="B1179" s="498"/>
      <c r="C1179" s="498"/>
      <c r="D1179" s="498"/>
      <c r="E1179" s="498"/>
      <c r="F1179" s="447" t="s">
        <v>47</v>
      </c>
      <c r="G1179" s="447"/>
      <c r="H1179" s="66">
        <v>869</v>
      </c>
    </row>
    <row r="1180" spans="1:8" ht="15.6" x14ac:dyDescent="0.3">
      <c r="A1180" s="27"/>
      <c r="B1180" s="28"/>
      <c r="C1180" s="24"/>
      <c r="D1180" s="25"/>
      <c r="E1180" s="25"/>
      <c r="F1180" s="447" t="s">
        <v>48</v>
      </c>
      <c r="G1180" s="447"/>
      <c r="H1180" s="66">
        <v>869</v>
      </c>
    </row>
    <row r="1181" spans="1:8" ht="15.6" x14ac:dyDescent="0.3">
      <c r="A1181" s="90" t="s">
        <v>49</v>
      </c>
      <c r="B1181" s="28"/>
      <c r="C1181" s="24"/>
      <c r="D1181" s="25"/>
      <c r="E1181" s="25"/>
      <c r="F1181" s="447" t="s">
        <v>50</v>
      </c>
      <c r="G1181" s="447"/>
      <c r="H1181" s="66">
        <v>11387</v>
      </c>
    </row>
    <row r="1182" spans="1:8" ht="27" x14ac:dyDescent="0.3">
      <c r="A1182" s="68" t="s">
        <v>22</v>
      </c>
      <c r="B1182" s="30" t="s">
        <v>51</v>
      </c>
      <c r="C1182" s="70" t="s">
        <v>24</v>
      </c>
      <c r="D1182" s="31" t="s">
        <v>25</v>
      </c>
      <c r="E1182" s="543" t="s">
        <v>52</v>
      </c>
      <c r="F1182" s="543"/>
      <c r="G1182" s="28"/>
      <c r="H1182" s="32"/>
    </row>
    <row r="1183" spans="1:8" x14ac:dyDescent="0.3">
      <c r="A1183" s="72">
        <v>0.18</v>
      </c>
      <c r="B1183" s="73">
        <f>H1178</f>
        <v>9650</v>
      </c>
      <c r="C1183" s="74">
        <f>H1179</f>
        <v>869</v>
      </c>
      <c r="D1183" s="74">
        <f>H1179</f>
        <v>869</v>
      </c>
      <c r="E1183" s="507">
        <f>C1183+D1183</f>
        <v>1738</v>
      </c>
      <c r="F1183" s="507"/>
      <c r="G1183" s="74"/>
      <c r="H1183" s="75"/>
    </row>
    <row r="1184" spans="1:8" x14ac:dyDescent="0.3">
      <c r="A1184" s="508" t="s">
        <v>282</v>
      </c>
      <c r="B1184" s="509"/>
      <c r="C1184" s="509"/>
      <c r="D1184" s="509"/>
      <c r="E1184" s="453"/>
      <c r="F1184" s="453"/>
      <c r="G1184" s="453"/>
      <c r="H1184" s="454"/>
    </row>
    <row r="1185" spans="1:11" ht="15.6" x14ac:dyDescent="0.3">
      <c r="A1185" s="455" t="s">
        <v>53</v>
      </c>
      <c r="B1185" s="456"/>
      <c r="C1185" s="456"/>
      <c r="D1185" s="457"/>
      <c r="E1185" s="458" t="s">
        <v>54</v>
      </c>
      <c r="F1185" s="459"/>
      <c r="G1185" s="459"/>
      <c r="H1185" s="460"/>
    </row>
    <row r="1186" spans="1:11" x14ac:dyDescent="0.3">
      <c r="A1186" s="461" t="s">
        <v>55</v>
      </c>
      <c r="B1186" s="462"/>
      <c r="C1186" s="462"/>
      <c r="D1186" s="463"/>
      <c r="E1186" s="39"/>
      <c r="F1186" s="28"/>
      <c r="G1186" s="28"/>
      <c r="H1186" s="32"/>
    </row>
    <row r="1187" spans="1:11" x14ac:dyDescent="0.3">
      <c r="A1187" s="461" t="s">
        <v>56</v>
      </c>
      <c r="B1187" s="462"/>
      <c r="C1187" s="462"/>
      <c r="D1187" s="463"/>
      <c r="E1187" s="39"/>
      <c r="F1187" s="28"/>
      <c r="G1187" s="28"/>
      <c r="H1187" s="32"/>
    </row>
    <row r="1188" spans="1:11" x14ac:dyDescent="0.3">
      <c r="A1188" s="461" t="s">
        <v>57</v>
      </c>
      <c r="B1188" s="462"/>
      <c r="C1188" s="462"/>
      <c r="D1188" s="463"/>
      <c r="E1188" s="39"/>
      <c r="F1188" s="28"/>
      <c r="G1188" s="28"/>
      <c r="H1188" s="32"/>
    </row>
    <row r="1189" spans="1:11" ht="15.6" x14ac:dyDescent="0.3">
      <c r="A1189" s="464" t="s">
        <v>58</v>
      </c>
      <c r="B1189" s="465"/>
      <c r="C1189" s="465"/>
      <c r="D1189" s="465"/>
      <c r="E1189" s="466" t="s">
        <v>59</v>
      </c>
      <c r="F1189" s="467"/>
      <c r="G1189" s="467"/>
      <c r="H1189" s="468"/>
    </row>
    <row r="1194" spans="1:11" ht="44.4" x14ac:dyDescent="0.7">
      <c r="A1194" s="469" t="s">
        <v>0</v>
      </c>
      <c r="B1194" s="470"/>
      <c r="C1194" s="470"/>
      <c r="D1194" s="470"/>
      <c r="E1194" s="471" t="s">
        <v>1</v>
      </c>
      <c r="F1194" s="472"/>
      <c r="G1194" s="472"/>
      <c r="H1194" s="473"/>
    </row>
    <row r="1195" spans="1:11" ht="20.399999999999999" x14ac:dyDescent="0.35">
      <c r="A1195" s="1"/>
      <c r="B1195" s="476" t="s">
        <v>2</v>
      </c>
      <c r="C1195" s="476"/>
      <c r="D1195" s="476"/>
      <c r="E1195" s="474"/>
      <c r="F1195" s="474"/>
      <c r="G1195" s="474"/>
      <c r="H1195" s="475"/>
    </row>
    <row r="1196" spans="1:11" x14ac:dyDescent="0.3">
      <c r="A1196" s="477" t="s">
        <v>3</v>
      </c>
      <c r="B1196" s="478"/>
      <c r="C1196" s="479" t="s">
        <v>4</v>
      </c>
      <c r="D1196" s="479"/>
      <c r="E1196" s="548" t="s">
        <v>5</v>
      </c>
      <c r="F1196" s="549"/>
      <c r="G1196" s="549"/>
      <c r="H1196" s="550"/>
      <c r="J1196" s="234" t="s">
        <v>371</v>
      </c>
    </row>
    <row r="1197" spans="1:11" ht="15.6" x14ac:dyDescent="0.3">
      <c r="A1197" s="4" t="s">
        <v>6</v>
      </c>
      <c r="B1197" s="5"/>
      <c r="C1197" s="481" t="s">
        <v>7</v>
      </c>
      <c r="D1197" s="481"/>
      <c r="E1197" s="482">
        <v>27</v>
      </c>
      <c r="F1197" s="482"/>
      <c r="G1197" s="7" t="s">
        <v>8</v>
      </c>
      <c r="H1197" s="8">
        <v>45813</v>
      </c>
      <c r="J1197" s="287">
        <v>45876</v>
      </c>
      <c r="K1197" t="s">
        <v>585</v>
      </c>
    </row>
    <row r="1198" spans="1:11" ht="15.6" x14ac:dyDescent="0.3">
      <c r="A1198" s="551" t="s">
        <v>287</v>
      </c>
      <c r="B1198" s="552"/>
      <c r="C1198" s="481" t="s">
        <v>10</v>
      </c>
      <c r="D1198" s="481"/>
      <c r="E1198" s="482">
        <v>6</v>
      </c>
      <c r="F1198" s="482"/>
      <c r="G1198" s="7" t="s">
        <v>8</v>
      </c>
      <c r="H1198" s="9" t="s">
        <v>300</v>
      </c>
    </row>
    <row r="1199" spans="1:11" ht="26.25" customHeight="1" x14ac:dyDescent="0.3">
      <c r="A1199" s="517" t="s">
        <v>288</v>
      </c>
      <c r="B1199" s="553"/>
      <c r="C1199" s="483" t="s">
        <v>12</v>
      </c>
      <c r="D1199" s="484"/>
      <c r="E1199" s="554" t="s">
        <v>291</v>
      </c>
      <c r="F1199" s="555"/>
      <c r="G1199" s="10" t="s">
        <v>8</v>
      </c>
      <c r="H1199" s="11" t="s">
        <v>292</v>
      </c>
    </row>
    <row r="1200" spans="1:11" ht="15.6" x14ac:dyDescent="0.3">
      <c r="A1200" s="556"/>
      <c r="B1200" s="557"/>
      <c r="C1200" s="481" t="s">
        <v>15</v>
      </c>
      <c r="D1200" s="481"/>
      <c r="E1200" s="502" t="s">
        <v>289</v>
      </c>
      <c r="F1200" s="503"/>
      <c r="G1200" s="503"/>
      <c r="H1200" s="504"/>
    </row>
    <row r="1201" spans="1:9" ht="15.6" x14ac:dyDescent="0.3">
      <c r="A1201" s="558" t="s">
        <v>290</v>
      </c>
      <c r="B1201" s="559"/>
      <c r="C1201" s="489"/>
      <c r="D1201" s="490"/>
      <c r="E1201" s="490"/>
      <c r="F1201" s="490"/>
      <c r="G1201" s="490"/>
      <c r="H1201" s="491"/>
    </row>
    <row r="1202" spans="1:9" ht="15" x14ac:dyDescent="0.3">
      <c r="A1202" s="492" t="s">
        <v>17</v>
      </c>
      <c r="B1202" s="494" t="s">
        <v>18</v>
      </c>
      <c r="C1202" s="494" t="s">
        <v>19</v>
      </c>
      <c r="D1202" s="494" t="s">
        <v>20</v>
      </c>
      <c r="E1202" s="494" t="s">
        <v>21</v>
      </c>
      <c r="F1202" s="494" t="s">
        <v>22</v>
      </c>
      <c r="G1202" s="494"/>
      <c r="H1202" s="492" t="s">
        <v>23</v>
      </c>
    </row>
    <row r="1203" spans="1:9" ht="27.6" x14ac:dyDescent="0.3">
      <c r="A1203" s="492"/>
      <c r="B1203" s="494"/>
      <c r="C1203" s="494"/>
      <c r="D1203" s="494"/>
      <c r="E1203" s="494"/>
      <c r="F1203" s="53" t="s">
        <v>24</v>
      </c>
      <c r="G1203" s="53" t="s">
        <v>25</v>
      </c>
      <c r="H1203" s="492"/>
    </row>
    <row r="1204" spans="1:9" x14ac:dyDescent="0.3">
      <c r="A1204" s="57">
        <v>1</v>
      </c>
      <c r="B1204" s="60" t="s">
        <v>294</v>
      </c>
      <c r="C1204" s="57">
        <v>2</v>
      </c>
      <c r="D1204" s="208">
        <v>38249025</v>
      </c>
      <c r="E1204" s="57">
        <v>2100</v>
      </c>
      <c r="F1204" s="57">
        <f>E1204*C1204*9%</f>
        <v>378</v>
      </c>
      <c r="G1204" s="57">
        <f>F1204</f>
        <v>378</v>
      </c>
      <c r="H1204" s="57">
        <f>G1204+F1204+E1204*C1204</f>
        <v>4956</v>
      </c>
      <c r="I1204" s="362">
        <f>E1204*C1204</f>
        <v>4200</v>
      </c>
    </row>
    <row r="1205" spans="1:9" x14ac:dyDescent="0.3">
      <c r="A1205" s="55">
        <v>2</v>
      </c>
      <c r="B1205" s="60" t="s">
        <v>293</v>
      </c>
      <c r="C1205" s="57">
        <v>2</v>
      </c>
      <c r="D1205" s="208">
        <v>38249025</v>
      </c>
      <c r="E1205" s="57">
        <v>1750</v>
      </c>
      <c r="F1205" s="57">
        <f>E1205*C1205*9%</f>
        <v>315</v>
      </c>
      <c r="G1205" s="57">
        <f>F1205</f>
        <v>315</v>
      </c>
      <c r="H1205" s="57">
        <f>G1205+F1205+E1205*C1205</f>
        <v>4130</v>
      </c>
      <c r="I1205" s="362">
        <f>E1205*C1205</f>
        <v>3500</v>
      </c>
    </row>
    <row r="1206" spans="1:9" x14ac:dyDescent="0.3">
      <c r="A1206" s="55">
        <v>3</v>
      </c>
      <c r="B1206" s="60" t="s">
        <v>295</v>
      </c>
      <c r="C1206" s="57">
        <v>5</v>
      </c>
      <c r="D1206" s="208">
        <v>38249025</v>
      </c>
      <c r="E1206" s="57">
        <v>450</v>
      </c>
      <c r="F1206" s="57">
        <f>E1206*C1206*9%</f>
        <v>202.5</v>
      </c>
      <c r="G1206" s="57">
        <f>F1206</f>
        <v>202.5</v>
      </c>
      <c r="H1206" s="57">
        <f>G1206+F1206+E1206*C1206</f>
        <v>2655</v>
      </c>
      <c r="I1206" s="362">
        <f>E1206*C1206</f>
        <v>2250</v>
      </c>
    </row>
    <row r="1207" spans="1:9" x14ac:dyDescent="0.3">
      <c r="A1207" s="55"/>
      <c r="B1207" s="130"/>
      <c r="C1207" s="83"/>
      <c r="D1207" s="83"/>
      <c r="E1207" s="57"/>
      <c r="F1207" s="57"/>
      <c r="G1207" s="57"/>
      <c r="H1207" s="57"/>
    </row>
    <row r="1208" spans="1:9" x14ac:dyDescent="0.3">
      <c r="A1208" s="55"/>
      <c r="B1208" s="130"/>
      <c r="C1208" s="83"/>
      <c r="D1208" s="83"/>
      <c r="E1208" s="57"/>
      <c r="F1208" s="57"/>
      <c r="G1208" s="57"/>
      <c r="H1208" s="57"/>
    </row>
    <row r="1209" spans="1:9" x14ac:dyDescent="0.3">
      <c r="A1209" s="55"/>
      <c r="B1209" s="130"/>
      <c r="C1209" s="83"/>
      <c r="D1209" s="83"/>
      <c r="E1209" s="57"/>
      <c r="F1209" s="57"/>
      <c r="G1209" s="57"/>
      <c r="H1209" s="57"/>
    </row>
    <row r="1210" spans="1:9" x14ac:dyDescent="0.3">
      <c r="A1210" s="55"/>
      <c r="B1210" s="130"/>
      <c r="C1210" s="83"/>
      <c r="D1210" s="83"/>
      <c r="E1210" s="57"/>
      <c r="F1210" s="57"/>
      <c r="G1210" s="57"/>
      <c r="H1210" s="57"/>
    </row>
    <row r="1211" spans="1:9" x14ac:dyDescent="0.3">
      <c r="A1211" s="55"/>
      <c r="B1211" s="130"/>
      <c r="C1211" s="83"/>
      <c r="D1211" s="57"/>
      <c r="E1211" s="57"/>
      <c r="F1211" s="57"/>
      <c r="G1211" s="57"/>
      <c r="H1211" s="57"/>
    </row>
    <row r="1212" spans="1:9" x14ac:dyDescent="0.3">
      <c r="A1212" s="194"/>
      <c r="B1212" s="195"/>
      <c r="C1212" s="196"/>
      <c r="D1212" s="194"/>
      <c r="E1212" s="194"/>
      <c r="F1212" s="145"/>
      <c r="G1212" s="197"/>
      <c r="H1212" s="198"/>
    </row>
    <row r="1213" spans="1:9" x14ac:dyDescent="0.3">
      <c r="A1213" s="199"/>
      <c r="B1213" s="200"/>
      <c r="C1213" s="201"/>
      <c r="D1213" s="202"/>
      <c r="E1213" s="203"/>
      <c r="F1213" s="204"/>
      <c r="G1213" s="204"/>
      <c r="H1213" s="205"/>
    </row>
    <row r="1214" spans="1:9" x14ac:dyDescent="0.3">
      <c r="A1214" s="173"/>
      <c r="B1214" s="88"/>
      <c r="C1214" s="206"/>
      <c r="D1214" s="89"/>
      <c r="E1214" s="207"/>
      <c r="F1214" s="25"/>
      <c r="G1214" s="25"/>
      <c r="H1214" s="32"/>
    </row>
    <row r="1215" spans="1:9" x14ac:dyDescent="0.3">
      <c r="A1215" s="173"/>
      <c r="B1215" s="88"/>
      <c r="C1215" s="206"/>
      <c r="D1215" s="89"/>
      <c r="E1215" s="207"/>
      <c r="F1215" s="25"/>
      <c r="G1215" s="25"/>
      <c r="H1215" s="32"/>
    </row>
    <row r="1216" spans="1:9" x14ac:dyDescent="0.3">
      <c r="A1216" s="173"/>
      <c r="B1216" s="88"/>
      <c r="C1216" s="206"/>
      <c r="D1216" s="89"/>
      <c r="E1216" s="207"/>
      <c r="F1216" s="25"/>
      <c r="G1216" s="25"/>
      <c r="H1216" s="32"/>
    </row>
    <row r="1217" spans="1:8" x14ac:dyDescent="0.3">
      <c r="A1217" s="173"/>
      <c r="B1217" s="88"/>
      <c r="C1217" s="206"/>
      <c r="D1217" s="89"/>
      <c r="E1217" s="207"/>
      <c r="F1217" s="25"/>
      <c r="G1217" s="25"/>
      <c r="H1217" s="32"/>
    </row>
    <row r="1218" spans="1:8" x14ac:dyDescent="0.3">
      <c r="A1218" s="173"/>
      <c r="B1218" s="88"/>
      <c r="C1218" s="206"/>
      <c r="D1218" s="89"/>
      <c r="E1218" s="207"/>
      <c r="F1218" s="25"/>
      <c r="G1218" s="25"/>
      <c r="H1218" s="32"/>
    </row>
    <row r="1219" spans="1:8" x14ac:dyDescent="0.3">
      <c r="A1219" s="173"/>
      <c r="B1219" s="88"/>
      <c r="C1219" s="206"/>
      <c r="D1219" s="89"/>
      <c r="E1219" s="207"/>
      <c r="F1219" s="25"/>
      <c r="G1219" s="25"/>
      <c r="H1219" s="32"/>
    </row>
    <row r="1220" spans="1:8" x14ac:dyDescent="0.3">
      <c r="A1220" s="173"/>
      <c r="B1220" s="88"/>
      <c r="C1220" s="206"/>
      <c r="D1220" s="89"/>
      <c r="E1220" s="207"/>
      <c r="F1220" s="25"/>
      <c r="G1220" s="25"/>
      <c r="H1220" s="32"/>
    </row>
    <row r="1221" spans="1:8" x14ac:dyDescent="0.3">
      <c r="A1221" s="173"/>
      <c r="B1221" s="88"/>
      <c r="C1221" s="206"/>
      <c r="D1221" s="89"/>
      <c r="E1221" s="207"/>
      <c r="F1221" s="25"/>
      <c r="G1221" s="25"/>
      <c r="H1221" s="32"/>
    </row>
    <row r="1222" spans="1:8" x14ac:dyDescent="0.3">
      <c r="A1222" s="173"/>
      <c r="B1222" s="88"/>
      <c r="C1222" s="206"/>
      <c r="D1222" s="89"/>
      <c r="E1222" s="207"/>
      <c r="F1222" s="25"/>
      <c r="G1222" s="25"/>
      <c r="H1222" s="32"/>
    </row>
    <row r="1223" spans="1:8" x14ac:dyDescent="0.3">
      <c r="A1223" s="173"/>
      <c r="B1223" s="88"/>
      <c r="C1223" s="206"/>
      <c r="D1223" s="89"/>
      <c r="E1223" s="25"/>
      <c r="F1223" s="25"/>
      <c r="G1223" s="25"/>
      <c r="H1223" s="32"/>
    </row>
    <row r="1224" spans="1:8" x14ac:dyDescent="0.3">
      <c r="A1224" s="27"/>
      <c r="B1224" s="88"/>
      <c r="C1224" s="24"/>
      <c r="D1224" s="89"/>
      <c r="E1224" s="25"/>
      <c r="F1224" s="25"/>
      <c r="G1224" s="25"/>
      <c r="H1224" s="32"/>
    </row>
    <row r="1225" spans="1:8" x14ac:dyDescent="0.3">
      <c r="A1225" s="27"/>
      <c r="B1225" s="28"/>
      <c r="C1225" s="24"/>
      <c r="D1225" s="25"/>
      <c r="E1225" s="25"/>
      <c r="F1225" s="28"/>
      <c r="G1225" s="28"/>
      <c r="H1225" s="32"/>
    </row>
    <row r="1226" spans="1:8" ht="15.6" x14ac:dyDescent="0.3">
      <c r="A1226" s="448" t="s">
        <v>45</v>
      </c>
      <c r="B1226" s="449"/>
      <c r="C1226" s="24"/>
      <c r="D1226" s="25"/>
      <c r="E1226" s="25"/>
      <c r="F1226" s="447" t="s">
        <v>46</v>
      </c>
      <c r="G1226" s="447"/>
      <c r="H1226" s="66">
        <v>9950</v>
      </c>
    </row>
    <row r="1227" spans="1:8" ht="15.6" x14ac:dyDescent="0.3">
      <c r="A1227" s="497" t="s">
        <v>296</v>
      </c>
      <c r="B1227" s="498"/>
      <c r="C1227" s="498"/>
      <c r="D1227" s="498"/>
      <c r="E1227" s="498"/>
      <c r="F1227" s="447" t="s">
        <v>47</v>
      </c>
      <c r="G1227" s="447"/>
      <c r="H1227" s="66">
        <f>H1226*9%</f>
        <v>895.5</v>
      </c>
    </row>
    <row r="1228" spans="1:8" ht="15.6" x14ac:dyDescent="0.3">
      <c r="A1228" s="27"/>
      <c r="B1228" s="28"/>
      <c r="C1228" s="24"/>
      <c r="D1228" s="25"/>
      <c r="E1228" s="25"/>
      <c r="F1228" s="447" t="s">
        <v>48</v>
      </c>
      <c r="G1228" s="447"/>
      <c r="H1228" s="66">
        <f>H1227</f>
        <v>895.5</v>
      </c>
    </row>
    <row r="1229" spans="1:8" ht="15.6" x14ac:dyDescent="0.3">
      <c r="A1229" s="448" t="s">
        <v>49</v>
      </c>
      <c r="B1229" s="449"/>
      <c r="C1229" s="24"/>
      <c r="D1229" s="25"/>
      <c r="E1229" s="25"/>
      <c r="F1229" s="447" t="s">
        <v>50</v>
      </c>
      <c r="G1229" s="447"/>
      <c r="H1229" s="66">
        <v>11741</v>
      </c>
    </row>
    <row r="1230" spans="1:8" ht="26.4" x14ac:dyDescent="0.3">
      <c r="A1230" s="68" t="s">
        <v>22</v>
      </c>
      <c r="B1230" s="30" t="s">
        <v>51</v>
      </c>
      <c r="C1230" s="70" t="s">
        <v>24</v>
      </c>
      <c r="D1230" s="70" t="s">
        <v>25</v>
      </c>
      <c r="E1230" s="543" t="s">
        <v>52</v>
      </c>
      <c r="F1230" s="543"/>
      <c r="G1230" s="28"/>
      <c r="H1230" s="32"/>
    </row>
    <row r="1231" spans="1:8" x14ac:dyDescent="0.3">
      <c r="A1231" s="72">
        <v>0.18</v>
      </c>
      <c r="B1231" s="73">
        <f>H1226</f>
        <v>9950</v>
      </c>
      <c r="C1231" s="91">
        <f>H1227</f>
        <v>895.5</v>
      </c>
      <c r="D1231" s="91">
        <f>H1227</f>
        <v>895.5</v>
      </c>
      <c r="E1231" s="506">
        <f>C1231+D1231</f>
        <v>1791</v>
      </c>
      <c r="F1231" s="507"/>
      <c r="G1231" s="74"/>
      <c r="H1231" s="75"/>
    </row>
    <row r="1232" spans="1:8" x14ac:dyDescent="0.3">
      <c r="A1232" s="508" t="s">
        <v>297</v>
      </c>
      <c r="B1232" s="509"/>
      <c r="C1232" s="509"/>
      <c r="D1232" s="509"/>
      <c r="E1232" s="453"/>
      <c r="F1232" s="453"/>
      <c r="G1232" s="453"/>
      <c r="H1232" s="454"/>
    </row>
    <row r="1233" spans="1:8" ht="15.6" x14ac:dyDescent="0.3">
      <c r="A1233" s="455" t="s">
        <v>53</v>
      </c>
      <c r="B1233" s="456"/>
      <c r="C1233" s="456"/>
      <c r="D1233" s="457"/>
      <c r="E1233" s="458" t="s">
        <v>54</v>
      </c>
      <c r="F1233" s="459"/>
      <c r="G1233" s="459"/>
      <c r="H1233" s="460"/>
    </row>
    <row r="1234" spans="1:8" x14ac:dyDescent="0.3">
      <c r="A1234" s="461" t="s">
        <v>55</v>
      </c>
      <c r="B1234" s="462"/>
      <c r="C1234" s="462"/>
      <c r="D1234" s="463"/>
      <c r="E1234" s="39"/>
      <c r="F1234" s="28"/>
      <c r="G1234" s="28"/>
      <c r="H1234" s="32"/>
    </row>
    <row r="1235" spans="1:8" x14ac:dyDescent="0.3">
      <c r="A1235" s="461" t="s">
        <v>56</v>
      </c>
      <c r="B1235" s="462"/>
      <c r="C1235" s="462"/>
      <c r="D1235" s="463"/>
      <c r="E1235" s="39"/>
      <c r="F1235" s="28"/>
      <c r="G1235" s="28"/>
      <c r="H1235" s="32"/>
    </row>
    <row r="1236" spans="1:8" x14ac:dyDescent="0.3">
      <c r="A1236" s="461" t="s">
        <v>57</v>
      </c>
      <c r="B1236" s="462"/>
      <c r="C1236" s="462"/>
      <c r="D1236" s="463"/>
      <c r="E1236" s="39"/>
      <c r="F1236" s="28"/>
      <c r="G1236" s="28"/>
      <c r="H1236" s="32"/>
    </row>
    <row r="1237" spans="1:8" ht="15.6" x14ac:dyDescent="0.3">
      <c r="A1237" s="464" t="s">
        <v>58</v>
      </c>
      <c r="B1237" s="465"/>
      <c r="C1237" s="465"/>
      <c r="D1237" s="465"/>
      <c r="E1237" s="466" t="s">
        <v>59</v>
      </c>
      <c r="F1237" s="467"/>
      <c r="G1237" s="467"/>
      <c r="H1237" s="468"/>
    </row>
    <row r="1241" spans="1:8" ht="44.4" x14ac:dyDescent="0.7">
      <c r="A1241" s="469" t="s">
        <v>0</v>
      </c>
      <c r="B1241" s="470"/>
      <c r="C1241" s="470"/>
      <c r="D1241" s="470"/>
      <c r="E1241" s="471" t="s">
        <v>1</v>
      </c>
      <c r="F1241" s="472"/>
      <c r="G1241" s="472"/>
      <c r="H1241" s="473"/>
    </row>
    <row r="1242" spans="1:8" ht="20.399999999999999" x14ac:dyDescent="0.35">
      <c r="A1242" s="1"/>
      <c r="B1242" s="476" t="s">
        <v>2</v>
      </c>
      <c r="C1242" s="476"/>
      <c r="D1242" s="476"/>
      <c r="E1242" s="474"/>
      <c r="F1242" s="474"/>
      <c r="G1242" s="474"/>
      <c r="H1242" s="475"/>
    </row>
    <row r="1243" spans="1:8" x14ac:dyDescent="0.3">
      <c r="A1243" s="477" t="s">
        <v>3</v>
      </c>
      <c r="B1243" s="478"/>
      <c r="C1243" s="479" t="s">
        <v>4</v>
      </c>
      <c r="D1243" s="479"/>
      <c r="E1243" s="548" t="s">
        <v>5</v>
      </c>
      <c r="F1243" s="549"/>
      <c r="G1243" s="549"/>
      <c r="H1243" s="550"/>
    </row>
    <row r="1244" spans="1:8" ht="15.6" x14ac:dyDescent="0.3">
      <c r="A1244" s="4" t="s">
        <v>6</v>
      </c>
      <c r="B1244" s="5"/>
      <c r="C1244" s="481" t="s">
        <v>7</v>
      </c>
      <c r="D1244" s="481"/>
      <c r="E1244" s="482">
        <v>28</v>
      </c>
      <c r="F1244" s="482"/>
      <c r="G1244" s="7" t="s">
        <v>8</v>
      </c>
      <c r="H1244" s="8">
        <v>45813</v>
      </c>
    </row>
    <row r="1245" spans="1:8" ht="15.6" x14ac:dyDescent="0.3">
      <c r="A1245" s="551" t="s">
        <v>287</v>
      </c>
      <c r="B1245" s="552"/>
      <c r="C1245" s="481" t="s">
        <v>10</v>
      </c>
      <c r="D1245" s="481"/>
      <c r="E1245" s="482">
        <v>3</v>
      </c>
      <c r="F1245" s="482"/>
      <c r="G1245" s="7" t="s">
        <v>8</v>
      </c>
      <c r="H1245" s="9">
        <v>45842</v>
      </c>
    </row>
    <row r="1246" spans="1:8" ht="25.5" customHeight="1" x14ac:dyDescent="0.3">
      <c r="A1246" s="517" t="s">
        <v>288</v>
      </c>
      <c r="B1246" s="553"/>
      <c r="C1246" s="483" t="s">
        <v>12</v>
      </c>
      <c r="D1246" s="484"/>
      <c r="E1246" s="554" t="s">
        <v>298</v>
      </c>
      <c r="F1246" s="555"/>
      <c r="G1246" s="10" t="s">
        <v>8</v>
      </c>
      <c r="H1246" s="11" t="s">
        <v>299</v>
      </c>
    </row>
    <row r="1247" spans="1:8" ht="15.6" x14ac:dyDescent="0.3">
      <c r="A1247" s="556"/>
      <c r="B1247" s="557"/>
      <c r="C1247" s="481" t="s">
        <v>15</v>
      </c>
      <c r="D1247" s="481"/>
      <c r="E1247" s="502" t="s">
        <v>289</v>
      </c>
      <c r="F1247" s="503"/>
      <c r="G1247" s="503"/>
      <c r="H1247" s="504"/>
    </row>
    <row r="1248" spans="1:8" ht="15.6" x14ac:dyDescent="0.3">
      <c r="A1248" s="558" t="s">
        <v>290</v>
      </c>
      <c r="B1248" s="559"/>
      <c r="C1248" s="489"/>
      <c r="D1248" s="490"/>
      <c r="E1248" s="490"/>
      <c r="F1248" s="490"/>
      <c r="G1248" s="490"/>
      <c r="H1248" s="491"/>
    </row>
    <row r="1249" spans="1:9" ht="15" x14ac:dyDescent="0.3">
      <c r="A1249" s="492" t="s">
        <v>17</v>
      </c>
      <c r="B1249" s="494" t="s">
        <v>18</v>
      </c>
      <c r="C1249" s="494" t="s">
        <v>19</v>
      </c>
      <c r="D1249" s="494" t="s">
        <v>20</v>
      </c>
      <c r="E1249" s="494" t="s">
        <v>21</v>
      </c>
      <c r="F1249" s="494" t="s">
        <v>22</v>
      </c>
      <c r="G1249" s="494"/>
      <c r="H1249" s="492" t="s">
        <v>23</v>
      </c>
    </row>
    <row r="1250" spans="1:9" ht="27.6" x14ac:dyDescent="0.3">
      <c r="A1250" s="492"/>
      <c r="B1250" s="494"/>
      <c r="C1250" s="494"/>
      <c r="D1250" s="494"/>
      <c r="E1250" s="494"/>
      <c r="F1250" s="53" t="s">
        <v>24</v>
      </c>
      <c r="G1250" s="53" t="s">
        <v>25</v>
      </c>
      <c r="H1250" s="492"/>
    </row>
    <row r="1251" spans="1:9" x14ac:dyDescent="0.3">
      <c r="A1251" s="57">
        <v>1</v>
      </c>
      <c r="B1251" s="60" t="s">
        <v>301</v>
      </c>
      <c r="C1251" s="57">
        <v>40</v>
      </c>
      <c r="D1251" s="209">
        <v>85446020</v>
      </c>
      <c r="E1251" s="57">
        <v>1527</v>
      </c>
      <c r="F1251" s="57">
        <f>E1251*C1251*9%</f>
        <v>5497.2</v>
      </c>
      <c r="G1251" s="57">
        <f>F1251</f>
        <v>5497.2</v>
      </c>
      <c r="H1251" s="57">
        <f>G1251+F1251+E1251*C1251</f>
        <v>72074.399999999994</v>
      </c>
      <c r="I1251" s="362">
        <f>E1251*C1251</f>
        <v>61080</v>
      </c>
    </row>
    <row r="1252" spans="1:9" x14ac:dyDescent="0.3">
      <c r="A1252" s="55">
        <v>2</v>
      </c>
      <c r="B1252" s="60" t="s">
        <v>302</v>
      </c>
      <c r="C1252" s="57">
        <v>40</v>
      </c>
      <c r="D1252" s="209">
        <v>998719</v>
      </c>
      <c r="E1252" s="57">
        <v>50</v>
      </c>
      <c r="F1252" s="57">
        <f>E1252*C1252*9%</f>
        <v>180</v>
      </c>
      <c r="G1252" s="57">
        <f>F1252</f>
        <v>180</v>
      </c>
      <c r="H1252" s="57">
        <f>G1252+F1252+E1252*C1252</f>
        <v>2360</v>
      </c>
      <c r="I1252" s="362">
        <f>E1252*C1252</f>
        <v>2000</v>
      </c>
    </row>
    <row r="1253" spans="1:9" s="189" customFormat="1" x14ac:dyDescent="0.3">
      <c r="A1253" s="55">
        <v>3</v>
      </c>
      <c r="B1253" s="130" t="s">
        <v>303</v>
      </c>
      <c r="C1253" s="55">
        <v>2</v>
      </c>
      <c r="D1253" s="209">
        <v>998719</v>
      </c>
      <c r="E1253" s="55">
        <v>1860</v>
      </c>
      <c r="F1253" s="55">
        <f>E1253*C1253*9%</f>
        <v>334.8</v>
      </c>
      <c r="G1253" s="55">
        <f>F1253</f>
        <v>334.8</v>
      </c>
      <c r="H1253" s="55">
        <f>G1253+F1253+E1253*C1253</f>
        <v>4389.6000000000004</v>
      </c>
      <c r="I1253" s="362">
        <f>E1253*C1253</f>
        <v>3720</v>
      </c>
    </row>
    <row r="1254" spans="1:9" x14ac:dyDescent="0.3">
      <c r="A1254" s="55">
        <v>4</v>
      </c>
      <c r="B1254" s="130" t="s">
        <v>304</v>
      </c>
      <c r="C1254" s="83">
        <v>1</v>
      </c>
      <c r="D1254" s="83">
        <v>998719</v>
      </c>
      <c r="E1254" s="57">
        <v>400</v>
      </c>
      <c r="F1254" s="55">
        <f>E1254*C1254*9%</f>
        <v>36</v>
      </c>
      <c r="G1254" s="55">
        <f>F1254</f>
        <v>36</v>
      </c>
      <c r="H1254" s="55">
        <f>G1254+F1254+E1254*C1254</f>
        <v>472</v>
      </c>
      <c r="I1254" s="362">
        <f>E1254*C1254</f>
        <v>400</v>
      </c>
    </row>
    <row r="1255" spans="1:9" x14ac:dyDescent="0.3">
      <c r="A1255" s="55"/>
      <c r="B1255" s="130"/>
      <c r="C1255" s="83"/>
      <c r="D1255" s="83"/>
      <c r="E1255" s="57"/>
      <c r="F1255" s="57"/>
      <c r="G1255" s="57"/>
      <c r="H1255" s="57"/>
    </row>
    <row r="1256" spans="1:9" x14ac:dyDescent="0.3">
      <c r="A1256" s="55"/>
      <c r="B1256" s="130"/>
      <c r="C1256" s="83"/>
      <c r="D1256" s="83"/>
      <c r="E1256" s="57"/>
      <c r="F1256" s="57"/>
      <c r="G1256" s="57"/>
      <c r="H1256" s="57"/>
    </row>
    <row r="1257" spans="1:9" x14ac:dyDescent="0.3">
      <c r="A1257" s="55"/>
      <c r="B1257" s="130"/>
      <c r="C1257" s="83"/>
      <c r="D1257" s="83"/>
      <c r="E1257" s="57"/>
      <c r="F1257" s="57"/>
      <c r="G1257" s="57"/>
      <c r="H1257" s="57"/>
    </row>
    <row r="1258" spans="1:9" x14ac:dyDescent="0.3">
      <c r="A1258" s="55"/>
      <c r="B1258" s="130"/>
      <c r="C1258" s="83"/>
      <c r="D1258" s="57"/>
      <c r="E1258" s="57"/>
      <c r="F1258" s="57"/>
      <c r="G1258" s="57"/>
      <c r="H1258" s="57"/>
    </row>
    <row r="1259" spans="1:9" x14ac:dyDescent="0.3">
      <c r="A1259" s="194"/>
      <c r="B1259" s="195"/>
      <c r="C1259" s="196"/>
      <c r="D1259" s="194"/>
      <c r="E1259" s="194"/>
      <c r="F1259" s="145"/>
      <c r="G1259" s="197"/>
      <c r="H1259" s="198"/>
    </row>
    <row r="1260" spans="1:9" x14ac:dyDescent="0.3">
      <c r="A1260" s="199"/>
      <c r="B1260" s="200"/>
      <c r="C1260" s="201"/>
      <c r="D1260" s="202"/>
      <c r="E1260" s="203"/>
      <c r="F1260" s="204"/>
      <c r="G1260" s="204"/>
      <c r="H1260" s="205"/>
    </row>
    <row r="1261" spans="1:9" x14ac:dyDescent="0.3">
      <c r="A1261" s="173"/>
      <c r="B1261" s="88"/>
      <c r="C1261" s="206"/>
      <c r="D1261" s="89"/>
      <c r="E1261" s="207"/>
      <c r="F1261" s="25"/>
      <c r="G1261" s="25"/>
      <c r="H1261" s="32"/>
    </row>
    <row r="1262" spans="1:9" x14ac:dyDescent="0.3">
      <c r="A1262" s="173"/>
      <c r="B1262" s="88"/>
      <c r="C1262" s="206"/>
      <c r="D1262" s="89"/>
      <c r="E1262" s="207"/>
      <c r="F1262" s="25"/>
      <c r="G1262" s="25"/>
      <c r="H1262" s="32"/>
    </row>
    <row r="1263" spans="1:9" x14ac:dyDescent="0.3">
      <c r="A1263" s="173"/>
      <c r="B1263" s="88"/>
      <c r="C1263" s="206"/>
      <c r="D1263" s="89"/>
      <c r="E1263" s="207"/>
      <c r="F1263" s="25"/>
      <c r="G1263" s="25"/>
      <c r="H1263" s="32"/>
    </row>
    <row r="1264" spans="1:9" x14ac:dyDescent="0.3">
      <c r="A1264" s="173"/>
      <c r="B1264" s="88"/>
      <c r="C1264" s="206"/>
      <c r="D1264" s="89"/>
      <c r="E1264" s="207"/>
      <c r="F1264" s="25"/>
      <c r="G1264" s="25"/>
      <c r="H1264" s="32"/>
    </row>
    <row r="1265" spans="1:8" x14ac:dyDescent="0.3">
      <c r="A1265" s="173"/>
      <c r="B1265" s="88"/>
      <c r="C1265" s="206"/>
      <c r="D1265" s="89"/>
      <c r="E1265" s="207"/>
      <c r="F1265" s="25"/>
      <c r="G1265" s="25"/>
      <c r="H1265" s="32"/>
    </row>
    <row r="1266" spans="1:8" x14ac:dyDescent="0.3">
      <c r="A1266" s="173"/>
      <c r="B1266" s="88"/>
      <c r="C1266" s="206"/>
      <c r="D1266" s="89"/>
      <c r="E1266" s="207"/>
      <c r="F1266" s="25"/>
      <c r="G1266" s="25"/>
      <c r="H1266" s="32"/>
    </row>
    <row r="1267" spans="1:8" x14ac:dyDescent="0.3">
      <c r="A1267" s="173"/>
      <c r="B1267" s="88"/>
      <c r="C1267" s="206"/>
      <c r="D1267" s="89"/>
      <c r="E1267" s="207"/>
      <c r="F1267" s="25"/>
      <c r="G1267" s="25"/>
      <c r="H1267" s="32"/>
    </row>
    <row r="1268" spans="1:8" x14ac:dyDescent="0.3">
      <c r="A1268" s="173"/>
      <c r="B1268" s="88"/>
      <c r="C1268" s="206"/>
      <c r="D1268" s="89"/>
      <c r="E1268" s="207"/>
      <c r="F1268" s="25"/>
      <c r="G1268" s="25"/>
      <c r="H1268" s="32"/>
    </row>
    <row r="1269" spans="1:8" x14ac:dyDescent="0.3">
      <c r="A1269" s="173"/>
      <c r="B1269" s="88"/>
      <c r="C1269" s="206"/>
      <c r="D1269" s="89"/>
      <c r="E1269" s="207"/>
      <c r="F1269" s="25"/>
      <c r="G1269" s="25"/>
      <c r="H1269" s="32"/>
    </row>
    <row r="1270" spans="1:8" x14ac:dyDescent="0.3">
      <c r="A1270" s="173"/>
      <c r="B1270" s="88"/>
      <c r="C1270" s="206"/>
      <c r="D1270" s="89"/>
      <c r="E1270" s="25"/>
      <c r="F1270" s="25"/>
      <c r="G1270" s="25"/>
      <c r="H1270" s="32"/>
    </row>
    <row r="1271" spans="1:8" x14ac:dyDescent="0.3">
      <c r="A1271" s="27"/>
      <c r="B1271" s="88"/>
      <c r="C1271" s="24"/>
      <c r="D1271" s="89"/>
      <c r="E1271" s="25"/>
      <c r="F1271" s="25"/>
      <c r="G1271" s="25"/>
      <c r="H1271" s="32"/>
    </row>
    <row r="1272" spans="1:8" x14ac:dyDescent="0.3">
      <c r="A1272" s="27"/>
      <c r="B1272" s="28"/>
      <c r="C1272" s="24"/>
      <c r="D1272" s="25"/>
      <c r="E1272" s="25"/>
      <c r="F1272" s="28"/>
      <c r="G1272" s="28"/>
      <c r="H1272" s="32"/>
    </row>
    <row r="1273" spans="1:8" ht="15.6" x14ac:dyDescent="0.3">
      <c r="A1273" s="448" t="s">
        <v>45</v>
      </c>
      <c r="B1273" s="449"/>
      <c r="C1273" s="24"/>
      <c r="D1273" s="25"/>
      <c r="E1273" s="25"/>
      <c r="F1273" s="447" t="s">
        <v>46</v>
      </c>
      <c r="G1273" s="447"/>
      <c r="H1273" s="66">
        <v>67200</v>
      </c>
    </row>
    <row r="1274" spans="1:8" ht="15.6" x14ac:dyDescent="0.3">
      <c r="A1274" s="497" t="s">
        <v>305</v>
      </c>
      <c r="B1274" s="498"/>
      <c r="C1274" s="498"/>
      <c r="D1274" s="498"/>
      <c r="E1274" s="498"/>
      <c r="F1274" s="447" t="s">
        <v>47</v>
      </c>
      <c r="G1274" s="447"/>
      <c r="H1274" s="66">
        <f>H1273*9%</f>
        <v>6048</v>
      </c>
    </row>
    <row r="1275" spans="1:8" ht="15.6" x14ac:dyDescent="0.3">
      <c r="A1275" s="27"/>
      <c r="B1275" s="28"/>
      <c r="C1275" s="24"/>
      <c r="D1275" s="25"/>
      <c r="E1275" s="25"/>
      <c r="F1275" s="447" t="s">
        <v>48</v>
      </c>
      <c r="G1275" s="447"/>
      <c r="H1275" s="66">
        <f>H1274</f>
        <v>6048</v>
      </c>
    </row>
    <row r="1276" spans="1:8" ht="15.6" x14ac:dyDescent="0.3">
      <c r="A1276" s="448" t="s">
        <v>49</v>
      </c>
      <c r="B1276" s="449"/>
      <c r="C1276" s="24"/>
      <c r="D1276" s="25"/>
      <c r="E1276" s="25"/>
      <c r="F1276" s="447" t="s">
        <v>50</v>
      </c>
      <c r="G1276" s="447"/>
      <c r="H1276" s="66">
        <v>79296</v>
      </c>
    </row>
    <row r="1277" spans="1:8" ht="26.4" x14ac:dyDescent="0.3">
      <c r="A1277" s="68" t="s">
        <v>22</v>
      </c>
      <c r="B1277" s="30" t="s">
        <v>51</v>
      </c>
      <c r="C1277" s="70" t="s">
        <v>24</v>
      </c>
      <c r="D1277" s="70" t="s">
        <v>25</v>
      </c>
      <c r="E1277" s="543" t="s">
        <v>52</v>
      </c>
      <c r="F1277" s="543"/>
      <c r="G1277" s="28"/>
      <c r="H1277" s="32"/>
    </row>
    <row r="1278" spans="1:8" x14ac:dyDescent="0.3">
      <c r="A1278" s="72">
        <v>0.18</v>
      </c>
      <c r="B1278" s="73">
        <f>H1273</f>
        <v>67200</v>
      </c>
      <c r="C1278" s="91">
        <f>H1274</f>
        <v>6048</v>
      </c>
      <c r="D1278" s="91">
        <f>H1274</f>
        <v>6048</v>
      </c>
      <c r="E1278" s="506">
        <f>C1278+D1278</f>
        <v>12096</v>
      </c>
      <c r="F1278" s="507"/>
      <c r="G1278" s="74"/>
      <c r="H1278" s="75"/>
    </row>
    <row r="1279" spans="1:8" x14ac:dyDescent="0.3">
      <c r="A1279" s="508" t="s">
        <v>306</v>
      </c>
      <c r="B1279" s="509"/>
      <c r="C1279" s="509"/>
      <c r="D1279" s="509"/>
      <c r="E1279" s="453"/>
      <c r="F1279" s="453"/>
      <c r="G1279" s="453"/>
      <c r="H1279" s="454"/>
    </row>
    <row r="1280" spans="1:8" ht="15.6" x14ac:dyDescent="0.3">
      <c r="A1280" s="455" t="s">
        <v>53</v>
      </c>
      <c r="B1280" s="456"/>
      <c r="C1280" s="456"/>
      <c r="D1280" s="457"/>
      <c r="E1280" s="458" t="s">
        <v>54</v>
      </c>
      <c r="F1280" s="459"/>
      <c r="G1280" s="459"/>
      <c r="H1280" s="460"/>
    </row>
    <row r="1281" spans="1:8" x14ac:dyDescent="0.3">
      <c r="A1281" s="461" t="s">
        <v>55</v>
      </c>
      <c r="B1281" s="462"/>
      <c r="C1281" s="462"/>
      <c r="D1281" s="463"/>
      <c r="E1281" s="39"/>
      <c r="F1281" s="28"/>
      <c r="G1281" s="28"/>
      <c r="H1281" s="32"/>
    </row>
    <row r="1282" spans="1:8" x14ac:dyDescent="0.3">
      <c r="A1282" s="461" t="s">
        <v>56</v>
      </c>
      <c r="B1282" s="462"/>
      <c r="C1282" s="462"/>
      <c r="D1282" s="463"/>
      <c r="E1282" s="39"/>
      <c r="F1282" s="28"/>
      <c r="G1282" s="28"/>
      <c r="H1282" s="32"/>
    </row>
    <row r="1283" spans="1:8" x14ac:dyDescent="0.3">
      <c r="A1283" s="461" t="s">
        <v>57</v>
      </c>
      <c r="B1283" s="462"/>
      <c r="C1283" s="462"/>
      <c r="D1283" s="463"/>
      <c r="E1283" s="39"/>
      <c r="F1283" s="28"/>
      <c r="G1283" s="28"/>
      <c r="H1283" s="32"/>
    </row>
    <row r="1284" spans="1:8" ht="15.6" x14ac:dyDescent="0.3">
      <c r="A1284" s="464" t="s">
        <v>58</v>
      </c>
      <c r="B1284" s="465"/>
      <c r="C1284" s="465"/>
      <c r="D1284" s="465"/>
      <c r="E1284" s="466" t="s">
        <v>59</v>
      </c>
      <c r="F1284" s="467"/>
      <c r="G1284" s="467"/>
      <c r="H1284" s="468"/>
    </row>
    <row r="1288" spans="1:8" ht="44.4" x14ac:dyDescent="0.7">
      <c r="A1288" s="469" t="s">
        <v>0</v>
      </c>
      <c r="B1288" s="470"/>
      <c r="C1288" s="470"/>
      <c r="D1288" s="470"/>
      <c r="E1288" s="471" t="s">
        <v>1</v>
      </c>
      <c r="F1288" s="472"/>
      <c r="G1288" s="472"/>
      <c r="H1288" s="473"/>
    </row>
    <row r="1289" spans="1:8" ht="20.399999999999999" x14ac:dyDescent="0.35">
      <c r="A1289" s="1"/>
      <c r="B1289" s="476" t="s">
        <v>2</v>
      </c>
      <c r="C1289" s="476"/>
      <c r="D1289" s="476"/>
      <c r="E1289" s="474"/>
      <c r="F1289" s="474"/>
      <c r="G1289" s="474"/>
      <c r="H1289" s="475"/>
    </row>
    <row r="1290" spans="1:8" x14ac:dyDescent="0.3">
      <c r="A1290" s="477" t="s">
        <v>3</v>
      </c>
      <c r="B1290" s="478"/>
      <c r="C1290" s="479" t="s">
        <v>4</v>
      </c>
      <c r="D1290" s="479"/>
      <c r="E1290" s="548" t="s">
        <v>5</v>
      </c>
      <c r="F1290" s="549"/>
      <c r="G1290" s="549"/>
      <c r="H1290" s="550"/>
    </row>
    <row r="1291" spans="1:8" ht="15.6" x14ac:dyDescent="0.3">
      <c r="A1291" s="4" t="s">
        <v>6</v>
      </c>
      <c r="B1291" s="5"/>
      <c r="C1291" s="481" t="s">
        <v>7</v>
      </c>
      <c r="D1291" s="481"/>
      <c r="E1291" s="482">
        <v>29</v>
      </c>
      <c r="F1291" s="482"/>
      <c r="G1291" s="7" t="s">
        <v>8</v>
      </c>
      <c r="H1291" s="8">
        <v>45813</v>
      </c>
    </row>
    <row r="1292" spans="1:8" ht="15.6" x14ac:dyDescent="0.3">
      <c r="A1292" s="551" t="s">
        <v>287</v>
      </c>
      <c r="B1292" s="552"/>
      <c r="C1292" s="481" t="s">
        <v>10</v>
      </c>
      <c r="D1292" s="481"/>
      <c r="E1292" s="482">
        <v>4</v>
      </c>
      <c r="F1292" s="482"/>
      <c r="G1292" s="7" t="s">
        <v>8</v>
      </c>
      <c r="H1292" s="9">
        <v>45995</v>
      </c>
    </row>
    <row r="1293" spans="1:8" ht="29.25" customHeight="1" x14ac:dyDescent="0.3">
      <c r="A1293" s="517" t="s">
        <v>288</v>
      </c>
      <c r="B1293" s="553"/>
      <c r="C1293" s="483" t="s">
        <v>12</v>
      </c>
      <c r="D1293" s="484"/>
      <c r="E1293" s="554" t="s">
        <v>307</v>
      </c>
      <c r="F1293" s="555"/>
      <c r="G1293" s="10" t="s">
        <v>8</v>
      </c>
      <c r="H1293" s="11" t="s">
        <v>299</v>
      </c>
    </row>
    <row r="1294" spans="1:8" ht="15.6" x14ac:dyDescent="0.3">
      <c r="A1294" s="556"/>
      <c r="B1294" s="557"/>
      <c r="C1294" s="481" t="s">
        <v>15</v>
      </c>
      <c r="D1294" s="481"/>
      <c r="E1294" s="502" t="s">
        <v>289</v>
      </c>
      <c r="F1294" s="503"/>
      <c r="G1294" s="503"/>
      <c r="H1294" s="504"/>
    </row>
    <row r="1295" spans="1:8" ht="15.6" x14ac:dyDescent="0.3">
      <c r="A1295" s="558" t="s">
        <v>290</v>
      </c>
      <c r="B1295" s="559"/>
      <c r="C1295" s="489"/>
      <c r="D1295" s="490"/>
      <c r="E1295" s="490"/>
      <c r="F1295" s="490"/>
      <c r="G1295" s="490"/>
      <c r="H1295" s="491"/>
    </row>
    <row r="1296" spans="1:8" ht="15" x14ac:dyDescent="0.3">
      <c r="A1296" s="492" t="s">
        <v>17</v>
      </c>
      <c r="B1296" s="494" t="s">
        <v>18</v>
      </c>
      <c r="C1296" s="494" t="s">
        <v>19</v>
      </c>
      <c r="D1296" s="494" t="s">
        <v>20</v>
      </c>
      <c r="E1296" s="494" t="s">
        <v>21</v>
      </c>
      <c r="F1296" s="494" t="s">
        <v>22</v>
      </c>
      <c r="G1296" s="494"/>
      <c r="H1296" s="492" t="s">
        <v>23</v>
      </c>
    </row>
    <row r="1297" spans="1:9" ht="27.6" x14ac:dyDescent="0.3">
      <c r="A1297" s="492"/>
      <c r="B1297" s="494"/>
      <c r="C1297" s="494"/>
      <c r="D1297" s="494"/>
      <c r="E1297" s="494"/>
      <c r="F1297" s="53" t="s">
        <v>24</v>
      </c>
      <c r="G1297" s="53" t="s">
        <v>25</v>
      </c>
      <c r="H1297" s="492"/>
    </row>
    <row r="1298" spans="1:9" x14ac:dyDescent="0.3">
      <c r="A1298" s="57">
        <v>1</v>
      </c>
      <c r="B1298" s="60" t="s">
        <v>301</v>
      </c>
      <c r="C1298" s="57">
        <v>45</v>
      </c>
      <c r="D1298" s="209">
        <v>85446020</v>
      </c>
      <c r="E1298" s="57">
        <v>1527</v>
      </c>
      <c r="F1298" s="57">
        <f>E1298*C1298*9%</f>
        <v>6184.3499999999995</v>
      </c>
      <c r="G1298" s="57">
        <f>F1298</f>
        <v>6184.3499999999995</v>
      </c>
      <c r="H1298" s="57">
        <f>G1298+F1298+E1298*C1298</f>
        <v>81083.7</v>
      </c>
      <c r="I1298" s="362">
        <f>E1298*C1298</f>
        <v>68715</v>
      </c>
    </row>
    <row r="1299" spans="1:9" x14ac:dyDescent="0.3">
      <c r="A1299" s="55">
        <v>2</v>
      </c>
      <c r="B1299" s="60" t="s">
        <v>302</v>
      </c>
      <c r="C1299" s="57">
        <v>45</v>
      </c>
      <c r="D1299" s="209">
        <v>998719</v>
      </c>
      <c r="E1299" s="57">
        <v>50</v>
      </c>
      <c r="F1299" s="57">
        <f>E1299*C1299*9%</f>
        <v>202.5</v>
      </c>
      <c r="G1299" s="57">
        <f>F1299</f>
        <v>202.5</v>
      </c>
      <c r="H1299" s="57">
        <f>G1299+F1299+E1299*C1299</f>
        <v>2655</v>
      </c>
      <c r="I1299" s="362">
        <f>E1299*C1299</f>
        <v>2250</v>
      </c>
    </row>
    <row r="1300" spans="1:9" x14ac:dyDescent="0.3">
      <c r="A1300" s="55">
        <v>3</v>
      </c>
      <c r="B1300" s="130" t="s">
        <v>303</v>
      </c>
      <c r="C1300" s="55">
        <v>2</v>
      </c>
      <c r="D1300" s="209">
        <v>998719</v>
      </c>
      <c r="E1300" s="55">
        <v>1860</v>
      </c>
      <c r="F1300" s="55">
        <f>E1300*C1300*9%</f>
        <v>334.8</v>
      </c>
      <c r="G1300" s="55">
        <f>F1300</f>
        <v>334.8</v>
      </c>
      <c r="H1300" s="55">
        <f>G1300+F1300+E1300*C1300</f>
        <v>4389.6000000000004</v>
      </c>
      <c r="I1300" s="362">
        <f>E1300*C1300</f>
        <v>3720</v>
      </c>
    </row>
    <row r="1301" spans="1:9" x14ac:dyDescent="0.3">
      <c r="A1301" s="55">
        <v>4</v>
      </c>
      <c r="B1301" s="130" t="s">
        <v>304</v>
      </c>
      <c r="C1301" s="83">
        <v>1</v>
      </c>
      <c r="D1301" s="83">
        <v>998719</v>
      </c>
      <c r="E1301" s="57">
        <v>400</v>
      </c>
      <c r="F1301" s="55">
        <f>E1301*C1301*9%</f>
        <v>36</v>
      </c>
      <c r="G1301" s="55">
        <f>F1301</f>
        <v>36</v>
      </c>
      <c r="H1301" s="55">
        <f>G1301+F1301+E1301*C1301</f>
        <v>472</v>
      </c>
      <c r="I1301" s="362">
        <f>E1301*C1301</f>
        <v>400</v>
      </c>
    </row>
    <row r="1302" spans="1:9" x14ac:dyDescent="0.3">
      <c r="A1302" s="55"/>
      <c r="B1302" s="130"/>
      <c r="C1302" s="83"/>
      <c r="D1302" s="83"/>
      <c r="E1302" s="57"/>
      <c r="F1302" s="57"/>
      <c r="G1302" s="57"/>
      <c r="H1302" s="57"/>
    </row>
    <row r="1303" spans="1:9" x14ac:dyDescent="0.3">
      <c r="A1303" s="55"/>
      <c r="B1303" s="130"/>
      <c r="C1303" s="83"/>
      <c r="D1303" s="83"/>
      <c r="E1303" s="57"/>
      <c r="F1303" s="57"/>
      <c r="G1303" s="57"/>
      <c r="H1303" s="57"/>
    </row>
    <row r="1304" spans="1:9" x14ac:dyDescent="0.3">
      <c r="A1304" s="55"/>
      <c r="B1304" s="130"/>
      <c r="C1304" s="83"/>
      <c r="D1304" s="83"/>
      <c r="E1304" s="57"/>
      <c r="F1304" s="57"/>
      <c r="G1304" s="57"/>
      <c r="H1304" s="57"/>
    </row>
    <row r="1305" spans="1:9" x14ac:dyDescent="0.3">
      <c r="A1305" s="55"/>
      <c r="B1305" s="130"/>
      <c r="C1305" s="83"/>
      <c r="D1305" s="57"/>
      <c r="E1305" s="57"/>
      <c r="F1305" s="57"/>
      <c r="G1305" s="57"/>
      <c r="H1305" s="57"/>
    </row>
    <row r="1306" spans="1:9" x14ac:dyDescent="0.3">
      <c r="A1306" s="194"/>
      <c r="B1306" s="195"/>
      <c r="C1306" s="196"/>
      <c r="D1306" s="194"/>
      <c r="E1306" s="194"/>
      <c r="F1306" s="145"/>
      <c r="G1306" s="197"/>
      <c r="H1306" s="198"/>
    </row>
    <row r="1307" spans="1:9" x14ac:dyDescent="0.3">
      <c r="A1307" s="199"/>
      <c r="B1307" s="200"/>
      <c r="C1307" s="201"/>
      <c r="D1307" s="202"/>
      <c r="E1307" s="203"/>
      <c r="F1307" s="204"/>
      <c r="G1307" s="204"/>
      <c r="H1307" s="205"/>
    </row>
    <row r="1308" spans="1:9" x14ac:dyDescent="0.3">
      <c r="A1308" s="173"/>
      <c r="B1308" s="88"/>
      <c r="C1308" s="206"/>
      <c r="D1308" s="89"/>
      <c r="E1308" s="207"/>
      <c r="F1308" s="25"/>
      <c r="G1308" s="25"/>
      <c r="H1308" s="32"/>
    </row>
    <row r="1309" spans="1:9" x14ac:dyDescent="0.3">
      <c r="A1309" s="173"/>
      <c r="B1309" s="88"/>
      <c r="C1309" s="206"/>
      <c r="D1309" s="89"/>
      <c r="E1309" s="207"/>
      <c r="F1309" s="25"/>
      <c r="G1309" s="25"/>
      <c r="H1309" s="32"/>
    </row>
    <row r="1310" spans="1:9" x14ac:dyDescent="0.3">
      <c r="A1310" s="173"/>
      <c r="B1310" s="88"/>
      <c r="C1310" s="206"/>
      <c r="D1310" s="89"/>
      <c r="E1310" s="207"/>
      <c r="F1310" s="25"/>
      <c r="G1310" s="25"/>
      <c r="H1310" s="32"/>
    </row>
    <row r="1311" spans="1:9" x14ac:dyDescent="0.3">
      <c r="A1311" s="173"/>
      <c r="B1311" s="88"/>
      <c r="C1311" s="206"/>
      <c r="D1311" s="89"/>
      <c r="E1311" s="207"/>
      <c r="F1311" s="25"/>
      <c r="G1311" s="25"/>
      <c r="H1311" s="32"/>
    </row>
    <row r="1312" spans="1:9" x14ac:dyDescent="0.3">
      <c r="A1312" s="173"/>
      <c r="B1312" s="88"/>
      <c r="C1312" s="206"/>
      <c r="D1312" s="89"/>
      <c r="E1312" s="207"/>
      <c r="F1312" s="25"/>
      <c r="G1312" s="25"/>
      <c r="H1312" s="32"/>
    </row>
    <row r="1313" spans="1:8" x14ac:dyDescent="0.3">
      <c r="A1313" s="173"/>
      <c r="B1313" s="88"/>
      <c r="C1313" s="206"/>
      <c r="D1313" s="89"/>
      <c r="E1313" s="207"/>
      <c r="F1313" s="25"/>
      <c r="G1313" s="25"/>
      <c r="H1313" s="32"/>
    </row>
    <row r="1314" spans="1:8" x14ac:dyDescent="0.3">
      <c r="A1314" s="173"/>
      <c r="B1314" s="88"/>
      <c r="C1314" s="206"/>
      <c r="D1314" s="89"/>
      <c r="E1314" s="207"/>
      <c r="F1314" s="25"/>
      <c r="G1314" s="25"/>
      <c r="H1314" s="32"/>
    </row>
    <row r="1315" spans="1:8" x14ac:dyDescent="0.3">
      <c r="A1315" s="173"/>
      <c r="B1315" s="88"/>
      <c r="C1315" s="206"/>
      <c r="D1315" s="89"/>
      <c r="E1315" s="207"/>
      <c r="F1315" s="25"/>
      <c r="G1315" s="25"/>
      <c r="H1315" s="32"/>
    </row>
    <row r="1316" spans="1:8" x14ac:dyDescent="0.3">
      <c r="A1316" s="173"/>
      <c r="B1316" s="88"/>
      <c r="C1316" s="206"/>
      <c r="D1316" s="89"/>
      <c r="E1316" s="207"/>
      <c r="F1316" s="25"/>
      <c r="G1316" s="25"/>
      <c r="H1316" s="32"/>
    </row>
    <row r="1317" spans="1:8" x14ac:dyDescent="0.3">
      <c r="A1317" s="173"/>
      <c r="B1317" s="88"/>
      <c r="C1317" s="206"/>
      <c r="D1317" s="89"/>
      <c r="E1317" s="25"/>
      <c r="F1317" s="25"/>
      <c r="G1317" s="25"/>
      <c r="H1317" s="32"/>
    </row>
    <row r="1318" spans="1:8" x14ac:dyDescent="0.3">
      <c r="A1318" s="27"/>
      <c r="B1318" s="88"/>
      <c r="C1318" s="24"/>
      <c r="D1318" s="89"/>
      <c r="E1318" s="25"/>
      <c r="F1318" s="25"/>
      <c r="G1318" s="25"/>
      <c r="H1318" s="32"/>
    </row>
    <row r="1319" spans="1:8" x14ac:dyDescent="0.3">
      <c r="A1319" s="27"/>
      <c r="B1319" s="28"/>
      <c r="C1319" s="24"/>
      <c r="D1319" s="25"/>
      <c r="E1319" s="25"/>
      <c r="F1319" s="28"/>
      <c r="G1319" s="28"/>
      <c r="H1319" s="32"/>
    </row>
    <row r="1320" spans="1:8" ht="15.6" x14ac:dyDescent="0.3">
      <c r="A1320" s="448" t="s">
        <v>45</v>
      </c>
      <c r="B1320" s="449"/>
      <c r="C1320" s="24"/>
      <c r="D1320" s="25"/>
      <c r="E1320" s="25"/>
      <c r="F1320" s="447" t="s">
        <v>46</v>
      </c>
      <c r="G1320" s="447"/>
      <c r="H1320" s="66">
        <v>75085</v>
      </c>
    </row>
    <row r="1321" spans="1:8" ht="15.6" x14ac:dyDescent="0.3">
      <c r="A1321" s="497" t="s">
        <v>308</v>
      </c>
      <c r="B1321" s="498"/>
      <c r="C1321" s="498"/>
      <c r="D1321" s="498"/>
      <c r="E1321" s="498"/>
      <c r="F1321" s="447" t="s">
        <v>47</v>
      </c>
      <c r="G1321" s="447"/>
      <c r="H1321" s="66">
        <f>H1320*9%</f>
        <v>6757.65</v>
      </c>
    </row>
    <row r="1322" spans="1:8" ht="15.6" x14ac:dyDescent="0.3">
      <c r="A1322" s="27"/>
      <c r="B1322" s="28"/>
      <c r="C1322" s="24"/>
      <c r="D1322" s="25"/>
      <c r="E1322" s="25"/>
      <c r="F1322" s="447" t="s">
        <v>48</v>
      </c>
      <c r="G1322" s="447"/>
      <c r="H1322" s="66">
        <f>H1321</f>
        <v>6757.65</v>
      </c>
    </row>
    <row r="1323" spans="1:8" ht="15.6" x14ac:dyDescent="0.3">
      <c r="A1323" s="448" t="s">
        <v>49</v>
      </c>
      <c r="B1323" s="449"/>
      <c r="C1323" s="24"/>
      <c r="D1323" s="25"/>
      <c r="E1323" s="25"/>
      <c r="F1323" s="447" t="s">
        <v>50</v>
      </c>
      <c r="G1323" s="447"/>
      <c r="H1323" s="66">
        <v>88600</v>
      </c>
    </row>
    <row r="1324" spans="1:8" ht="26.4" x14ac:dyDescent="0.3">
      <c r="A1324" s="68" t="s">
        <v>22</v>
      </c>
      <c r="B1324" s="30" t="s">
        <v>51</v>
      </c>
      <c r="C1324" s="70" t="s">
        <v>24</v>
      </c>
      <c r="D1324" s="70" t="s">
        <v>25</v>
      </c>
      <c r="E1324" s="543" t="s">
        <v>52</v>
      </c>
      <c r="F1324" s="543"/>
      <c r="G1324" s="28"/>
      <c r="H1324" s="32"/>
    </row>
    <row r="1325" spans="1:8" x14ac:dyDescent="0.3">
      <c r="A1325" s="72">
        <v>0.18</v>
      </c>
      <c r="B1325" s="73">
        <f>H1320</f>
        <v>75085</v>
      </c>
      <c r="C1325" s="91">
        <f>H1321</f>
        <v>6757.65</v>
      </c>
      <c r="D1325" s="91">
        <f>H1321</f>
        <v>6757.65</v>
      </c>
      <c r="E1325" s="506">
        <f>C1325+D1325</f>
        <v>13515.3</v>
      </c>
      <c r="F1325" s="507"/>
      <c r="G1325" s="74"/>
      <c r="H1325" s="75"/>
    </row>
    <row r="1326" spans="1:8" x14ac:dyDescent="0.3">
      <c r="A1326" s="508" t="s">
        <v>309</v>
      </c>
      <c r="B1326" s="509"/>
      <c r="C1326" s="509"/>
      <c r="D1326" s="509"/>
      <c r="E1326" s="453"/>
      <c r="F1326" s="453"/>
      <c r="G1326" s="453"/>
      <c r="H1326" s="454"/>
    </row>
    <row r="1327" spans="1:8" ht="15.6" x14ac:dyDescent="0.3">
      <c r="A1327" s="455" t="s">
        <v>53</v>
      </c>
      <c r="B1327" s="456"/>
      <c r="C1327" s="456"/>
      <c r="D1327" s="457"/>
      <c r="E1327" s="458" t="s">
        <v>54</v>
      </c>
      <c r="F1327" s="459"/>
      <c r="G1327" s="459"/>
      <c r="H1327" s="460"/>
    </row>
    <row r="1328" spans="1:8" x14ac:dyDescent="0.3">
      <c r="A1328" s="461" t="s">
        <v>55</v>
      </c>
      <c r="B1328" s="462"/>
      <c r="C1328" s="462"/>
      <c r="D1328" s="463"/>
      <c r="E1328" s="39"/>
      <c r="F1328" s="28"/>
      <c r="G1328" s="28"/>
      <c r="H1328" s="32"/>
    </row>
    <row r="1329" spans="1:8" x14ac:dyDescent="0.3">
      <c r="A1329" s="461" t="s">
        <v>56</v>
      </c>
      <c r="B1329" s="462"/>
      <c r="C1329" s="462"/>
      <c r="D1329" s="463"/>
      <c r="E1329" s="39"/>
      <c r="F1329" s="28"/>
      <c r="G1329" s="28"/>
      <c r="H1329" s="32"/>
    </row>
    <row r="1330" spans="1:8" x14ac:dyDescent="0.3">
      <c r="A1330" s="461" t="s">
        <v>57</v>
      </c>
      <c r="B1330" s="462"/>
      <c r="C1330" s="462"/>
      <c r="D1330" s="463"/>
      <c r="E1330" s="39"/>
      <c r="F1330" s="28"/>
      <c r="G1330" s="28"/>
      <c r="H1330" s="32"/>
    </row>
    <row r="1331" spans="1:8" ht="15.6" x14ac:dyDescent="0.3">
      <c r="A1331" s="464" t="s">
        <v>58</v>
      </c>
      <c r="B1331" s="465"/>
      <c r="C1331" s="465"/>
      <c r="D1331" s="465"/>
      <c r="E1331" s="466" t="s">
        <v>59</v>
      </c>
      <c r="F1331" s="467"/>
      <c r="G1331" s="467"/>
      <c r="H1331" s="468"/>
    </row>
    <row r="1334" spans="1:8" ht="44.4" x14ac:dyDescent="0.7">
      <c r="A1334" s="469" t="s">
        <v>0</v>
      </c>
      <c r="B1334" s="470"/>
      <c r="C1334" s="470"/>
      <c r="D1334" s="470"/>
      <c r="E1334" s="471" t="s">
        <v>1</v>
      </c>
      <c r="F1334" s="472"/>
      <c r="G1334" s="472"/>
      <c r="H1334" s="473"/>
    </row>
    <row r="1335" spans="1:8" ht="20.399999999999999" x14ac:dyDescent="0.35">
      <c r="A1335" s="156"/>
      <c r="B1335" s="476" t="s">
        <v>2</v>
      </c>
      <c r="C1335" s="476"/>
      <c r="D1335" s="476"/>
      <c r="E1335" s="474"/>
      <c r="F1335" s="474"/>
      <c r="G1335" s="474"/>
      <c r="H1335" s="475"/>
    </row>
    <row r="1336" spans="1:8" x14ac:dyDescent="0.3">
      <c r="A1336" s="157" t="s">
        <v>3</v>
      </c>
      <c r="B1336" s="137"/>
      <c r="C1336" s="136"/>
      <c r="D1336" s="499" t="s">
        <v>4</v>
      </c>
      <c r="E1336" s="499"/>
      <c r="F1336" s="137"/>
      <c r="G1336" s="137" t="s">
        <v>134</v>
      </c>
      <c r="H1336" s="120"/>
    </row>
    <row r="1337" spans="1:8" ht="15.6" x14ac:dyDescent="0.3">
      <c r="A1337" s="158" t="s">
        <v>6</v>
      </c>
      <c r="B1337" s="5"/>
      <c r="C1337" s="481" t="s">
        <v>7</v>
      </c>
      <c r="D1337" s="481"/>
      <c r="E1337" s="482">
        <v>30</v>
      </c>
      <c r="F1337" s="482"/>
      <c r="G1337" s="7" t="s">
        <v>8</v>
      </c>
      <c r="H1337" s="8" t="s">
        <v>324</v>
      </c>
    </row>
    <row r="1338" spans="1:8" ht="15.6" x14ac:dyDescent="0.3">
      <c r="A1338" s="551" t="s">
        <v>319</v>
      </c>
      <c r="B1338" s="552"/>
      <c r="C1338" s="481" t="s">
        <v>10</v>
      </c>
      <c r="D1338" s="481"/>
      <c r="E1338" s="482"/>
      <c r="F1338" s="482"/>
      <c r="G1338" s="7" t="s">
        <v>8</v>
      </c>
      <c r="H1338" s="9"/>
    </row>
    <row r="1339" spans="1:8" ht="15" x14ac:dyDescent="0.3">
      <c r="A1339" s="517" t="s">
        <v>320</v>
      </c>
      <c r="B1339" s="553"/>
      <c r="C1339" s="483" t="s">
        <v>12</v>
      </c>
      <c r="D1339" s="484"/>
      <c r="E1339" s="584"/>
      <c r="F1339" s="585"/>
      <c r="G1339" s="10" t="s">
        <v>8</v>
      </c>
      <c r="H1339" s="82"/>
    </row>
    <row r="1340" spans="1:8" ht="15.6" x14ac:dyDescent="0.3">
      <c r="A1340" s="556" t="s">
        <v>321</v>
      </c>
      <c r="B1340" s="557"/>
      <c r="C1340" s="481" t="s">
        <v>15</v>
      </c>
      <c r="D1340" s="481"/>
      <c r="E1340" s="502" t="s">
        <v>322</v>
      </c>
      <c r="F1340" s="503"/>
      <c r="G1340" s="503"/>
      <c r="H1340" s="504"/>
    </row>
    <row r="1341" spans="1:8" ht="15.6" x14ac:dyDescent="0.3">
      <c r="A1341" s="558" t="s">
        <v>327</v>
      </c>
      <c r="B1341" s="559"/>
      <c r="C1341" s="489"/>
      <c r="D1341" s="490"/>
      <c r="E1341" s="490"/>
      <c r="F1341" s="490"/>
      <c r="G1341" s="490"/>
      <c r="H1341" s="491"/>
    </row>
    <row r="1342" spans="1:8" ht="15" x14ac:dyDescent="0.3">
      <c r="A1342" s="492" t="s">
        <v>17</v>
      </c>
      <c r="B1342" s="494" t="s">
        <v>18</v>
      </c>
      <c r="C1342" s="494" t="s">
        <v>19</v>
      </c>
      <c r="D1342" s="494" t="s">
        <v>20</v>
      </c>
      <c r="E1342" s="494" t="s">
        <v>21</v>
      </c>
      <c r="F1342" s="494" t="s">
        <v>22</v>
      </c>
      <c r="G1342" s="494"/>
      <c r="H1342" s="493" t="s">
        <v>23</v>
      </c>
    </row>
    <row r="1343" spans="1:8" ht="27.6" x14ac:dyDescent="0.3">
      <c r="A1343" s="492"/>
      <c r="B1343" s="494"/>
      <c r="C1343" s="494"/>
      <c r="D1343" s="494"/>
      <c r="E1343" s="494"/>
      <c r="F1343" s="53" t="s">
        <v>24</v>
      </c>
      <c r="G1343" s="53" t="s">
        <v>25</v>
      </c>
      <c r="H1343" s="527"/>
    </row>
    <row r="1344" spans="1:8" x14ac:dyDescent="0.3">
      <c r="A1344" s="55">
        <v>1</v>
      </c>
      <c r="B1344" s="130" t="s">
        <v>323</v>
      </c>
      <c r="C1344" s="55">
        <v>2</v>
      </c>
      <c r="D1344" s="86">
        <v>998719</v>
      </c>
      <c r="E1344" s="55">
        <v>2200</v>
      </c>
      <c r="F1344" s="93">
        <f>E1344*C1344*9%</f>
        <v>396</v>
      </c>
      <c r="G1344" s="93">
        <f>F1344</f>
        <v>396</v>
      </c>
      <c r="H1344" s="62">
        <f>G1344+F1344+E1344*C1344</f>
        <v>5192</v>
      </c>
    </row>
    <row r="1345" spans="1:8" x14ac:dyDescent="0.3">
      <c r="A1345" s="57"/>
      <c r="B1345" s="60"/>
      <c r="C1345" s="57"/>
      <c r="D1345" s="83"/>
      <c r="E1345" s="57"/>
      <c r="F1345" s="58"/>
      <c r="G1345" s="58"/>
      <c r="H1345" s="59"/>
    </row>
    <row r="1346" spans="1:8" x14ac:dyDescent="0.3">
      <c r="A1346" s="57"/>
      <c r="B1346" s="60"/>
      <c r="C1346" s="57"/>
      <c r="D1346" s="83"/>
      <c r="E1346" s="57"/>
      <c r="F1346" s="58"/>
      <c r="G1346" s="58"/>
      <c r="H1346" s="59"/>
    </row>
    <row r="1347" spans="1:8" x14ac:dyDescent="0.3">
      <c r="A1347" s="57"/>
      <c r="B1347" s="60"/>
      <c r="C1347" s="57"/>
      <c r="D1347" s="83"/>
      <c r="E1347" s="57"/>
      <c r="F1347" s="58"/>
      <c r="G1347" s="58"/>
      <c r="H1347" s="59"/>
    </row>
    <row r="1348" spans="1:8" x14ac:dyDescent="0.3">
      <c r="A1348" s="27"/>
      <c r="B1348" s="88"/>
      <c r="C1348" s="24"/>
      <c r="D1348" s="89"/>
      <c r="E1348" s="24"/>
      <c r="F1348" s="133"/>
      <c r="G1348" s="133"/>
      <c r="H1348" s="134"/>
    </row>
    <row r="1349" spans="1:8" x14ac:dyDescent="0.3">
      <c r="A1349" s="27"/>
      <c r="B1349" s="88"/>
      <c r="C1349" s="24"/>
      <c r="D1349" s="89"/>
      <c r="E1349" s="24"/>
      <c r="F1349" s="133"/>
      <c r="G1349" s="133"/>
      <c r="H1349" s="134"/>
    </row>
    <row r="1350" spans="1:8" x14ac:dyDescent="0.3">
      <c r="A1350" s="27"/>
      <c r="B1350" s="28"/>
      <c r="C1350" s="24"/>
      <c r="D1350" s="89"/>
      <c r="E1350" s="25"/>
      <c r="F1350" s="25"/>
      <c r="G1350" s="25"/>
      <c r="H1350" s="32"/>
    </row>
    <row r="1351" spans="1:8" x14ac:dyDescent="0.3">
      <c r="A1351" s="27"/>
      <c r="B1351" s="28"/>
      <c r="C1351" s="24"/>
      <c r="D1351" s="89"/>
      <c r="E1351" s="25"/>
      <c r="F1351" s="25"/>
      <c r="G1351" s="25"/>
      <c r="H1351" s="32"/>
    </row>
    <row r="1352" spans="1:8" x14ac:dyDescent="0.3">
      <c r="A1352" s="27"/>
      <c r="B1352" s="28"/>
      <c r="C1352" s="24"/>
      <c r="D1352" s="89"/>
      <c r="E1352" s="25"/>
      <c r="F1352" s="25"/>
      <c r="G1352" s="25"/>
      <c r="H1352" s="32"/>
    </row>
    <row r="1353" spans="1:8" x14ac:dyDescent="0.3">
      <c r="A1353" s="27"/>
      <c r="B1353" s="28"/>
      <c r="C1353" s="24"/>
      <c r="D1353" s="89"/>
      <c r="E1353" s="25"/>
      <c r="F1353" s="25"/>
      <c r="G1353" s="25"/>
      <c r="H1353" s="32"/>
    </row>
    <row r="1354" spans="1:8" x14ac:dyDescent="0.3">
      <c r="A1354" s="27"/>
      <c r="B1354" s="28"/>
      <c r="C1354" s="24"/>
      <c r="D1354" s="89"/>
      <c r="E1354" s="25"/>
      <c r="F1354" s="25"/>
      <c r="G1354" s="25"/>
      <c r="H1354" s="32"/>
    </row>
    <row r="1355" spans="1:8" x14ac:dyDescent="0.3">
      <c r="A1355" s="27"/>
      <c r="B1355" s="28"/>
      <c r="C1355" s="24"/>
      <c r="D1355" s="89"/>
      <c r="E1355" s="25"/>
      <c r="F1355" s="25"/>
      <c r="G1355" s="25"/>
      <c r="H1355" s="32"/>
    </row>
    <row r="1356" spans="1:8" x14ac:dyDescent="0.3">
      <c r="A1356" s="27"/>
      <c r="B1356" s="28"/>
      <c r="C1356" s="24"/>
      <c r="D1356" s="89"/>
      <c r="E1356" s="25"/>
      <c r="F1356" s="25"/>
      <c r="G1356" s="25"/>
      <c r="H1356" s="32"/>
    </row>
    <row r="1357" spans="1:8" x14ac:dyDescent="0.3">
      <c r="A1357" s="27"/>
      <c r="B1357" s="28"/>
      <c r="C1357" s="24"/>
      <c r="D1357" s="89"/>
      <c r="E1357" s="25"/>
      <c r="F1357" s="25"/>
      <c r="G1357" s="25"/>
      <c r="H1357" s="32"/>
    </row>
    <row r="1358" spans="1:8" x14ac:dyDescent="0.3">
      <c r="A1358" s="159"/>
      <c r="B1358" s="28"/>
      <c r="C1358" s="24"/>
      <c r="D1358" s="25"/>
      <c r="E1358" s="25"/>
      <c r="F1358" s="28"/>
      <c r="G1358" s="28"/>
      <c r="H1358" s="32"/>
    </row>
    <row r="1359" spans="1:8" x14ac:dyDescent="0.3">
      <c r="A1359" s="159"/>
      <c r="B1359" s="28"/>
      <c r="C1359" s="24"/>
      <c r="D1359" s="25"/>
      <c r="E1359" s="25"/>
      <c r="F1359" s="28"/>
      <c r="G1359" s="28"/>
      <c r="H1359" s="32"/>
    </row>
    <row r="1360" spans="1:8" x14ac:dyDescent="0.3">
      <c r="A1360" s="159"/>
      <c r="B1360" s="28"/>
      <c r="C1360" s="24"/>
      <c r="D1360" s="25"/>
      <c r="E1360" s="25"/>
      <c r="F1360" s="28"/>
      <c r="G1360" s="28"/>
      <c r="H1360" s="32"/>
    </row>
    <row r="1361" spans="1:8" ht="15.6" x14ac:dyDescent="0.3">
      <c r="A1361" s="64" t="s">
        <v>45</v>
      </c>
      <c r="B1361" s="28"/>
      <c r="C1361" s="24"/>
      <c r="D1361" s="25"/>
      <c r="E1361" s="25"/>
      <c r="F1361" s="447" t="s">
        <v>46</v>
      </c>
      <c r="G1361" s="447"/>
      <c r="H1361" s="66">
        <v>4400</v>
      </c>
    </row>
    <row r="1362" spans="1:8" ht="15.6" x14ac:dyDescent="0.3">
      <c r="A1362" s="497" t="s">
        <v>325</v>
      </c>
      <c r="B1362" s="498"/>
      <c r="C1362" s="498"/>
      <c r="D1362" s="498"/>
      <c r="E1362" s="498"/>
      <c r="F1362" s="447" t="s">
        <v>47</v>
      </c>
      <c r="G1362" s="447"/>
      <c r="H1362" s="66">
        <f>H1361*9%</f>
        <v>396</v>
      </c>
    </row>
    <row r="1363" spans="1:8" ht="15.6" x14ac:dyDescent="0.3">
      <c r="A1363" s="159"/>
      <c r="B1363" s="28"/>
      <c r="C1363" s="24"/>
      <c r="D1363" s="25"/>
      <c r="E1363" s="25"/>
      <c r="F1363" s="447" t="s">
        <v>48</v>
      </c>
      <c r="G1363" s="447"/>
      <c r="H1363" s="66">
        <f>H1361*9%</f>
        <v>396</v>
      </c>
    </row>
    <row r="1364" spans="1:8" ht="15.6" x14ac:dyDescent="0.3">
      <c r="A1364" s="64" t="s">
        <v>49</v>
      </c>
      <c r="B1364" s="28"/>
      <c r="C1364" s="24"/>
      <c r="D1364" s="25"/>
      <c r="E1364" s="25"/>
      <c r="F1364" s="447" t="s">
        <v>50</v>
      </c>
      <c r="G1364" s="447"/>
      <c r="H1364" s="66">
        <f>H1361+H1362+H1363</f>
        <v>5192</v>
      </c>
    </row>
    <row r="1365" spans="1:8" ht="26.4" x14ac:dyDescent="0.3">
      <c r="A1365" s="160" t="s">
        <v>22</v>
      </c>
      <c r="B1365" s="71" t="s">
        <v>51</v>
      </c>
      <c r="C1365" s="161" t="s">
        <v>24</v>
      </c>
      <c r="D1365" s="161" t="s">
        <v>25</v>
      </c>
      <c r="E1365" s="528" t="s">
        <v>52</v>
      </c>
      <c r="F1365" s="528"/>
      <c r="G1365" s="162"/>
      <c r="H1365" s="154"/>
    </row>
    <row r="1366" spans="1:8" x14ac:dyDescent="0.3">
      <c r="A1366" s="72">
        <v>0.18</v>
      </c>
      <c r="B1366" s="73">
        <f>H1361</f>
        <v>4400</v>
      </c>
      <c r="C1366" s="74">
        <f>H1362</f>
        <v>396</v>
      </c>
      <c r="D1366" s="74">
        <f>H1362</f>
        <v>396</v>
      </c>
      <c r="E1366" s="507">
        <f>C1366+D1366</f>
        <v>792</v>
      </c>
      <c r="F1366" s="507"/>
      <c r="G1366" s="74"/>
      <c r="H1366" s="75"/>
    </row>
    <row r="1367" spans="1:8" x14ac:dyDescent="0.3">
      <c r="A1367" s="508" t="s">
        <v>326</v>
      </c>
      <c r="B1367" s="509"/>
      <c r="C1367" s="509"/>
      <c r="D1367" s="509"/>
      <c r="E1367" s="453"/>
      <c r="F1367" s="453"/>
      <c r="G1367" s="453"/>
      <c r="H1367" s="454"/>
    </row>
    <row r="1368" spans="1:8" ht="15.6" x14ac:dyDescent="0.3">
      <c r="A1368" s="455" t="s">
        <v>53</v>
      </c>
      <c r="B1368" s="456"/>
      <c r="C1368" s="456"/>
      <c r="D1368" s="457"/>
      <c r="E1368" s="458" t="s">
        <v>54</v>
      </c>
      <c r="F1368" s="459"/>
      <c r="G1368" s="459"/>
      <c r="H1368" s="460"/>
    </row>
    <row r="1369" spans="1:8" x14ac:dyDescent="0.3">
      <c r="A1369" s="461" t="s">
        <v>55</v>
      </c>
      <c r="B1369" s="462"/>
      <c r="C1369" s="462"/>
      <c r="D1369" s="463"/>
      <c r="E1369" s="39"/>
      <c r="F1369" s="25"/>
      <c r="G1369" s="28"/>
      <c r="H1369" s="32"/>
    </row>
    <row r="1370" spans="1:8" x14ac:dyDescent="0.3">
      <c r="A1370" s="461" t="s">
        <v>56</v>
      </c>
      <c r="B1370" s="462"/>
      <c r="C1370" s="462"/>
      <c r="D1370" s="463"/>
      <c r="E1370" s="39"/>
      <c r="F1370" s="25"/>
      <c r="G1370" s="28"/>
      <c r="H1370" s="32"/>
    </row>
    <row r="1371" spans="1:8" x14ac:dyDescent="0.3">
      <c r="A1371" s="461" t="s">
        <v>57</v>
      </c>
      <c r="B1371" s="462"/>
      <c r="C1371" s="462"/>
      <c r="D1371" s="463"/>
      <c r="E1371" s="25"/>
      <c r="F1371" s="25"/>
      <c r="G1371" s="28"/>
      <c r="H1371" s="32"/>
    </row>
    <row r="1372" spans="1:8" ht="15.6" x14ac:dyDescent="0.3">
      <c r="A1372" s="464" t="s">
        <v>58</v>
      </c>
      <c r="B1372" s="465"/>
      <c r="C1372" s="465"/>
      <c r="D1372" s="510"/>
      <c r="E1372" s="466" t="s">
        <v>59</v>
      </c>
      <c r="F1372" s="467"/>
      <c r="G1372" s="467"/>
      <c r="H1372" s="468"/>
    </row>
    <row r="1373" spans="1:8" ht="15.6" x14ac:dyDescent="0.3">
      <c r="A1373" s="104"/>
      <c r="B1373" s="104"/>
      <c r="C1373" s="104"/>
      <c r="D1373" s="104"/>
      <c r="E1373" s="105"/>
      <c r="F1373" s="105"/>
      <c r="G1373" s="105"/>
      <c r="H1373" s="105"/>
    </row>
    <row r="1374" spans="1:8" ht="15.6" x14ac:dyDescent="0.3">
      <c r="A1374" s="104"/>
      <c r="B1374" s="104"/>
      <c r="C1374" s="104"/>
      <c r="D1374" s="104"/>
      <c r="E1374" s="105"/>
      <c r="F1374" s="105"/>
      <c r="G1374" s="105"/>
      <c r="H1374" s="105"/>
    </row>
    <row r="1375" spans="1:8" ht="15.6" x14ac:dyDescent="0.3">
      <c r="A1375" s="104"/>
      <c r="B1375" s="104"/>
      <c r="C1375" s="104"/>
      <c r="D1375" s="104"/>
      <c r="E1375" s="105"/>
      <c r="F1375" s="105"/>
      <c r="G1375" s="105"/>
      <c r="H1375" s="105"/>
    </row>
    <row r="1376" spans="1:8" ht="15.6" x14ac:dyDescent="0.3">
      <c r="A1376" s="104"/>
      <c r="B1376" s="104"/>
      <c r="C1376" s="104"/>
      <c r="D1376" s="104"/>
      <c r="E1376" s="105"/>
      <c r="F1376" s="105"/>
      <c r="G1376" s="105"/>
      <c r="H1376" s="105"/>
    </row>
    <row r="1377" spans="1:9" ht="15.6" x14ac:dyDescent="0.3">
      <c r="A1377" s="104"/>
      <c r="B1377" s="104"/>
      <c r="C1377" s="104"/>
      <c r="D1377" s="104"/>
      <c r="E1377" s="105"/>
      <c r="F1377" s="105"/>
      <c r="G1377" s="105"/>
      <c r="H1377" s="105"/>
    </row>
    <row r="1378" spans="1:9" ht="44.4" x14ac:dyDescent="0.7">
      <c r="A1378" s="469" t="s">
        <v>0</v>
      </c>
      <c r="B1378" s="470"/>
      <c r="C1378" s="470"/>
      <c r="D1378" s="470"/>
      <c r="E1378" s="471" t="s">
        <v>1</v>
      </c>
      <c r="F1378" s="472"/>
      <c r="G1378" s="472"/>
      <c r="H1378" s="473"/>
    </row>
    <row r="1379" spans="1:9" ht="20.399999999999999" x14ac:dyDescent="0.35">
      <c r="A1379" s="156"/>
      <c r="B1379" s="476" t="s">
        <v>2</v>
      </c>
      <c r="C1379" s="476"/>
      <c r="D1379" s="476"/>
      <c r="E1379" s="474"/>
      <c r="F1379" s="474"/>
      <c r="G1379" s="474"/>
      <c r="H1379" s="475"/>
    </row>
    <row r="1380" spans="1:9" x14ac:dyDescent="0.3">
      <c r="A1380" s="157" t="s">
        <v>3</v>
      </c>
      <c r="B1380" s="137"/>
      <c r="C1380" s="136"/>
      <c r="D1380" s="499" t="s">
        <v>4</v>
      </c>
      <c r="E1380" s="499"/>
      <c r="F1380" s="137"/>
      <c r="G1380" s="137" t="s">
        <v>134</v>
      </c>
      <c r="H1380" s="120"/>
    </row>
    <row r="1381" spans="1:9" ht="15.6" x14ac:dyDescent="0.3">
      <c r="A1381" s="158" t="s">
        <v>6</v>
      </c>
      <c r="B1381" s="5"/>
      <c r="C1381" s="481" t="s">
        <v>7</v>
      </c>
      <c r="D1381" s="481"/>
      <c r="E1381" s="482">
        <v>31</v>
      </c>
      <c r="F1381" s="482"/>
      <c r="G1381" s="7" t="s">
        <v>8</v>
      </c>
      <c r="H1381" s="8" t="s">
        <v>324</v>
      </c>
    </row>
    <row r="1382" spans="1:9" ht="15.6" x14ac:dyDescent="0.3">
      <c r="A1382" s="46" t="s">
        <v>356</v>
      </c>
      <c r="B1382" s="227"/>
      <c r="C1382" s="481" t="s">
        <v>10</v>
      </c>
      <c r="D1382" s="481"/>
      <c r="E1382" s="482"/>
      <c r="F1382" s="482"/>
      <c r="G1382" s="7" t="s">
        <v>8</v>
      </c>
      <c r="H1382" s="9"/>
    </row>
    <row r="1383" spans="1:9" ht="15" x14ac:dyDescent="0.3">
      <c r="A1383" s="46" t="s">
        <v>357</v>
      </c>
      <c r="B1383" s="106"/>
      <c r="C1383" s="483" t="s">
        <v>12</v>
      </c>
      <c r="D1383" s="484"/>
      <c r="E1383" s="584"/>
      <c r="F1383" s="585"/>
      <c r="G1383" s="10" t="s">
        <v>8</v>
      </c>
      <c r="H1383" s="82"/>
    </row>
    <row r="1384" spans="1:9" ht="15.6" x14ac:dyDescent="0.3">
      <c r="A1384" s="46" t="s">
        <v>358</v>
      </c>
      <c r="B1384" s="228"/>
      <c r="C1384" s="481" t="s">
        <v>15</v>
      </c>
      <c r="D1384" s="481"/>
      <c r="E1384" s="502"/>
      <c r="F1384" s="503"/>
      <c r="G1384" s="503"/>
      <c r="H1384" s="504"/>
    </row>
    <row r="1385" spans="1:9" ht="15.6" x14ac:dyDescent="0.3">
      <c r="A1385" s="46" t="s">
        <v>359</v>
      </c>
      <c r="B1385" s="229"/>
      <c r="C1385" s="489"/>
      <c r="D1385" s="490"/>
      <c r="E1385" s="490"/>
      <c r="F1385" s="490"/>
      <c r="G1385" s="490"/>
      <c r="H1385" s="491"/>
    </row>
    <row r="1386" spans="1:9" ht="15" x14ac:dyDescent="0.3">
      <c r="A1386" s="492" t="s">
        <v>17</v>
      </c>
      <c r="B1386" s="494" t="s">
        <v>18</v>
      </c>
      <c r="C1386" s="494" t="s">
        <v>19</v>
      </c>
      <c r="D1386" s="494" t="s">
        <v>20</v>
      </c>
      <c r="E1386" s="494" t="s">
        <v>21</v>
      </c>
      <c r="F1386" s="494" t="s">
        <v>22</v>
      </c>
      <c r="G1386" s="494"/>
      <c r="H1386" s="493" t="s">
        <v>23</v>
      </c>
    </row>
    <row r="1387" spans="1:9" ht="27.6" x14ac:dyDescent="0.3">
      <c r="A1387" s="493"/>
      <c r="B1387" s="495"/>
      <c r="C1387" s="495"/>
      <c r="D1387" s="495"/>
      <c r="E1387" s="495"/>
      <c r="F1387" s="53" t="s">
        <v>24</v>
      </c>
      <c r="G1387" s="53" t="s">
        <v>25</v>
      </c>
      <c r="H1387" s="527"/>
    </row>
    <row r="1388" spans="1:9" x14ac:dyDescent="0.3">
      <c r="A1388" s="213">
        <v>1</v>
      </c>
      <c r="B1388" s="214" t="s">
        <v>338</v>
      </c>
      <c r="C1388" s="213">
        <v>8</v>
      </c>
      <c r="D1388" s="221">
        <v>8512</v>
      </c>
      <c r="E1388" s="215">
        <v>36000</v>
      </c>
      <c r="F1388" s="223">
        <f t="shared" ref="F1388:F1402" si="8">E1388*C1388*9%</f>
        <v>25920</v>
      </c>
      <c r="G1388" s="93">
        <f t="shared" ref="G1388:G1402" si="9">F1388</f>
        <v>25920</v>
      </c>
      <c r="H1388" s="62">
        <f t="shared" ref="H1388:H1402" si="10">G1388+F1388+E1388*C1388</f>
        <v>339840</v>
      </c>
      <c r="I1388" s="362">
        <f>E1388*C1388</f>
        <v>288000</v>
      </c>
    </row>
    <row r="1389" spans="1:9" x14ac:dyDescent="0.3">
      <c r="A1389" s="213">
        <v>2</v>
      </c>
      <c r="B1389" s="214" t="s">
        <v>339</v>
      </c>
      <c r="C1389" s="213">
        <v>16</v>
      </c>
      <c r="D1389" s="221">
        <v>8512</v>
      </c>
      <c r="E1389" s="215">
        <v>3500</v>
      </c>
      <c r="F1389" s="223">
        <f t="shared" si="8"/>
        <v>5040</v>
      </c>
      <c r="G1389" s="93">
        <f t="shared" si="9"/>
        <v>5040</v>
      </c>
      <c r="H1389" s="62">
        <f t="shared" si="10"/>
        <v>66080</v>
      </c>
      <c r="I1389" s="362">
        <f t="shared" ref="I1389:I1402" si="11">E1389*C1389</f>
        <v>56000</v>
      </c>
    </row>
    <row r="1390" spans="1:9" x14ac:dyDescent="0.3">
      <c r="A1390" s="213">
        <v>3</v>
      </c>
      <c r="B1390" s="214" t="s">
        <v>340</v>
      </c>
      <c r="C1390" s="213">
        <v>8</v>
      </c>
      <c r="D1390" s="221">
        <v>8512</v>
      </c>
      <c r="E1390" s="215">
        <v>5000</v>
      </c>
      <c r="F1390" s="223">
        <f t="shared" si="8"/>
        <v>3600</v>
      </c>
      <c r="G1390" s="93">
        <f t="shared" si="9"/>
        <v>3600</v>
      </c>
      <c r="H1390" s="62">
        <f t="shared" si="10"/>
        <v>47200</v>
      </c>
      <c r="I1390" s="362">
        <f t="shared" si="11"/>
        <v>40000</v>
      </c>
    </row>
    <row r="1391" spans="1:9" x14ac:dyDescent="0.3">
      <c r="A1391" s="216">
        <v>4</v>
      </c>
      <c r="B1391" s="214" t="s">
        <v>341</v>
      </c>
      <c r="C1391" s="216">
        <v>1</v>
      </c>
      <c r="D1391" s="222">
        <v>7308</v>
      </c>
      <c r="E1391" s="216">
        <v>150000</v>
      </c>
      <c r="F1391" s="223">
        <f t="shared" si="8"/>
        <v>13500</v>
      </c>
      <c r="G1391" s="93">
        <f t="shared" si="9"/>
        <v>13500</v>
      </c>
      <c r="H1391" s="62">
        <f t="shared" si="10"/>
        <v>177000</v>
      </c>
      <c r="I1391" s="362">
        <f t="shared" si="11"/>
        <v>150000</v>
      </c>
    </row>
    <row r="1392" spans="1:9" x14ac:dyDescent="0.3">
      <c r="A1392" s="216">
        <v>5</v>
      </c>
      <c r="B1392" s="214" t="s">
        <v>342</v>
      </c>
      <c r="C1392" s="216">
        <v>1</v>
      </c>
      <c r="D1392" s="222">
        <v>8544</v>
      </c>
      <c r="E1392" s="216">
        <v>30000</v>
      </c>
      <c r="F1392" s="223">
        <f t="shared" si="8"/>
        <v>2700</v>
      </c>
      <c r="G1392" s="93">
        <f t="shared" si="9"/>
        <v>2700</v>
      </c>
      <c r="H1392" s="62">
        <f t="shared" si="10"/>
        <v>35400</v>
      </c>
      <c r="I1392" s="362">
        <f t="shared" si="11"/>
        <v>30000</v>
      </c>
    </row>
    <row r="1393" spans="1:12" ht="15" thickBot="1" x14ac:dyDescent="0.35">
      <c r="A1393" s="216">
        <v>6</v>
      </c>
      <c r="B1393" s="214" t="s">
        <v>343</v>
      </c>
      <c r="C1393" s="216">
        <v>25</v>
      </c>
      <c r="D1393" s="222">
        <v>8531</v>
      </c>
      <c r="E1393" s="216">
        <v>22000</v>
      </c>
      <c r="F1393" s="223">
        <f t="shared" si="8"/>
        <v>49500</v>
      </c>
      <c r="G1393" s="93">
        <f t="shared" si="9"/>
        <v>49500</v>
      </c>
      <c r="H1393" s="62">
        <f t="shared" si="10"/>
        <v>649000</v>
      </c>
      <c r="I1393" s="362">
        <f t="shared" si="11"/>
        <v>550000</v>
      </c>
    </row>
    <row r="1394" spans="1:12" x14ac:dyDescent="0.3">
      <c r="A1394" s="216">
        <v>7</v>
      </c>
      <c r="B1394" s="214" t="s">
        <v>344</v>
      </c>
      <c r="C1394" s="216">
        <v>1</v>
      </c>
      <c r="D1394" s="222">
        <v>8543</v>
      </c>
      <c r="E1394" s="216">
        <v>42000</v>
      </c>
      <c r="F1394" s="223">
        <f t="shared" si="8"/>
        <v>3780</v>
      </c>
      <c r="G1394" s="93">
        <f t="shared" si="9"/>
        <v>3780</v>
      </c>
      <c r="H1394" s="62">
        <f t="shared" si="10"/>
        <v>49560</v>
      </c>
      <c r="I1394" s="362">
        <f t="shared" si="11"/>
        <v>42000</v>
      </c>
      <c r="K1394" s="217"/>
      <c r="L1394" s="709"/>
    </row>
    <row r="1395" spans="1:12" x14ac:dyDescent="0.3">
      <c r="A1395" s="216">
        <v>8</v>
      </c>
      <c r="B1395" s="214" t="s">
        <v>345</v>
      </c>
      <c r="C1395" s="213">
        <v>3</v>
      </c>
      <c r="D1395" s="221">
        <v>8518</v>
      </c>
      <c r="E1395" s="215">
        <v>108000</v>
      </c>
      <c r="F1395" s="223">
        <f t="shared" si="8"/>
        <v>29160</v>
      </c>
      <c r="G1395" s="93">
        <f t="shared" si="9"/>
        <v>29160</v>
      </c>
      <c r="H1395" s="62">
        <f t="shared" si="10"/>
        <v>382320</v>
      </c>
      <c r="I1395" s="362">
        <f t="shared" si="11"/>
        <v>324000</v>
      </c>
      <c r="K1395" s="218"/>
      <c r="L1395" s="709"/>
    </row>
    <row r="1396" spans="1:12" x14ac:dyDescent="0.3">
      <c r="A1396" s="216">
        <v>9</v>
      </c>
      <c r="B1396" s="214" t="s">
        <v>346</v>
      </c>
      <c r="C1396" s="213">
        <v>2</v>
      </c>
      <c r="D1396" s="221">
        <v>8543</v>
      </c>
      <c r="E1396" s="215">
        <v>30000</v>
      </c>
      <c r="F1396" s="223">
        <f t="shared" si="8"/>
        <v>5400</v>
      </c>
      <c r="G1396" s="93">
        <f t="shared" si="9"/>
        <v>5400</v>
      </c>
      <c r="H1396" s="62">
        <f t="shared" si="10"/>
        <v>70800</v>
      </c>
      <c r="I1396" s="362">
        <f t="shared" si="11"/>
        <v>60000</v>
      </c>
      <c r="K1396" s="218"/>
      <c r="L1396" s="709"/>
    </row>
    <row r="1397" spans="1:12" x14ac:dyDescent="0.3">
      <c r="A1397" s="216">
        <v>10</v>
      </c>
      <c r="B1397" s="214" t="s">
        <v>347</v>
      </c>
      <c r="C1397" s="213">
        <v>6</v>
      </c>
      <c r="D1397" s="221">
        <v>8518</v>
      </c>
      <c r="E1397" s="215">
        <v>75000</v>
      </c>
      <c r="F1397" s="223">
        <f t="shared" si="8"/>
        <v>40500</v>
      </c>
      <c r="G1397" s="93">
        <f t="shared" si="9"/>
        <v>40500</v>
      </c>
      <c r="H1397" s="62">
        <f t="shared" si="10"/>
        <v>531000</v>
      </c>
      <c r="I1397" s="362">
        <f t="shared" si="11"/>
        <v>450000</v>
      </c>
      <c r="K1397" s="218"/>
      <c r="L1397" s="709"/>
    </row>
    <row r="1398" spans="1:12" x14ac:dyDescent="0.3">
      <c r="A1398" s="216">
        <v>11</v>
      </c>
      <c r="B1398" s="214" t="s">
        <v>348</v>
      </c>
      <c r="C1398" s="216">
        <v>1</v>
      </c>
      <c r="D1398" s="222">
        <v>8543</v>
      </c>
      <c r="E1398" s="216">
        <v>42000</v>
      </c>
      <c r="F1398" s="223">
        <f t="shared" si="8"/>
        <v>3780</v>
      </c>
      <c r="G1398" s="93">
        <f t="shared" si="9"/>
        <v>3780</v>
      </c>
      <c r="H1398" s="62">
        <f t="shared" si="10"/>
        <v>49560</v>
      </c>
      <c r="I1398" s="362">
        <f t="shared" si="11"/>
        <v>42000</v>
      </c>
      <c r="K1398" s="218"/>
      <c r="L1398" s="709"/>
    </row>
    <row r="1399" spans="1:12" x14ac:dyDescent="0.3">
      <c r="A1399" s="216">
        <v>12</v>
      </c>
      <c r="B1399" s="214" t="s">
        <v>349</v>
      </c>
      <c r="C1399" s="216">
        <v>4</v>
      </c>
      <c r="D1399" s="222">
        <v>8518</v>
      </c>
      <c r="E1399" s="216">
        <v>50000</v>
      </c>
      <c r="F1399" s="223">
        <f t="shared" si="8"/>
        <v>18000</v>
      </c>
      <c r="G1399" s="93">
        <f t="shared" si="9"/>
        <v>18000</v>
      </c>
      <c r="H1399" s="62">
        <f t="shared" si="10"/>
        <v>236000</v>
      </c>
      <c r="I1399" s="362">
        <f t="shared" si="11"/>
        <v>200000</v>
      </c>
      <c r="K1399" s="218"/>
      <c r="L1399" s="709"/>
    </row>
    <row r="1400" spans="1:12" x14ac:dyDescent="0.3">
      <c r="A1400" s="216">
        <v>13</v>
      </c>
      <c r="B1400" s="214" t="s">
        <v>350</v>
      </c>
      <c r="C1400" s="216">
        <v>2</v>
      </c>
      <c r="D1400" s="222">
        <v>8537</v>
      </c>
      <c r="E1400" s="216">
        <v>22000</v>
      </c>
      <c r="F1400" s="223">
        <f t="shared" si="8"/>
        <v>3960</v>
      </c>
      <c r="G1400" s="93">
        <f t="shared" si="9"/>
        <v>3960</v>
      </c>
      <c r="H1400" s="62">
        <f t="shared" si="10"/>
        <v>51920</v>
      </c>
      <c r="I1400" s="362">
        <f t="shared" si="11"/>
        <v>44000</v>
      </c>
      <c r="K1400" s="218"/>
      <c r="L1400" s="709"/>
    </row>
    <row r="1401" spans="1:12" x14ac:dyDescent="0.3">
      <c r="A1401" s="216">
        <v>14</v>
      </c>
      <c r="B1401" s="214" t="s">
        <v>351</v>
      </c>
      <c r="C1401" s="216">
        <v>2</v>
      </c>
      <c r="D1401" s="222">
        <v>8518</v>
      </c>
      <c r="E1401" s="216">
        <v>45000</v>
      </c>
      <c r="F1401" s="223">
        <f t="shared" si="8"/>
        <v>8100</v>
      </c>
      <c r="G1401" s="93">
        <f t="shared" si="9"/>
        <v>8100</v>
      </c>
      <c r="H1401" s="62">
        <f t="shared" si="10"/>
        <v>106200</v>
      </c>
      <c r="I1401" s="362">
        <f t="shared" si="11"/>
        <v>90000</v>
      </c>
      <c r="K1401" s="218"/>
      <c r="L1401" s="709"/>
    </row>
    <row r="1402" spans="1:12" x14ac:dyDescent="0.3">
      <c r="A1402" s="216">
        <v>15</v>
      </c>
      <c r="B1402" s="214" t="s">
        <v>352</v>
      </c>
      <c r="C1402" s="216">
        <v>4</v>
      </c>
      <c r="D1402" s="222">
        <v>8512</v>
      </c>
      <c r="E1402" s="216">
        <v>5000</v>
      </c>
      <c r="F1402" s="223">
        <f t="shared" si="8"/>
        <v>1800</v>
      </c>
      <c r="G1402" s="93">
        <f t="shared" si="9"/>
        <v>1800</v>
      </c>
      <c r="H1402" s="62">
        <f t="shared" si="10"/>
        <v>23600</v>
      </c>
      <c r="I1402" s="362">
        <f t="shared" si="11"/>
        <v>20000</v>
      </c>
      <c r="K1402" s="218"/>
      <c r="L1402" s="709"/>
    </row>
    <row r="1403" spans="1:12" x14ac:dyDescent="0.3">
      <c r="A1403" s="27"/>
      <c r="B1403" s="28"/>
      <c r="C1403" s="24"/>
      <c r="D1403" s="89"/>
      <c r="E1403" s="25"/>
      <c r="F1403" s="25"/>
      <c r="G1403" s="25"/>
      <c r="H1403" s="32"/>
      <c r="K1403" s="219"/>
      <c r="L1403" s="709"/>
    </row>
    <row r="1404" spans="1:12" x14ac:dyDescent="0.3">
      <c r="A1404" s="225" t="s">
        <v>354</v>
      </c>
      <c r="B1404" s="226"/>
      <c r="C1404" s="24"/>
      <c r="D1404" s="89"/>
      <c r="E1404" s="25"/>
      <c r="F1404" s="25"/>
      <c r="G1404" s="25"/>
      <c r="H1404" s="32"/>
      <c r="K1404" s="219"/>
      <c r="L1404" s="709"/>
    </row>
    <row r="1405" spans="1:12" x14ac:dyDescent="0.3">
      <c r="A1405" s="225" t="s">
        <v>355</v>
      </c>
      <c r="B1405" s="226"/>
      <c r="C1405" s="24"/>
      <c r="D1405" s="89"/>
      <c r="E1405" s="25"/>
      <c r="F1405" s="25"/>
      <c r="G1405" s="25"/>
      <c r="H1405" s="32"/>
      <c r="K1405" s="219">
        <v>2386000</v>
      </c>
      <c r="L1405" s="709"/>
    </row>
    <row r="1406" spans="1:12" x14ac:dyDescent="0.3">
      <c r="A1406" s="224"/>
      <c r="B1406" s="28"/>
      <c r="C1406" s="24"/>
      <c r="D1406" s="89"/>
      <c r="E1406" s="25"/>
      <c r="F1406" s="25"/>
      <c r="G1406" s="25"/>
      <c r="H1406" s="32"/>
      <c r="K1406" s="219">
        <v>214740</v>
      </c>
      <c r="L1406" s="709"/>
    </row>
    <row r="1407" spans="1:12" x14ac:dyDescent="0.3">
      <c r="A1407" s="159"/>
      <c r="B1407" s="28"/>
      <c r="C1407" s="24"/>
      <c r="D1407" s="25"/>
      <c r="E1407" s="25"/>
      <c r="F1407" s="28"/>
      <c r="G1407" s="28"/>
      <c r="H1407" s="32"/>
      <c r="K1407" s="219">
        <v>214740</v>
      </c>
      <c r="L1407" s="709"/>
    </row>
    <row r="1408" spans="1:12" ht="15" thickBot="1" x14ac:dyDescent="0.35">
      <c r="A1408" s="159"/>
      <c r="B1408" s="28"/>
      <c r="C1408" s="24"/>
      <c r="D1408" s="25"/>
      <c r="E1408" s="25"/>
      <c r="F1408" s="28"/>
      <c r="G1408" s="28"/>
      <c r="H1408" s="32"/>
      <c r="K1408" s="220">
        <v>2815480</v>
      </c>
      <c r="L1408" s="710"/>
    </row>
    <row r="1409" spans="1:12" ht="25.5" customHeight="1" thickBot="1" x14ac:dyDescent="0.35">
      <c r="A1409" s="159"/>
      <c r="B1409" s="28"/>
      <c r="C1409" s="24"/>
      <c r="D1409" s="25"/>
      <c r="E1409" s="25"/>
      <c r="F1409" s="28"/>
      <c r="G1409" s="28"/>
      <c r="H1409" s="32"/>
      <c r="K1409" s="711" t="s">
        <v>353</v>
      </c>
      <c r="L1409" s="712"/>
    </row>
    <row r="1410" spans="1:12" ht="15.6" x14ac:dyDescent="0.3">
      <c r="A1410" s="64" t="s">
        <v>45</v>
      </c>
      <c r="B1410" s="28"/>
      <c r="C1410" s="24"/>
      <c r="D1410" s="25"/>
      <c r="E1410" s="25"/>
      <c r="F1410" s="447" t="s">
        <v>46</v>
      </c>
      <c r="G1410" s="447"/>
      <c r="H1410" s="66">
        <v>2386000</v>
      </c>
    </row>
    <row r="1411" spans="1:12" ht="15.6" x14ac:dyDescent="0.3">
      <c r="A1411" s="497" t="s">
        <v>361</v>
      </c>
      <c r="B1411" s="498"/>
      <c r="C1411" s="498"/>
      <c r="D1411" s="498"/>
      <c r="E1411" s="498"/>
      <c r="F1411" s="447" t="s">
        <v>47</v>
      </c>
      <c r="G1411" s="447"/>
      <c r="H1411" s="66">
        <f>H1410*9%</f>
        <v>214740</v>
      </c>
    </row>
    <row r="1412" spans="1:12" ht="15.6" x14ac:dyDescent="0.3">
      <c r="A1412" s="159"/>
      <c r="B1412" s="28"/>
      <c r="C1412" s="24"/>
      <c r="D1412" s="25"/>
      <c r="E1412" s="25"/>
      <c r="F1412" s="447" t="s">
        <v>48</v>
      </c>
      <c r="G1412" s="447"/>
      <c r="H1412" s="66">
        <f>H1410*9%</f>
        <v>214740</v>
      </c>
    </row>
    <row r="1413" spans="1:12" ht="15.6" x14ac:dyDescent="0.3">
      <c r="A1413" s="64" t="s">
        <v>49</v>
      </c>
      <c r="B1413" s="28"/>
      <c r="C1413" s="24"/>
      <c r="D1413" s="25"/>
      <c r="E1413" s="25"/>
      <c r="F1413" s="447" t="s">
        <v>50</v>
      </c>
      <c r="G1413" s="447"/>
      <c r="H1413" s="66">
        <f>H1410+H1411+H1412</f>
        <v>2815480</v>
      </c>
    </row>
    <row r="1414" spans="1:12" ht="26.4" x14ac:dyDescent="0.3">
      <c r="A1414" s="160" t="s">
        <v>22</v>
      </c>
      <c r="B1414" s="71" t="s">
        <v>51</v>
      </c>
      <c r="C1414" s="161" t="s">
        <v>24</v>
      </c>
      <c r="D1414" s="161" t="s">
        <v>25</v>
      </c>
      <c r="E1414" s="528" t="s">
        <v>52</v>
      </c>
      <c r="F1414" s="528"/>
      <c r="G1414" s="162"/>
      <c r="H1414" s="154"/>
    </row>
    <row r="1415" spans="1:12" x14ac:dyDescent="0.3">
      <c r="A1415" s="72">
        <v>0.18</v>
      </c>
      <c r="B1415" s="73">
        <f>H1410</f>
        <v>2386000</v>
      </c>
      <c r="C1415" s="74">
        <f>H1411</f>
        <v>214740</v>
      </c>
      <c r="D1415" s="74">
        <f>H1411</f>
        <v>214740</v>
      </c>
      <c r="E1415" s="507">
        <f>C1415+D1415</f>
        <v>429480</v>
      </c>
      <c r="F1415" s="507"/>
      <c r="G1415" s="74"/>
      <c r="H1415" s="75"/>
    </row>
    <row r="1416" spans="1:12" x14ac:dyDescent="0.3">
      <c r="A1416" s="508" t="s">
        <v>360</v>
      </c>
      <c r="B1416" s="509"/>
      <c r="C1416" s="509"/>
      <c r="D1416" s="509"/>
      <c r="E1416" s="453"/>
      <c r="F1416" s="453"/>
      <c r="G1416" s="453"/>
      <c r="H1416" s="454"/>
    </row>
    <row r="1417" spans="1:12" ht="15.6" x14ac:dyDescent="0.3">
      <c r="A1417" s="455" t="s">
        <v>53</v>
      </c>
      <c r="B1417" s="456"/>
      <c r="C1417" s="456"/>
      <c r="D1417" s="457"/>
      <c r="E1417" s="458" t="s">
        <v>54</v>
      </c>
      <c r="F1417" s="459"/>
      <c r="G1417" s="459"/>
      <c r="H1417" s="460"/>
    </row>
    <row r="1418" spans="1:12" x14ac:dyDescent="0.3">
      <c r="A1418" s="461" t="s">
        <v>55</v>
      </c>
      <c r="B1418" s="462"/>
      <c r="C1418" s="462"/>
      <c r="D1418" s="463"/>
      <c r="E1418" s="39"/>
      <c r="F1418" s="25"/>
      <c r="G1418" s="28"/>
      <c r="H1418" s="32"/>
    </row>
    <row r="1419" spans="1:12" x14ac:dyDescent="0.3">
      <c r="A1419" s="461" t="s">
        <v>56</v>
      </c>
      <c r="B1419" s="462"/>
      <c r="C1419" s="462"/>
      <c r="D1419" s="463"/>
      <c r="E1419" s="39"/>
      <c r="F1419" s="25"/>
      <c r="G1419" s="28"/>
      <c r="H1419" s="32"/>
    </row>
    <row r="1420" spans="1:12" x14ac:dyDescent="0.3">
      <c r="A1420" s="461" t="s">
        <v>57</v>
      </c>
      <c r="B1420" s="462"/>
      <c r="C1420" s="462"/>
      <c r="D1420" s="463"/>
      <c r="E1420" s="25"/>
      <c r="F1420" s="25"/>
      <c r="G1420" s="28"/>
      <c r="H1420" s="32"/>
    </row>
    <row r="1421" spans="1:12" ht="15.6" x14ac:dyDescent="0.3">
      <c r="A1421" s="464" t="s">
        <v>58</v>
      </c>
      <c r="B1421" s="465"/>
      <c r="C1421" s="465"/>
      <c r="D1421" s="510"/>
      <c r="E1421" s="466" t="s">
        <v>59</v>
      </c>
      <c r="F1421" s="467"/>
      <c r="G1421" s="467"/>
      <c r="H1421" s="468"/>
    </row>
    <row r="1422" spans="1:12" ht="15.6" x14ac:dyDescent="0.3">
      <c r="A1422" s="104"/>
      <c r="B1422" s="104"/>
      <c r="C1422" s="104"/>
      <c r="D1422" s="104"/>
      <c r="E1422" s="105"/>
      <c r="F1422" s="105"/>
      <c r="G1422" s="105"/>
      <c r="H1422" s="105"/>
    </row>
    <row r="1423" spans="1:12" ht="15.6" x14ac:dyDescent="0.3">
      <c r="A1423" s="104"/>
      <c r="B1423" s="104"/>
      <c r="C1423" s="104"/>
      <c r="D1423" s="104"/>
      <c r="E1423" s="105"/>
      <c r="F1423" s="105"/>
      <c r="G1423" s="105"/>
      <c r="H1423" s="105"/>
    </row>
    <row r="1424" spans="1:12" ht="44.4" x14ac:dyDescent="0.7">
      <c r="A1424" s="469" t="s">
        <v>0</v>
      </c>
      <c r="B1424" s="470"/>
      <c r="C1424" s="470"/>
      <c r="D1424" s="470"/>
      <c r="E1424" s="471" t="s">
        <v>1</v>
      </c>
      <c r="F1424" s="472"/>
      <c r="G1424" s="472"/>
      <c r="H1424" s="473"/>
    </row>
    <row r="1425" spans="1:9" ht="20.399999999999999" x14ac:dyDescent="0.35">
      <c r="A1425" s="156"/>
      <c r="B1425" s="476" t="s">
        <v>2</v>
      </c>
      <c r="C1425" s="476"/>
      <c r="D1425" s="476"/>
      <c r="E1425" s="474"/>
      <c r="F1425" s="474"/>
      <c r="G1425" s="474"/>
      <c r="H1425" s="475"/>
    </row>
    <row r="1426" spans="1:9" x14ac:dyDescent="0.3">
      <c r="A1426" s="157" t="s">
        <v>3</v>
      </c>
      <c r="B1426" s="137"/>
      <c r="C1426" s="136"/>
      <c r="D1426" s="499" t="s">
        <v>4</v>
      </c>
      <c r="E1426" s="499"/>
      <c r="F1426" s="137"/>
      <c r="G1426" s="137" t="s">
        <v>134</v>
      </c>
      <c r="H1426" s="120"/>
    </row>
    <row r="1427" spans="1:9" ht="15.6" x14ac:dyDescent="0.3">
      <c r="A1427" s="158" t="s">
        <v>6</v>
      </c>
      <c r="B1427" s="5"/>
      <c r="C1427" s="481" t="s">
        <v>7</v>
      </c>
      <c r="D1427" s="481"/>
      <c r="E1427" s="482">
        <v>32</v>
      </c>
      <c r="F1427" s="482"/>
      <c r="G1427" s="7" t="s">
        <v>8</v>
      </c>
      <c r="H1427" s="8" t="s">
        <v>324</v>
      </c>
    </row>
    <row r="1428" spans="1:9" ht="15.6" x14ac:dyDescent="0.3">
      <c r="A1428" s="551" t="s">
        <v>328</v>
      </c>
      <c r="B1428" s="552"/>
      <c r="C1428" s="481" t="s">
        <v>10</v>
      </c>
      <c r="D1428" s="481"/>
      <c r="E1428" s="482"/>
      <c r="F1428" s="482"/>
      <c r="G1428" s="7" t="s">
        <v>8</v>
      </c>
      <c r="H1428" s="9"/>
    </row>
    <row r="1429" spans="1:9" ht="15" x14ac:dyDescent="0.3">
      <c r="A1429" s="517" t="s">
        <v>329</v>
      </c>
      <c r="B1429" s="553"/>
      <c r="C1429" s="483" t="s">
        <v>12</v>
      </c>
      <c r="D1429" s="484"/>
      <c r="E1429" s="584"/>
      <c r="F1429" s="585"/>
      <c r="G1429" s="10" t="s">
        <v>8</v>
      </c>
      <c r="H1429" s="82"/>
    </row>
    <row r="1430" spans="1:9" ht="15.6" x14ac:dyDescent="0.3">
      <c r="A1430" s="556" t="s">
        <v>330</v>
      </c>
      <c r="B1430" s="557"/>
      <c r="C1430" s="481" t="s">
        <v>15</v>
      </c>
      <c r="D1430" s="481"/>
      <c r="E1430" s="502" t="s">
        <v>332</v>
      </c>
      <c r="F1430" s="503"/>
      <c r="G1430" s="503"/>
      <c r="H1430" s="504"/>
    </row>
    <row r="1431" spans="1:9" ht="15.6" x14ac:dyDescent="0.3">
      <c r="A1431" s="558" t="s">
        <v>331</v>
      </c>
      <c r="B1431" s="559"/>
      <c r="C1431" s="489"/>
      <c r="D1431" s="490"/>
      <c r="E1431" s="490"/>
      <c r="F1431" s="490"/>
      <c r="G1431" s="490"/>
      <c r="H1431" s="491"/>
    </row>
    <row r="1432" spans="1:9" ht="15" x14ac:dyDescent="0.3">
      <c r="A1432" s="492" t="s">
        <v>17</v>
      </c>
      <c r="B1432" s="494" t="s">
        <v>18</v>
      </c>
      <c r="C1432" s="494" t="s">
        <v>19</v>
      </c>
      <c r="D1432" s="494" t="s">
        <v>20</v>
      </c>
      <c r="E1432" s="494" t="s">
        <v>21</v>
      </c>
      <c r="F1432" s="494" t="s">
        <v>22</v>
      </c>
      <c r="G1432" s="494"/>
      <c r="H1432" s="493" t="s">
        <v>23</v>
      </c>
    </row>
    <row r="1433" spans="1:9" ht="27.6" x14ac:dyDescent="0.3">
      <c r="A1433" s="492"/>
      <c r="B1433" s="494"/>
      <c r="C1433" s="494"/>
      <c r="D1433" s="494"/>
      <c r="E1433" s="494"/>
      <c r="F1433" s="53" t="s">
        <v>24</v>
      </c>
      <c r="G1433" s="53" t="s">
        <v>25</v>
      </c>
      <c r="H1433" s="527"/>
    </row>
    <row r="1434" spans="1:9" x14ac:dyDescent="0.3">
      <c r="A1434" s="55">
        <v>1</v>
      </c>
      <c r="B1434" s="130" t="s">
        <v>333</v>
      </c>
      <c r="C1434" s="55">
        <v>4</v>
      </c>
      <c r="D1434" s="86">
        <v>998719</v>
      </c>
      <c r="E1434" s="55">
        <v>2200</v>
      </c>
      <c r="F1434" s="93">
        <f>E1434*C1434*9%</f>
        <v>792</v>
      </c>
      <c r="G1434" s="93">
        <f>F1434</f>
        <v>792</v>
      </c>
      <c r="H1434" s="62">
        <f>G1434+F1434+E1434*C1434</f>
        <v>10384</v>
      </c>
      <c r="I1434" s="362">
        <f>E1434*C1434</f>
        <v>8800</v>
      </c>
    </row>
    <row r="1435" spans="1:9" x14ac:dyDescent="0.3">
      <c r="A1435" s="57">
        <v>2</v>
      </c>
      <c r="B1435" s="60" t="s">
        <v>334</v>
      </c>
      <c r="C1435" s="57">
        <v>1</v>
      </c>
      <c r="D1435" s="83">
        <v>998719</v>
      </c>
      <c r="E1435" s="57">
        <v>2000</v>
      </c>
      <c r="F1435" s="93">
        <f>E1435*C1435*9%</f>
        <v>180</v>
      </c>
      <c r="G1435" s="93">
        <f>F1435</f>
        <v>180</v>
      </c>
      <c r="H1435" s="62">
        <f>G1435+F1435+E1435*C1435</f>
        <v>2360</v>
      </c>
      <c r="I1435" s="362">
        <f>E1435*C1435</f>
        <v>2000</v>
      </c>
    </row>
    <row r="1436" spans="1:9" x14ac:dyDescent="0.3">
      <c r="A1436" s="57">
        <v>3</v>
      </c>
      <c r="B1436" s="60" t="s">
        <v>335</v>
      </c>
      <c r="C1436" s="57">
        <v>1</v>
      </c>
      <c r="D1436" s="83">
        <v>998719</v>
      </c>
      <c r="E1436" s="57">
        <v>750</v>
      </c>
      <c r="F1436" s="93">
        <f>E1436*C1436*9%</f>
        <v>67.5</v>
      </c>
      <c r="G1436" s="93">
        <f>F1436</f>
        <v>67.5</v>
      </c>
      <c r="H1436" s="62">
        <f>G1436+F1436+E1436*C1436</f>
        <v>885</v>
      </c>
      <c r="I1436" s="362">
        <f>E1436*C1436</f>
        <v>750</v>
      </c>
    </row>
    <row r="1437" spans="1:9" x14ac:dyDescent="0.3">
      <c r="A1437" s="57"/>
      <c r="B1437" s="60"/>
      <c r="C1437" s="57"/>
      <c r="D1437" s="83"/>
      <c r="E1437" s="57"/>
      <c r="F1437" s="58"/>
      <c r="G1437" s="58"/>
      <c r="H1437" s="59"/>
    </row>
    <row r="1438" spans="1:9" x14ac:dyDescent="0.3">
      <c r="A1438" s="27"/>
      <c r="B1438" s="88"/>
      <c r="C1438" s="24"/>
      <c r="D1438" s="89"/>
      <c r="E1438" s="24"/>
      <c r="F1438" s="133"/>
      <c r="G1438" s="133"/>
      <c r="H1438" s="134"/>
    </row>
    <row r="1439" spans="1:9" x14ac:dyDescent="0.3">
      <c r="A1439" s="27"/>
      <c r="B1439" s="88"/>
      <c r="C1439" s="24"/>
      <c r="D1439" s="89"/>
      <c r="E1439" s="24"/>
      <c r="F1439" s="133"/>
      <c r="G1439" s="133"/>
      <c r="H1439" s="134"/>
    </row>
    <row r="1440" spans="1:9" x14ac:dyDescent="0.3">
      <c r="A1440" s="27"/>
      <c r="B1440" s="88"/>
      <c r="C1440" s="24"/>
      <c r="D1440" s="89"/>
      <c r="E1440" s="24"/>
      <c r="F1440" s="133"/>
      <c r="G1440" s="133"/>
      <c r="H1440" s="134"/>
    </row>
    <row r="1441" spans="1:8" x14ac:dyDescent="0.3">
      <c r="A1441" s="27"/>
      <c r="B1441" s="88"/>
      <c r="C1441" s="24"/>
      <c r="D1441" s="89"/>
      <c r="E1441" s="24"/>
      <c r="F1441" s="133"/>
      <c r="G1441" s="133"/>
      <c r="H1441" s="134"/>
    </row>
    <row r="1442" spans="1:8" x14ac:dyDescent="0.3">
      <c r="A1442" s="27"/>
      <c r="B1442" s="88"/>
      <c r="C1442" s="24"/>
      <c r="D1442" s="89"/>
      <c r="E1442" s="24"/>
      <c r="F1442" s="133"/>
      <c r="G1442" s="133"/>
      <c r="H1442" s="134"/>
    </row>
    <row r="1443" spans="1:8" x14ac:dyDescent="0.3">
      <c r="A1443" s="27"/>
      <c r="B1443" s="88"/>
      <c r="C1443" s="24"/>
      <c r="D1443" s="89"/>
      <c r="E1443" s="24"/>
      <c r="F1443" s="133"/>
      <c r="G1443" s="133"/>
      <c r="H1443" s="134"/>
    </row>
    <row r="1444" spans="1:8" x14ac:dyDescent="0.3">
      <c r="A1444" s="27"/>
      <c r="B1444" s="88"/>
      <c r="C1444" s="24"/>
      <c r="D1444" s="89"/>
      <c r="E1444" s="24"/>
      <c r="F1444" s="133"/>
      <c r="G1444" s="133"/>
      <c r="H1444" s="134"/>
    </row>
    <row r="1445" spans="1:8" x14ac:dyDescent="0.3">
      <c r="A1445" s="27"/>
      <c r="B1445" s="28"/>
      <c r="C1445" s="24"/>
      <c r="D1445" s="89"/>
      <c r="E1445" s="25"/>
      <c r="F1445" s="25"/>
      <c r="G1445" s="25"/>
      <c r="H1445" s="32"/>
    </row>
    <row r="1446" spans="1:8" x14ac:dyDescent="0.3">
      <c r="A1446" s="27"/>
      <c r="B1446" s="28"/>
      <c r="C1446" s="24"/>
      <c r="D1446" s="89"/>
      <c r="E1446" s="25"/>
      <c r="F1446" s="25"/>
      <c r="G1446" s="25"/>
      <c r="H1446" s="32"/>
    </row>
    <row r="1447" spans="1:8" x14ac:dyDescent="0.3">
      <c r="A1447" s="27"/>
      <c r="B1447" s="28"/>
      <c r="C1447" s="24"/>
      <c r="D1447" s="89"/>
      <c r="E1447" s="25"/>
      <c r="F1447" s="25"/>
      <c r="G1447" s="25"/>
      <c r="H1447" s="32"/>
    </row>
    <row r="1448" spans="1:8" x14ac:dyDescent="0.3">
      <c r="A1448" s="27"/>
      <c r="B1448" s="28"/>
      <c r="C1448" s="24"/>
      <c r="D1448" s="89"/>
      <c r="E1448" s="25"/>
      <c r="F1448" s="25"/>
      <c r="G1448" s="25"/>
      <c r="H1448" s="32"/>
    </row>
    <row r="1449" spans="1:8" x14ac:dyDescent="0.3">
      <c r="A1449" s="27"/>
      <c r="B1449" s="28"/>
      <c r="C1449" s="24"/>
      <c r="D1449" s="89"/>
      <c r="E1449" s="25"/>
      <c r="F1449" s="25"/>
      <c r="G1449" s="25"/>
      <c r="H1449" s="32"/>
    </row>
    <row r="1450" spans="1:8" x14ac:dyDescent="0.3">
      <c r="A1450" s="27"/>
      <c r="B1450" s="28"/>
      <c r="C1450" s="24"/>
      <c r="D1450" s="89"/>
      <c r="E1450" s="25"/>
      <c r="F1450" s="25"/>
      <c r="G1450" s="25"/>
      <c r="H1450" s="32"/>
    </row>
    <row r="1451" spans="1:8" x14ac:dyDescent="0.3">
      <c r="A1451" s="27"/>
      <c r="B1451" s="28"/>
      <c r="C1451" s="24"/>
      <c r="D1451" s="89"/>
      <c r="E1451" s="25"/>
      <c r="F1451" s="25"/>
      <c r="G1451" s="25"/>
      <c r="H1451" s="32"/>
    </row>
    <row r="1452" spans="1:8" x14ac:dyDescent="0.3">
      <c r="A1452" s="27"/>
      <c r="B1452" s="28"/>
      <c r="C1452" s="24"/>
      <c r="D1452" s="89"/>
      <c r="E1452" s="25"/>
      <c r="F1452" s="25"/>
      <c r="G1452" s="25"/>
      <c r="H1452" s="32"/>
    </row>
    <row r="1453" spans="1:8" x14ac:dyDescent="0.3">
      <c r="A1453" s="159"/>
      <c r="B1453" s="28"/>
      <c r="C1453" s="24"/>
      <c r="D1453" s="25"/>
      <c r="E1453" s="25"/>
      <c r="F1453" s="28"/>
      <c r="G1453" s="28"/>
      <c r="H1453" s="32"/>
    </row>
    <row r="1454" spans="1:8" x14ac:dyDescent="0.3">
      <c r="A1454" s="159"/>
      <c r="B1454" s="28"/>
      <c r="C1454" s="24"/>
      <c r="D1454" s="25"/>
      <c r="E1454" s="25"/>
      <c r="F1454" s="28"/>
      <c r="G1454" s="28"/>
      <c r="H1454" s="32"/>
    </row>
    <row r="1455" spans="1:8" x14ac:dyDescent="0.3">
      <c r="A1455" s="159"/>
      <c r="B1455" s="28"/>
      <c r="C1455" s="24"/>
      <c r="D1455" s="25"/>
      <c r="E1455" s="25"/>
      <c r="F1455" s="28"/>
      <c r="G1455" s="28"/>
      <c r="H1455" s="32"/>
    </row>
    <row r="1456" spans="1:8" ht="15.6" x14ac:dyDescent="0.3">
      <c r="A1456" s="64" t="s">
        <v>45</v>
      </c>
      <c r="B1456" s="28"/>
      <c r="C1456" s="24"/>
      <c r="D1456" s="25"/>
      <c r="E1456" s="25"/>
      <c r="F1456" s="447" t="s">
        <v>46</v>
      </c>
      <c r="G1456" s="447"/>
      <c r="H1456" s="66">
        <v>11550</v>
      </c>
    </row>
    <row r="1457" spans="1:8" ht="15.6" x14ac:dyDescent="0.3">
      <c r="A1457" s="497" t="s">
        <v>336</v>
      </c>
      <c r="B1457" s="498"/>
      <c r="C1457" s="498"/>
      <c r="D1457" s="498"/>
      <c r="E1457" s="498"/>
      <c r="F1457" s="447" t="s">
        <v>47</v>
      </c>
      <c r="G1457" s="447"/>
      <c r="H1457" s="66">
        <f>H1456*9%</f>
        <v>1039.5</v>
      </c>
    </row>
    <row r="1458" spans="1:8" ht="15.6" x14ac:dyDescent="0.3">
      <c r="A1458" s="159"/>
      <c r="B1458" s="28"/>
      <c r="C1458" s="24"/>
      <c r="D1458" s="25"/>
      <c r="E1458" s="25"/>
      <c r="F1458" s="447" t="s">
        <v>48</v>
      </c>
      <c r="G1458" s="447"/>
      <c r="H1458" s="66">
        <f>H1456*9%</f>
        <v>1039.5</v>
      </c>
    </row>
    <row r="1459" spans="1:8" ht="15.6" x14ac:dyDescent="0.3">
      <c r="A1459" s="64" t="s">
        <v>49</v>
      </c>
      <c r="B1459" s="28"/>
      <c r="C1459" s="24"/>
      <c r="D1459" s="25"/>
      <c r="E1459" s="25"/>
      <c r="F1459" s="447" t="s">
        <v>50</v>
      </c>
      <c r="G1459" s="447"/>
      <c r="H1459" s="66">
        <f>H1456+H1457+H1458</f>
        <v>13629</v>
      </c>
    </row>
    <row r="1460" spans="1:8" ht="26.4" x14ac:dyDescent="0.3">
      <c r="A1460" s="160" t="s">
        <v>22</v>
      </c>
      <c r="B1460" s="71" t="s">
        <v>51</v>
      </c>
      <c r="C1460" s="161" t="s">
        <v>24</v>
      </c>
      <c r="D1460" s="161" t="s">
        <v>25</v>
      </c>
      <c r="E1460" s="528" t="s">
        <v>52</v>
      </c>
      <c r="F1460" s="528"/>
      <c r="G1460" s="162"/>
      <c r="H1460" s="154"/>
    </row>
    <row r="1461" spans="1:8" x14ac:dyDescent="0.3">
      <c r="A1461" s="72">
        <v>0.18</v>
      </c>
      <c r="B1461" s="73">
        <f>H1456</f>
        <v>11550</v>
      </c>
      <c r="C1461" s="74">
        <f>H1457</f>
        <v>1039.5</v>
      </c>
      <c r="D1461" s="74">
        <f>H1457</f>
        <v>1039.5</v>
      </c>
      <c r="E1461" s="507">
        <f>C1461+D1461</f>
        <v>2079</v>
      </c>
      <c r="F1461" s="507"/>
      <c r="G1461" s="74"/>
      <c r="H1461" s="75"/>
    </row>
    <row r="1462" spans="1:8" x14ac:dyDescent="0.3">
      <c r="A1462" s="508" t="s">
        <v>337</v>
      </c>
      <c r="B1462" s="509"/>
      <c r="C1462" s="509"/>
      <c r="D1462" s="509"/>
      <c r="E1462" s="453"/>
      <c r="F1462" s="453"/>
      <c r="G1462" s="453"/>
      <c r="H1462" s="454"/>
    </row>
    <row r="1463" spans="1:8" ht="15.6" x14ac:dyDescent="0.3">
      <c r="A1463" s="455" t="s">
        <v>53</v>
      </c>
      <c r="B1463" s="456"/>
      <c r="C1463" s="456"/>
      <c r="D1463" s="457"/>
      <c r="E1463" s="458" t="s">
        <v>54</v>
      </c>
      <c r="F1463" s="459"/>
      <c r="G1463" s="459"/>
      <c r="H1463" s="460"/>
    </row>
    <row r="1464" spans="1:8" x14ac:dyDescent="0.3">
      <c r="A1464" s="461" t="s">
        <v>55</v>
      </c>
      <c r="B1464" s="462"/>
      <c r="C1464" s="462"/>
      <c r="D1464" s="463"/>
      <c r="E1464" s="39"/>
      <c r="F1464" s="25"/>
      <c r="G1464" s="28"/>
      <c r="H1464" s="32"/>
    </row>
    <row r="1465" spans="1:8" x14ac:dyDescent="0.3">
      <c r="A1465" s="461" t="s">
        <v>56</v>
      </c>
      <c r="B1465" s="462"/>
      <c r="C1465" s="462"/>
      <c r="D1465" s="463"/>
      <c r="E1465" s="39"/>
      <c r="F1465" s="25"/>
      <c r="G1465" s="28"/>
      <c r="H1465" s="32"/>
    </row>
    <row r="1466" spans="1:8" x14ac:dyDescent="0.3">
      <c r="A1466" s="461" t="s">
        <v>57</v>
      </c>
      <c r="B1466" s="462"/>
      <c r="C1466" s="462"/>
      <c r="D1466" s="463"/>
      <c r="E1466" s="25"/>
      <c r="F1466" s="25"/>
      <c r="G1466" s="28"/>
      <c r="H1466" s="32"/>
    </row>
    <row r="1467" spans="1:8" ht="15.6" x14ac:dyDescent="0.3">
      <c r="A1467" s="464" t="s">
        <v>58</v>
      </c>
      <c r="B1467" s="465"/>
      <c r="C1467" s="465"/>
      <c r="D1467" s="510"/>
      <c r="E1467" s="466" t="s">
        <v>59</v>
      </c>
      <c r="F1467" s="467"/>
      <c r="G1467" s="467"/>
      <c r="H1467" s="468"/>
    </row>
    <row r="1470" spans="1:8" ht="44.4" x14ac:dyDescent="0.7">
      <c r="A1470" s="469" t="s">
        <v>0</v>
      </c>
      <c r="B1470" s="470"/>
      <c r="C1470" s="470"/>
      <c r="D1470" s="470"/>
      <c r="E1470" s="471" t="s">
        <v>1</v>
      </c>
      <c r="F1470" s="472"/>
      <c r="G1470" s="472"/>
      <c r="H1470" s="473"/>
    </row>
    <row r="1471" spans="1:8" ht="20.399999999999999" x14ac:dyDescent="0.35">
      <c r="A1471" s="156"/>
      <c r="B1471" s="476" t="s">
        <v>2</v>
      </c>
      <c r="C1471" s="476"/>
      <c r="D1471" s="476"/>
      <c r="E1471" s="474"/>
      <c r="F1471" s="474"/>
      <c r="G1471" s="474"/>
      <c r="H1471" s="475"/>
    </row>
    <row r="1472" spans="1:8" x14ac:dyDescent="0.3">
      <c r="A1472" s="157" t="s">
        <v>3</v>
      </c>
      <c r="B1472" s="137"/>
      <c r="C1472" s="136"/>
      <c r="D1472" s="499" t="s">
        <v>4</v>
      </c>
      <c r="E1472" s="499"/>
      <c r="F1472" s="137"/>
      <c r="G1472" s="137" t="s">
        <v>134</v>
      </c>
      <c r="H1472" s="120"/>
    </row>
    <row r="1473" spans="1:8" ht="15.6" x14ac:dyDescent="0.3">
      <c r="A1473" s="158" t="s">
        <v>6</v>
      </c>
      <c r="B1473" s="5"/>
      <c r="C1473" s="481" t="s">
        <v>7</v>
      </c>
      <c r="D1473" s="481"/>
      <c r="E1473" s="482">
        <v>33</v>
      </c>
      <c r="F1473" s="482"/>
      <c r="G1473" s="7" t="s">
        <v>8</v>
      </c>
      <c r="H1473" s="8" t="s">
        <v>362</v>
      </c>
    </row>
    <row r="1474" spans="1:8" ht="15.6" x14ac:dyDescent="0.3">
      <c r="A1474" s="551" t="s">
        <v>363</v>
      </c>
      <c r="B1474" s="552"/>
      <c r="C1474" s="481" t="s">
        <v>10</v>
      </c>
      <c r="D1474" s="481"/>
      <c r="E1474" s="482"/>
      <c r="F1474" s="482"/>
      <c r="G1474" s="7" t="s">
        <v>8</v>
      </c>
      <c r="H1474" s="9"/>
    </row>
    <row r="1475" spans="1:8" ht="18.75" customHeight="1" x14ac:dyDescent="0.3">
      <c r="A1475" s="517" t="s">
        <v>365</v>
      </c>
      <c r="B1475" s="553"/>
      <c r="C1475" s="483" t="s">
        <v>12</v>
      </c>
      <c r="D1475" s="484"/>
      <c r="E1475" s="584"/>
      <c r="F1475" s="585"/>
      <c r="G1475" s="10" t="s">
        <v>8</v>
      </c>
      <c r="H1475" s="82"/>
    </row>
    <row r="1476" spans="1:8" ht="16.5" customHeight="1" x14ac:dyDescent="0.3">
      <c r="A1476" s="108" t="s">
        <v>366</v>
      </c>
      <c r="B1476" s="228"/>
      <c r="C1476" s="481" t="s">
        <v>15</v>
      </c>
      <c r="D1476" s="481"/>
      <c r="E1476" s="502" t="s">
        <v>367</v>
      </c>
      <c r="F1476" s="503"/>
      <c r="G1476" s="503"/>
      <c r="H1476" s="504"/>
    </row>
    <row r="1477" spans="1:8" ht="15.6" x14ac:dyDescent="0.3">
      <c r="A1477" s="558" t="s">
        <v>364</v>
      </c>
      <c r="B1477" s="559"/>
      <c r="C1477" s="489"/>
      <c r="D1477" s="490"/>
      <c r="E1477" s="490"/>
      <c r="F1477" s="490"/>
      <c r="G1477" s="490"/>
      <c r="H1477" s="491"/>
    </row>
    <row r="1478" spans="1:8" ht="15" x14ac:dyDescent="0.3">
      <c r="A1478" s="492" t="s">
        <v>17</v>
      </c>
      <c r="B1478" s="494" t="s">
        <v>18</v>
      </c>
      <c r="C1478" s="494" t="s">
        <v>19</v>
      </c>
      <c r="D1478" s="494" t="s">
        <v>20</v>
      </c>
      <c r="E1478" s="494" t="s">
        <v>21</v>
      </c>
      <c r="F1478" s="494" t="s">
        <v>22</v>
      </c>
      <c r="G1478" s="494"/>
      <c r="H1478" s="493" t="s">
        <v>23</v>
      </c>
    </row>
    <row r="1479" spans="1:8" ht="27.6" x14ac:dyDescent="0.3">
      <c r="A1479" s="492"/>
      <c r="B1479" s="494"/>
      <c r="C1479" s="494"/>
      <c r="D1479" s="494"/>
      <c r="E1479" s="494"/>
      <c r="F1479" s="53" t="s">
        <v>24</v>
      </c>
      <c r="G1479" s="53" t="s">
        <v>25</v>
      </c>
      <c r="H1479" s="527"/>
    </row>
    <row r="1480" spans="1:8" x14ac:dyDescent="0.3">
      <c r="A1480" s="55">
        <v>1</v>
      </c>
      <c r="B1480" s="130" t="s">
        <v>368</v>
      </c>
      <c r="C1480" s="55">
        <v>2</v>
      </c>
      <c r="D1480" s="86">
        <v>85363000</v>
      </c>
      <c r="E1480" s="55">
        <v>4250</v>
      </c>
      <c r="F1480" s="93">
        <f>E1480*C1480*9%</f>
        <v>765</v>
      </c>
      <c r="G1480" s="93">
        <f>F1480</f>
        <v>765</v>
      </c>
      <c r="H1480" s="62">
        <f>G1480+F1480+E1480*C1480</f>
        <v>10030</v>
      </c>
    </row>
    <row r="1481" spans="1:8" x14ac:dyDescent="0.3">
      <c r="A1481" s="57"/>
      <c r="B1481" s="60"/>
      <c r="C1481" s="57"/>
      <c r="D1481" s="83"/>
      <c r="E1481" s="57"/>
      <c r="F1481" s="93"/>
      <c r="G1481" s="93"/>
      <c r="H1481" s="62"/>
    </row>
    <row r="1482" spans="1:8" x14ac:dyDescent="0.3">
      <c r="A1482" s="57"/>
      <c r="B1482" s="60"/>
      <c r="C1482" s="57"/>
      <c r="D1482" s="83"/>
      <c r="E1482" s="57"/>
      <c r="F1482" s="93"/>
      <c r="G1482" s="93"/>
      <c r="H1482" s="62"/>
    </row>
    <row r="1483" spans="1:8" x14ac:dyDescent="0.3">
      <c r="A1483" s="57"/>
      <c r="B1483" s="60"/>
      <c r="C1483" s="57"/>
      <c r="D1483" s="83"/>
      <c r="E1483" s="57"/>
      <c r="F1483" s="58"/>
      <c r="G1483" s="58"/>
      <c r="H1483" s="59"/>
    </row>
    <row r="1484" spans="1:8" x14ac:dyDescent="0.3">
      <c r="A1484" s="27"/>
      <c r="B1484" s="88"/>
      <c r="C1484" s="24"/>
      <c r="D1484" s="89"/>
      <c r="E1484" s="24"/>
      <c r="F1484" s="133"/>
      <c r="G1484" s="133"/>
      <c r="H1484" s="134"/>
    </row>
    <row r="1485" spans="1:8" x14ac:dyDescent="0.3">
      <c r="A1485" s="27"/>
      <c r="B1485" s="88"/>
      <c r="C1485" s="24"/>
      <c r="D1485" s="89"/>
      <c r="E1485" s="24"/>
      <c r="F1485" s="133"/>
      <c r="G1485" s="133"/>
      <c r="H1485" s="134"/>
    </row>
    <row r="1486" spans="1:8" x14ac:dyDescent="0.3">
      <c r="A1486" s="27"/>
      <c r="B1486" s="88"/>
      <c r="C1486" s="24"/>
      <c r="D1486" s="89"/>
      <c r="E1486" s="24"/>
      <c r="F1486" s="133"/>
      <c r="G1486" s="133"/>
      <c r="H1486" s="134"/>
    </row>
    <row r="1487" spans="1:8" x14ac:dyDescent="0.3">
      <c r="A1487" s="27"/>
      <c r="B1487" s="88"/>
      <c r="C1487" s="24"/>
      <c r="D1487" s="89"/>
      <c r="E1487" s="24"/>
      <c r="F1487" s="133"/>
      <c r="G1487" s="133"/>
      <c r="H1487" s="134"/>
    </row>
    <row r="1488" spans="1:8" x14ac:dyDescent="0.3">
      <c r="A1488" s="27"/>
      <c r="B1488" s="88"/>
      <c r="C1488" s="24"/>
      <c r="D1488" s="89"/>
      <c r="E1488" s="24"/>
      <c r="F1488" s="133"/>
      <c r="G1488" s="133"/>
      <c r="H1488" s="134"/>
    </row>
    <row r="1489" spans="1:8" x14ac:dyDescent="0.3">
      <c r="A1489" s="27"/>
      <c r="B1489" s="88"/>
      <c r="C1489" s="24"/>
      <c r="D1489" s="89"/>
      <c r="E1489" s="24"/>
      <c r="F1489" s="133"/>
      <c r="G1489" s="133"/>
      <c r="H1489" s="134"/>
    </row>
    <row r="1490" spans="1:8" x14ac:dyDescent="0.3">
      <c r="A1490" s="27"/>
      <c r="B1490" s="88"/>
      <c r="C1490" s="24"/>
      <c r="D1490" s="89"/>
      <c r="E1490" s="24"/>
      <c r="F1490" s="133"/>
      <c r="G1490" s="133"/>
      <c r="H1490" s="134"/>
    </row>
    <row r="1491" spans="1:8" x14ac:dyDescent="0.3">
      <c r="A1491" s="27"/>
      <c r="B1491" s="28"/>
      <c r="C1491" s="24"/>
      <c r="D1491" s="89"/>
      <c r="E1491" s="25"/>
      <c r="F1491" s="25"/>
      <c r="G1491" s="25"/>
      <c r="H1491" s="32"/>
    </row>
    <row r="1492" spans="1:8" x14ac:dyDescent="0.3">
      <c r="A1492" s="27"/>
      <c r="B1492" s="28"/>
      <c r="C1492" s="24"/>
      <c r="D1492" s="89"/>
      <c r="E1492" s="25"/>
      <c r="F1492" s="25"/>
      <c r="G1492" s="25"/>
      <c r="H1492" s="32"/>
    </row>
    <row r="1493" spans="1:8" x14ac:dyDescent="0.3">
      <c r="A1493" s="27"/>
      <c r="B1493" s="28"/>
      <c r="C1493" s="24"/>
      <c r="D1493" s="89"/>
      <c r="E1493" s="25"/>
      <c r="F1493" s="25"/>
      <c r="G1493" s="25"/>
      <c r="H1493" s="32"/>
    </row>
    <row r="1494" spans="1:8" x14ac:dyDescent="0.3">
      <c r="A1494" s="27"/>
      <c r="B1494" s="28"/>
      <c r="C1494" s="24"/>
      <c r="D1494" s="89"/>
      <c r="E1494" s="25"/>
      <c r="F1494" s="25"/>
      <c r="G1494" s="25"/>
      <c r="H1494" s="32"/>
    </row>
    <row r="1495" spans="1:8" x14ac:dyDescent="0.3">
      <c r="A1495" s="27"/>
      <c r="B1495" s="28"/>
      <c r="C1495" s="24"/>
      <c r="D1495" s="89"/>
      <c r="E1495" s="25"/>
      <c r="F1495" s="25"/>
      <c r="G1495" s="25"/>
      <c r="H1495" s="32"/>
    </row>
    <row r="1496" spans="1:8" x14ac:dyDescent="0.3">
      <c r="A1496" s="27"/>
      <c r="B1496" s="28"/>
      <c r="C1496" s="24"/>
      <c r="D1496" s="89"/>
      <c r="E1496" s="25"/>
      <c r="F1496" s="25"/>
      <c r="G1496" s="25"/>
      <c r="H1496" s="32"/>
    </row>
    <row r="1497" spans="1:8" x14ac:dyDescent="0.3">
      <c r="A1497" s="27"/>
      <c r="B1497" s="28"/>
      <c r="C1497" s="24"/>
      <c r="D1497" s="89"/>
      <c r="E1497" s="25"/>
      <c r="F1497" s="25"/>
      <c r="G1497" s="25"/>
      <c r="H1497" s="32"/>
    </row>
    <row r="1498" spans="1:8" x14ac:dyDescent="0.3">
      <c r="A1498" s="27"/>
      <c r="B1498" s="28"/>
      <c r="C1498" s="24"/>
      <c r="D1498" s="89"/>
      <c r="E1498" s="25"/>
      <c r="F1498" s="25"/>
      <c r="G1498" s="25"/>
      <c r="H1498" s="32"/>
    </row>
    <row r="1499" spans="1:8" x14ac:dyDescent="0.3">
      <c r="A1499" s="159"/>
      <c r="B1499" s="28"/>
      <c r="C1499" s="24"/>
      <c r="D1499" s="25"/>
      <c r="E1499" s="25"/>
      <c r="F1499" s="28"/>
      <c r="G1499" s="28"/>
      <c r="H1499" s="32"/>
    </row>
    <row r="1500" spans="1:8" x14ac:dyDescent="0.3">
      <c r="A1500" s="159"/>
      <c r="B1500" s="28"/>
      <c r="C1500" s="24"/>
      <c r="D1500" s="25"/>
      <c r="E1500" s="25"/>
      <c r="F1500" s="28"/>
      <c r="G1500" s="28"/>
      <c r="H1500" s="32"/>
    </row>
    <row r="1501" spans="1:8" x14ac:dyDescent="0.3">
      <c r="A1501" s="159"/>
      <c r="B1501" s="28"/>
      <c r="C1501" s="24"/>
      <c r="D1501" s="25"/>
      <c r="E1501" s="25"/>
      <c r="F1501" s="28"/>
      <c r="G1501" s="28"/>
      <c r="H1501" s="32"/>
    </row>
    <row r="1502" spans="1:8" ht="15.6" x14ac:dyDescent="0.3">
      <c r="A1502" s="64" t="s">
        <v>45</v>
      </c>
      <c r="B1502" s="28"/>
      <c r="C1502" s="24"/>
      <c r="D1502" s="25"/>
      <c r="E1502" s="25"/>
      <c r="F1502" s="447" t="s">
        <v>46</v>
      </c>
      <c r="G1502" s="447"/>
      <c r="H1502" s="66">
        <v>8500</v>
      </c>
    </row>
    <row r="1503" spans="1:8" ht="15.6" x14ac:dyDescent="0.3">
      <c r="A1503" s="497" t="s">
        <v>369</v>
      </c>
      <c r="B1503" s="498"/>
      <c r="C1503" s="498"/>
      <c r="D1503" s="498"/>
      <c r="E1503" s="498"/>
      <c r="F1503" s="447" t="s">
        <v>47</v>
      </c>
      <c r="G1503" s="447"/>
      <c r="H1503" s="66">
        <f>H1502*9%</f>
        <v>765</v>
      </c>
    </row>
    <row r="1504" spans="1:8" ht="15.6" x14ac:dyDescent="0.3">
      <c r="A1504" s="159"/>
      <c r="B1504" s="28"/>
      <c r="C1504" s="24"/>
      <c r="D1504" s="25"/>
      <c r="E1504" s="25"/>
      <c r="F1504" s="447" t="s">
        <v>48</v>
      </c>
      <c r="G1504" s="447"/>
      <c r="H1504" s="66">
        <f>H1502*9%</f>
        <v>765</v>
      </c>
    </row>
    <row r="1505" spans="1:8" ht="15.6" x14ac:dyDescent="0.3">
      <c r="A1505" s="64" t="s">
        <v>49</v>
      </c>
      <c r="B1505" s="28"/>
      <c r="C1505" s="24"/>
      <c r="D1505" s="25"/>
      <c r="E1505" s="25"/>
      <c r="F1505" s="447" t="s">
        <v>50</v>
      </c>
      <c r="G1505" s="447"/>
      <c r="H1505" s="66">
        <f>H1502+H1503+H1504</f>
        <v>10030</v>
      </c>
    </row>
    <row r="1506" spans="1:8" ht="26.4" x14ac:dyDescent="0.3">
      <c r="A1506" s="160" t="s">
        <v>22</v>
      </c>
      <c r="B1506" s="71" t="s">
        <v>51</v>
      </c>
      <c r="C1506" s="161" t="s">
        <v>24</v>
      </c>
      <c r="D1506" s="161" t="s">
        <v>25</v>
      </c>
      <c r="E1506" s="528" t="s">
        <v>52</v>
      </c>
      <c r="F1506" s="528"/>
      <c r="G1506" s="162"/>
      <c r="H1506" s="154"/>
    </row>
    <row r="1507" spans="1:8" x14ac:dyDescent="0.3">
      <c r="A1507" s="72">
        <v>0.18</v>
      </c>
      <c r="B1507" s="73">
        <f>H1502</f>
        <v>8500</v>
      </c>
      <c r="C1507" s="74">
        <f>H1503</f>
        <v>765</v>
      </c>
      <c r="D1507" s="74">
        <f>H1503</f>
        <v>765</v>
      </c>
      <c r="E1507" s="507">
        <f>C1507+D1507</f>
        <v>1530</v>
      </c>
      <c r="F1507" s="507"/>
      <c r="G1507" s="74"/>
      <c r="H1507" s="75"/>
    </row>
    <row r="1508" spans="1:8" x14ac:dyDescent="0.3">
      <c r="A1508" s="508" t="s">
        <v>370</v>
      </c>
      <c r="B1508" s="509"/>
      <c r="C1508" s="509"/>
      <c r="D1508" s="509"/>
      <c r="E1508" s="453"/>
      <c r="F1508" s="453"/>
      <c r="G1508" s="453"/>
      <c r="H1508" s="454"/>
    </row>
    <row r="1509" spans="1:8" ht="15.6" x14ac:dyDescent="0.3">
      <c r="A1509" s="455" t="s">
        <v>53</v>
      </c>
      <c r="B1509" s="456"/>
      <c r="C1509" s="456"/>
      <c r="D1509" s="457"/>
      <c r="E1509" s="458" t="s">
        <v>54</v>
      </c>
      <c r="F1509" s="459"/>
      <c r="G1509" s="459"/>
      <c r="H1509" s="460"/>
    </row>
    <row r="1510" spans="1:8" x14ac:dyDescent="0.3">
      <c r="A1510" s="461" t="s">
        <v>55</v>
      </c>
      <c r="B1510" s="462"/>
      <c r="C1510" s="462"/>
      <c r="D1510" s="463"/>
      <c r="E1510" s="39"/>
      <c r="F1510" s="25"/>
      <c r="G1510" s="28"/>
      <c r="H1510" s="32"/>
    </row>
    <row r="1511" spans="1:8" x14ac:dyDescent="0.3">
      <c r="A1511" s="461" t="s">
        <v>56</v>
      </c>
      <c r="B1511" s="462"/>
      <c r="C1511" s="462"/>
      <c r="D1511" s="463"/>
      <c r="E1511" s="39"/>
      <c r="F1511" s="25"/>
      <c r="G1511" s="28"/>
      <c r="H1511" s="32"/>
    </row>
    <row r="1512" spans="1:8" x14ac:dyDescent="0.3">
      <c r="A1512" s="461" t="s">
        <v>57</v>
      </c>
      <c r="B1512" s="462"/>
      <c r="C1512" s="462"/>
      <c r="D1512" s="463"/>
      <c r="E1512" s="25"/>
      <c r="F1512" s="25"/>
      <c r="G1512" s="28"/>
      <c r="H1512" s="32"/>
    </row>
    <row r="1513" spans="1:8" ht="15.6" x14ac:dyDescent="0.3">
      <c r="A1513" s="464" t="s">
        <v>58</v>
      </c>
      <c r="B1513" s="465"/>
      <c r="C1513" s="465"/>
      <c r="D1513" s="510"/>
      <c r="E1513" s="466" t="s">
        <v>59</v>
      </c>
      <c r="F1513" s="467"/>
      <c r="G1513" s="467"/>
      <c r="H1513" s="468"/>
    </row>
    <row r="1517" spans="1:8" ht="44.4" x14ac:dyDescent="0.7">
      <c r="A1517" s="469" t="s">
        <v>0</v>
      </c>
      <c r="B1517" s="470"/>
      <c r="C1517" s="470"/>
      <c r="D1517" s="470"/>
      <c r="E1517" s="471" t="s">
        <v>1</v>
      </c>
      <c r="F1517" s="472"/>
      <c r="G1517" s="472"/>
      <c r="H1517" s="473"/>
    </row>
    <row r="1518" spans="1:8" ht="20.399999999999999" x14ac:dyDescent="0.35">
      <c r="A1518" s="1"/>
      <c r="B1518" s="535" t="s">
        <v>2</v>
      </c>
      <c r="C1518" s="535"/>
      <c r="D1518" s="535"/>
      <c r="E1518" s="474"/>
      <c r="F1518" s="474"/>
      <c r="G1518" s="474"/>
      <c r="H1518" s="475"/>
    </row>
    <row r="1519" spans="1:8" x14ac:dyDescent="0.3">
      <c r="A1519" s="477" t="s">
        <v>3</v>
      </c>
      <c r="B1519" s="478"/>
      <c r="C1519" s="136"/>
      <c r="D1519" s="499" t="s">
        <v>4</v>
      </c>
      <c r="E1519" s="499"/>
      <c r="F1519" s="137"/>
      <c r="G1519" s="137" t="s">
        <v>134</v>
      </c>
      <c r="H1519" s="120"/>
    </row>
    <row r="1520" spans="1:8" ht="15.6" x14ac:dyDescent="0.3">
      <c r="A1520" s="138" t="s">
        <v>6</v>
      </c>
      <c r="B1520" s="5"/>
      <c r="C1520" s="536" t="s">
        <v>7</v>
      </c>
      <c r="D1520" s="516"/>
      <c r="E1520" s="489">
        <v>34</v>
      </c>
      <c r="F1520" s="491"/>
      <c r="G1520" s="7" t="s">
        <v>8</v>
      </c>
      <c r="H1520" s="9" t="s">
        <v>372</v>
      </c>
    </row>
    <row r="1521" spans="1:8" ht="16.2" thickBot="1" x14ac:dyDescent="0.35">
      <c r="A1521" s="713" t="s">
        <v>275</v>
      </c>
      <c r="B1521" s="714"/>
      <c r="C1521" s="536" t="s">
        <v>276</v>
      </c>
      <c r="D1521" s="516"/>
      <c r="E1521" s="624">
        <v>4300559880</v>
      </c>
      <c r="F1521" s="625"/>
      <c r="G1521" s="7"/>
      <c r="H1521" s="178"/>
    </row>
    <row r="1522" spans="1:8" ht="15.6" x14ac:dyDescent="0.3">
      <c r="A1522" s="626" t="s">
        <v>277</v>
      </c>
      <c r="B1522" s="627"/>
      <c r="C1522" s="628" t="s">
        <v>265</v>
      </c>
      <c r="D1522" s="484"/>
      <c r="E1522" s="489" t="s">
        <v>266</v>
      </c>
      <c r="F1522" s="491"/>
      <c r="G1522" s="10"/>
      <c r="H1522" s="82"/>
    </row>
    <row r="1523" spans="1:8" ht="15.6" x14ac:dyDescent="0.3">
      <c r="A1523" s="629" t="s">
        <v>278</v>
      </c>
      <c r="B1523" s="630"/>
      <c r="C1523" s="536" t="s">
        <v>15</v>
      </c>
      <c r="D1523" s="516"/>
      <c r="E1523" s="631" t="s">
        <v>279</v>
      </c>
      <c r="F1523" s="632"/>
      <c r="G1523" s="633"/>
      <c r="H1523" s="126"/>
    </row>
    <row r="1524" spans="1:8" ht="15.6" x14ac:dyDescent="0.3">
      <c r="A1524" s="558"/>
      <c r="B1524" s="559"/>
      <c r="C1524" s="489"/>
      <c r="D1524" s="490"/>
      <c r="E1524" s="490"/>
      <c r="F1524" s="490"/>
      <c r="G1524" s="490"/>
      <c r="H1524" s="491"/>
    </row>
    <row r="1525" spans="1:8" ht="15" x14ac:dyDescent="0.3">
      <c r="A1525" s="493" t="s">
        <v>17</v>
      </c>
      <c r="B1525" s="495" t="s">
        <v>18</v>
      </c>
      <c r="C1525" s="495" t="s">
        <v>19</v>
      </c>
      <c r="D1525" s="495" t="s">
        <v>20</v>
      </c>
      <c r="E1525" s="495" t="s">
        <v>21</v>
      </c>
      <c r="F1525" s="541" t="s">
        <v>22</v>
      </c>
      <c r="G1525" s="542"/>
      <c r="H1525" s="493" t="s">
        <v>23</v>
      </c>
    </row>
    <row r="1526" spans="1:8" ht="27.6" x14ac:dyDescent="0.3">
      <c r="A1526" s="527"/>
      <c r="B1526" s="505"/>
      <c r="C1526" s="505"/>
      <c r="D1526" s="505"/>
      <c r="E1526" s="505"/>
      <c r="F1526" s="53" t="s">
        <v>24</v>
      </c>
      <c r="G1526" s="53" t="s">
        <v>25</v>
      </c>
      <c r="H1526" s="527"/>
    </row>
    <row r="1527" spans="1:8" x14ac:dyDescent="0.3">
      <c r="A1527" s="15">
        <v>1</v>
      </c>
      <c r="B1527" s="190" t="s">
        <v>280</v>
      </c>
      <c r="C1527" s="191">
        <v>1</v>
      </c>
      <c r="D1527" s="192">
        <v>998715</v>
      </c>
      <c r="E1527" s="192">
        <v>9650</v>
      </c>
      <c r="F1527" s="193">
        <f>E1527*C1527*9%</f>
        <v>868.5</v>
      </c>
      <c r="G1527" s="58">
        <f>F1527</f>
        <v>868.5</v>
      </c>
      <c r="H1527" s="59">
        <f>G1527+F1527+E1527</f>
        <v>11387</v>
      </c>
    </row>
    <row r="1528" spans="1:8" x14ac:dyDescent="0.3">
      <c r="A1528" s="20"/>
      <c r="B1528" s="60"/>
      <c r="C1528" s="55"/>
      <c r="D1528" s="55"/>
      <c r="E1528" s="55"/>
      <c r="F1528" s="93"/>
      <c r="G1528" s="93"/>
      <c r="H1528" s="62"/>
    </row>
    <row r="1529" spans="1:8" x14ac:dyDescent="0.3">
      <c r="A1529" s="20"/>
      <c r="B1529" s="60"/>
      <c r="C1529" s="55"/>
      <c r="D1529" s="55"/>
      <c r="E1529" s="55"/>
      <c r="F1529" s="93"/>
      <c r="G1529" s="93"/>
      <c r="H1529" s="62"/>
    </row>
    <row r="1530" spans="1:8" x14ac:dyDescent="0.3">
      <c r="A1530" s="20"/>
      <c r="B1530" s="63"/>
      <c r="C1530" s="129"/>
      <c r="D1530" s="55"/>
      <c r="E1530" s="55"/>
      <c r="F1530" s="93"/>
      <c r="G1530" s="93"/>
      <c r="H1530" s="62"/>
    </row>
    <row r="1531" spans="1:8" x14ac:dyDescent="0.3">
      <c r="A1531" s="20"/>
      <c r="B1531" s="63"/>
      <c r="C1531" s="129"/>
      <c r="D1531" s="55"/>
      <c r="E1531" s="55"/>
      <c r="F1531" s="93"/>
      <c r="G1531" s="93"/>
      <c r="H1531" s="62"/>
    </row>
    <row r="1532" spans="1:8" x14ac:dyDescent="0.3">
      <c r="A1532" s="20"/>
      <c r="B1532" s="130"/>
      <c r="C1532" s="129"/>
      <c r="D1532" s="55"/>
      <c r="E1532" s="55"/>
      <c r="F1532" s="93"/>
      <c r="G1532" s="93"/>
      <c r="H1532" s="62"/>
    </row>
    <row r="1533" spans="1:8" x14ac:dyDescent="0.3">
      <c r="A1533" s="20"/>
      <c r="B1533" s="63"/>
      <c r="C1533" s="129"/>
      <c r="D1533" s="55"/>
      <c r="E1533" s="55"/>
      <c r="F1533" s="93"/>
      <c r="G1533" s="93"/>
      <c r="H1533" s="62"/>
    </row>
    <row r="1534" spans="1:8" x14ac:dyDescent="0.3">
      <c r="A1534" s="20"/>
      <c r="B1534" s="63"/>
      <c r="C1534" s="55"/>
      <c r="D1534" s="55"/>
      <c r="E1534" s="55"/>
      <c r="F1534" s="93"/>
      <c r="G1534" s="93"/>
      <c r="H1534" s="62"/>
    </row>
    <row r="1535" spans="1:8" x14ac:dyDescent="0.3">
      <c r="A1535" s="27"/>
      <c r="B1535" s="28"/>
      <c r="C1535" s="24"/>
      <c r="D1535" s="25"/>
      <c r="E1535" s="25"/>
      <c r="F1535" s="28"/>
      <c r="G1535" s="28"/>
      <c r="H1535" s="32"/>
    </row>
    <row r="1536" spans="1:8" x14ac:dyDescent="0.3">
      <c r="A1536" s="618" t="s">
        <v>267</v>
      </c>
      <c r="B1536" s="619"/>
      <c r="C1536" s="618" t="s">
        <v>268</v>
      </c>
      <c r="D1536" s="620"/>
      <c r="E1536" s="619"/>
      <c r="F1536" s="28"/>
      <c r="G1536" s="28"/>
      <c r="H1536" s="32"/>
    </row>
    <row r="1537" spans="1:8" x14ac:dyDescent="0.3">
      <c r="A1537" s="618" t="s">
        <v>269</v>
      </c>
      <c r="B1537" s="619"/>
      <c r="C1537" s="621">
        <v>10142001000604</v>
      </c>
      <c r="D1537" s="622"/>
      <c r="E1537" s="623"/>
      <c r="F1537" s="28"/>
      <c r="G1537" s="28"/>
      <c r="H1537" s="32"/>
    </row>
    <row r="1538" spans="1:8" x14ac:dyDescent="0.3">
      <c r="A1538" s="618" t="s">
        <v>270</v>
      </c>
      <c r="B1538" s="619"/>
      <c r="C1538" s="618" t="s">
        <v>271</v>
      </c>
      <c r="D1538" s="620"/>
      <c r="E1538" s="619"/>
      <c r="F1538" s="28"/>
      <c r="G1538" s="28"/>
      <c r="H1538" s="32"/>
    </row>
    <row r="1539" spans="1:8" x14ac:dyDescent="0.3">
      <c r="A1539" s="618" t="s">
        <v>272</v>
      </c>
      <c r="B1539" s="619"/>
      <c r="C1539" s="618" t="s">
        <v>273</v>
      </c>
      <c r="D1539" s="620"/>
      <c r="E1539" s="619"/>
      <c r="F1539" s="28"/>
      <c r="G1539" s="28"/>
      <c r="H1539" s="32"/>
    </row>
    <row r="1540" spans="1:8" x14ac:dyDescent="0.3">
      <c r="A1540" s="27"/>
      <c r="B1540" s="28"/>
      <c r="C1540" s="24"/>
      <c r="D1540" s="25"/>
      <c r="E1540" s="25"/>
      <c r="F1540" s="28"/>
      <c r="G1540" s="28"/>
      <c r="H1540" s="32"/>
    </row>
    <row r="1541" spans="1:8" x14ac:dyDescent="0.3">
      <c r="A1541" s="27"/>
      <c r="B1541" s="28"/>
      <c r="C1541" s="24"/>
      <c r="D1541" s="25"/>
      <c r="E1541" s="25"/>
      <c r="F1541" s="28"/>
      <c r="G1541" s="28"/>
      <c r="H1541" s="32"/>
    </row>
    <row r="1542" spans="1:8" x14ac:dyDescent="0.3">
      <c r="A1542" s="27"/>
      <c r="B1542" s="28"/>
      <c r="C1542" s="24"/>
      <c r="D1542" s="25"/>
      <c r="E1542" s="25"/>
      <c r="F1542" s="28"/>
      <c r="G1542" s="28"/>
      <c r="H1542" s="32"/>
    </row>
    <row r="1543" spans="1:8" ht="15.6" x14ac:dyDescent="0.3">
      <c r="A1543" s="448" t="s">
        <v>45</v>
      </c>
      <c r="B1543" s="449"/>
      <c r="C1543" s="24"/>
      <c r="D1543" s="25"/>
      <c r="E1543" s="25"/>
      <c r="F1543" s="447" t="s">
        <v>46</v>
      </c>
      <c r="G1543" s="447"/>
      <c r="H1543" s="66">
        <v>9650</v>
      </c>
    </row>
    <row r="1544" spans="1:8" ht="15.6" x14ac:dyDescent="0.3">
      <c r="A1544" s="497" t="s">
        <v>281</v>
      </c>
      <c r="B1544" s="498"/>
      <c r="C1544" s="498"/>
      <c r="D1544" s="498"/>
      <c r="E1544" s="498"/>
      <c r="F1544" s="447" t="s">
        <v>47</v>
      </c>
      <c r="G1544" s="447"/>
      <c r="H1544" s="66">
        <v>869</v>
      </c>
    </row>
    <row r="1545" spans="1:8" ht="15.6" x14ac:dyDescent="0.3">
      <c r="A1545" s="27"/>
      <c r="B1545" s="28"/>
      <c r="C1545" s="24"/>
      <c r="D1545" s="25"/>
      <c r="E1545" s="25"/>
      <c r="F1545" s="447" t="s">
        <v>48</v>
      </c>
      <c r="G1545" s="447"/>
      <c r="H1545" s="66">
        <v>869</v>
      </c>
    </row>
    <row r="1546" spans="1:8" ht="15.6" x14ac:dyDescent="0.3">
      <c r="A1546" s="90" t="s">
        <v>49</v>
      </c>
      <c r="B1546" s="28"/>
      <c r="C1546" s="24"/>
      <c r="D1546" s="25"/>
      <c r="E1546" s="25"/>
      <c r="F1546" s="447" t="s">
        <v>50</v>
      </c>
      <c r="G1546" s="447"/>
      <c r="H1546" s="66">
        <v>11387</v>
      </c>
    </row>
    <row r="1547" spans="1:8" ht="27" x14ac:dyDescent="0.3">
      <c r="A1547" s="68" t="s">
        <v>22</v>
      </c>
      <c r="B1547" s="30" t="s">
        <v>51</v>
      </c>
      <c r="C1547" s="70" t="s">
        <v>24</v>
      </c>
      <c r="D1547" s="31" t="s">
        <v>25</v>
      </c>
      <c r="E1547" s="543" t="s">
        <v>52</v>
      </c>
      <c r="F1547" s="543"/>
      <c r="G1547" s="28"/>
      <c r="H1547" s="32"/>
    </row>
    <row r="1548" spans="1:8" x14ac:dyDescent="0.3">
      <c r="A1548" s="72">
        <v>0.18</v>
      </c>
      <c r="B1548" s="73">
        <f>H1543</f>
        <v>9650</v>
      </c>
      <c r="C1548" s="74">
        <f>H1544</f>
        <v>869</v>
      </c>
      <c r="D1548" s="74">
        <f>H1544</f>
        <v>869</v>
      </c>
      <c r="E1548" s="507">
        <f>C1548+D1548</f>
        <v>1738</v>
      </c>
      <c r="F1548" s="507"/>
      <c r="G1548" s="74"/>
      <c r="H1548" s="75"/>
    </row>
    <row r="1549" spans="1:8" x14ac:dyDescent="0.3">
      <c r="A1549" s="508" t="s">
        <v>282</v>
      </c>
      <c r="B1549" s="509"/>
      <c r="C1549" s="509"/>
      <c r="D1549" s="509"/>
      <c r="E1549" s="453"/>
      <c r="F1549" s="453"/>
      <c r="G1549" s="453"/>
      <c r="H1549" s="454"/>
    </row>
    <row r="1550" spans="1:8" ht="15.6" x14ac:dyDescent="0.3">
      <c r="A1550" s="455" t="s">
        <v>53</v>
      </c>
      <c r="B1550" s="456"/>
      <c r="C1550" s="456"/>
      <c r="D1550" s="457"/>
      <c r="E1550" s="458" t="s">
        <v>54</v>
      </c>
      <c r="F1550" s="459"/>
      <c r="G1550" s="459"/>
      <c r="H1550" s="460"/>
    </row>
    <row r="1551" spans="1:8" x14ac:dyDescent="0.3">
      <c r="A1551" s="461" t="s">
        <v>55</v>
      </c>
      <c r="B1551" s="462"/>
      <c r="C1551" s="462"/>
      <c r="D1551" s="463"/>
      <c r="E1551" s="39"/>
      <c r="F1551" s="28"/>
      <c r="G1551" s="28"/>
      <c r="H1551" s="32"/>
    </row>
    <row r="1552" spans="1:8" x14ac:dyDescent="0.3">
      <c r="A1552" s="461" t="s">
        <v>56</v>
      </c>
      <c r="B1552" s="462"/>
      <c r="C1552" s="462"/>
      <c r="D1552" s="463"/>
      <c r="E1552" s="39"/>
      <c r="F1552" s="28"/>
      <c r="G1552" s="28"/>
      <c r="H1552" s="32"/>
    </row>
    <row r="1553" spans="1:8" x14ac:dyDescent="0.3">
      <c r="A1553" s="461" t="s">
        <v>57</v>
      </c>
      <c r="B1553" s="462"/>
      <c r="C1553" s="462"/>
      <c r="D1553" s="463"/>
      <c r="E1553" s="39"/>
      <c r="F1553" s="28"/>
      <c r="G1553" s="28"/>
      <c r="H1553" s="32"/>
    </row>
    <row r="1554" spans="1:8" ht="15.6" x14ac:dyDescent="0.3">
      <c r="A1554" s="464" t="s">
        <v>58</v>
      </c>
      <c r="B1554" s="465"/>
      <c r="C1554" s="465"/>
      <c r="D1554" s="465"/>
      <c r="E1554" s="466" t="s">
        <v>59</v>
      </c>
      <c r="F1554" s="467"/>
      <c r="G1554" s="467"/>
      <c r="H1554" s="468"/>
    </row>
    <row r="1564" spans="1:8" ht="44.4" x14ac:dyDescent="0.7">
      <c r="A1564" s="469" t="s">
        <v>0</v>
      </c>
      <c r="B1564" s="470"/>
      <c r="C1564" s="470"/>
      <c r="D1564" s="470"/>
      <c r="E1564" s="471" t="s">
        <v>1</v>
      </c>
      <c r="F1564" s="472"/>
      <c r="G1564" s="472"/>
      <c r="H1564" s="473"/>
    </row>
    <row r="1565" spans="1:8" ht="20.399999999999999" x14ac:dyDescent="0.35">
      <c r="A1565" s="1"/>
      <c r="B1565" s="535" t="s">
        <v>2</v>
      </c>
      <c r="C1565" s="535"/>
      <c r="D1565" s="535"/>
      <c r="E1565" s="474"/>
      <c r="F1565" s="474"/>
      <c r="G1565" s="474"/>
      <c r="H1565" s="475"/>
    </row>
    <row r="1566" spans="1:8" x14ac:dyDescent="0.3">
      <c r="A1566" s="477" t="s">
        <v>3</v>
      </c>
      <c r="B1566" s="478"/>
      <c r="C1566" s="136"/>
      <c r="D1566" s="499" t="s">
        <v>4</v>
      </c>
      <c r="E1566" s="499"/>
      <c r="F1566" s="137"/>
      <c r="G1566" s="137" t="s">
        <v>134</v>
      </c>
      <c r="H1566" s="120"/>
    </row>
    <row r="1567" spans="1:8" ht="15.6" x14ac:dyDescent="0.3">
      <c r="A1567" s="138" t="s">
        <v>6</v>
      </c>
      <c r="B1567" s="5"/>
      <c r="C1567" s="536" t="s">
        <v>7</v>
      </c>
      <c r="D1567" s="516"/>
      <c r="E1567" s="489">
        <v>35</v>
      </c>
      <c r="F1567" s="491"/>
      <c r="G1567" s="7" t="s">
        <v>8</v>
      </c>
      <c r="H1567" s="9" t="s">
        <v>372</v>
      </c>
    </row>
    <row r="1568" spans="1:8" ht="16.2" thickBot="1" x14ac:dyDescent="0.35">
      <c r="A1568" s="713" t="s">
        <v>275</v>
      </c>
      <c r="B1568" s="714"/>
      <c r="C1568" s="536" t="s">
        <v>276</v>
      </c>
      <c r="D1568" s="516"/>
      <c r="E1568" s="624">
        <v>4300562646</v>
      </c>
      <c r="F1568" s="625"/>
      <c r="G1568" s="7"/>
      <c r="H1568" s="178"/>
    </row>
    <row r="1569" spans="1:8" ht="15.6" x14ac:dyDescent="0.3">
      <c r="A1569" s="626" t="s">
        <v>277</v>
      </c>
      <c r="B1569" s="627"/>
      <c r="C1569" s="628" t="s">
        <v>265</v>
      </c>
      <c r="D1569" s="484"/>
      <c r="E1569" s="489" t="s">
        <v>266</v>
      </c>
      <c r="F1569" s="491"/>
      <c r="G1569" s="10"/>
      <c r="H1569" s="82"/>
    </row>
    <row r="1570" spans="1:8" ht="15.6" x14ac:dyDescent="0.3">
      <c r="A1570" s="629" t="s">
        <v>278</v>
      </c>
      <c r="B1570" s="630"/>
      <c r="C1570" s="536" t="s">
        <v>15</v>
      </c>
      <c r="D1570" s="516"/>
      <c r="E1570" s="631" t="s">
        <v>279</v>
      </c>
      <c r="F1570" s="632"/>
      <c r="G1570" s="633"/>
      <c r="H1570" s="126"/>
    </row>
    <row r="1571" spans="1:8" ht="15.6" x14ac:dyDescent="0.3">
      <c r="A1571" s="558"/>
      <c r="B1571" s="559"/>
      <c r="C1571" s="489"/>
      <c r="D1571" s="490"/>
      <c r="E1571" s="490"/>
      <c r="F1571" s="490"/>
      <c r="G1571" s="490"/>
      <c r="H1571" s="491"/>
    </row>
    <row r="1572" spans="1:8" ht="15" x14ac:dyDescent="0.3">
      <c r="A1572" s="493" t="s">
        <v>17</v>
      </c>
      <c r="B1572" s="495" t="s">
        <v>18</v>
      </c>
      <c r="C1572" s="495" t="s">
        <v>19</v>
      </c>
      <c r="D1572" s="495" t="s">
        <v>20</v>
      </c>
      <c r="E1572" s="495" t="s">
        <v>21</v>
      </c>
      <c r="F1572" s="541" t="s">
        <v>22</v>
      </c>
      <c r="G1572" s="542"/>
      <c r="H1572" s="493" t="s">
        <v>23</v>
      </c>
    </row>
    <row r="1573" spans="1:8" ht="27.6" x14ac:dyDescent="0.3">
      <c r="A1573" s="527"/>
      <c r="B1573" s="505"/>
      <c r="C1573" s="505"/>
      <c r="D1573" s="505"/>
      <c r="E1573" s="505"/>
      <c r="F1573" s="53" t="s">
        <v>24</v>
      </c>
      <c r="G1573" s="53" t="s">
        <v>25</v>
      </c>
      <c r="H1573" s="527"/>
    </row>
    <row r="1574" spans="1:8" x14ac:dyDescent="0.3">
      <c r="A1574" s="15">
        <v>1</v>
      </c>
      <c r="B1574" s="190" t="s">
        <v>373</v>
      </c>
      <c r="C1574" s="191">
        <v>1</v>
      </c>
      <c r="D1574" s="192">
        <v>998715</v>
      </c>
      <c r="E1574" s="192">
        <v>7375</v>
      </c>
      <c r="F1574" s="193">
        <f>E1574*C1574*9%</f>
        <v>663.75</v>
      </c>
      <c r="G1574" s="58">
        <f>F1574</f>
        <v>663.75</v>
      </c>
      <c r="H1574" s="59">
        <f>G1574+F1574+E1574</f>
        <v>8702.5</v>
      </c>
    </row>
    <row r="1575" spans="1:8" x14ac:dyDescent="0.3">
      <c r="A1575" s="20"/>
      <c r="B1575" s="60"/>
      <c r="C1575" s="55"/>
      <c r="D1575" s="55"/>
      <c r="E1575" s="55"/>
      <c r="F1575" s="93"/>
      <c r="G1575" s="93"/>
      <c r="H1575" s="62"/>
    </row>
    <row r="1576" spans="1:8" x14ac:dyDescent="0.3">
      <c r="A1576" s="20"/>
      <c r="B1576" s="60"/>
      <c r="C1576" s="55"/>
      <c r="D1576" s="55"/>
      <c r="E1576" s="55"/>
      <c r="F1576" s="93"/>
      <c r="G1576" s="93"/>
      <c r="H1576" s="62"/>
    </row>
    <row r="1577" spans="1:8" x14ac:dyDescent="0.3">
      <c r="A1577" s="20"/>
      <c r="B1577" s="63"/>
      <c r="C1577" s="129"/>
      <c r="D1577" s="55"/>
      <c r="E1577" s="55"/>
      <c r="F1577" s="93"/>
      <c r="G1577" s="93"/>
      <c r="H1577" s="62"/>
    </row>
    <row r="1578" spans="1:8" x14ac:dyDescent="0.3">
      <c r="A1578" s="20"/>
      <c r="B1578" s="63"/>
      <c r="C1578" s="129"/>
      <c r="D1578" s="55"/>
      <c r="E1578" s="55"/>
      <c r="F1578" s="93"/>
      <c r="G1578" s="93"/>
      <c r="H1578" s="62"/>
    </row>
    <row r="1579" spans="1:8" x14ac:dyDescent="0.3">
      <c r="A1579" s="20"/>
      <c r="B1579" s="130"/>
      <c r="C1579" s="129"/>
      <c r="D1579" s="55"/>
      <c r="E1579" s="55"/>
      <c r="F1579" s="93"/>
      <c r="G1579" s="93"/>
      <c r="H1579" s="62"/>
    </row>
    <row r="1580" spans="1:8" x14ac:dyDescent="0.3">
      <c r="A1580" s="20"/>
      <c r="B1580" s="63"/>
      <c r="C1580" s="129"/>
      <c r="D1580" s="55"/>
      <c r="E1580" s="55"/>
      <c r="F1580" s="93"/>
      <c r="G1580" s="93"/>
      <c r="H1580" s="62"/>
    </row>
    <row r="1581" spans="1:8" x14ac:dyDescent="0.3">
      <c r="A1581" s="20"/>
      <c r="B1581" s="63"/>
      <c r="C1581" s="55"/>
      <c r="D1581" s="55"/>
      <c r="E1581" s="55"/>
      <c r="F1581" s="93"/>
      <c r="G1581" s="93"/>
      <c r="H1581" s="62"/>
    </row>
    <row r="1582" spans="1:8" x14ac:dyDescent="0.3">
      <c r="A1582" s="27"/>
      <c r="B1582" s="28"/>
      <c r="C1582" s="24"/>
      <c r="D1582" s="25"/>
      <c r="E1582" s="25"/>
      <c r="F1582" s="28"/>
      <c r="G1582" s="28"/>
      <c r="H1582" s="32"/>
    </row>
    <row r="1583" spans="1:8" x14ac:dyDescent="0.3">
      <c r="A1583" s="618" t="s">
        <v>267</v>
      </c>
      <c r="B1583" s="619"/>
      <c r="C1583" s="618" t="s">
        <v>268</v>
      </c>
      <c r="D1583" s="620"/>
      <c r="E1583" s="619"/>
      <c r="F1583" s="28"/>
      <c r="G1583" s="28"/>
      <c r="H1583" s="32"/>
    </row>
    <row r="1584" spans="1:8" x14ac:dyDescent="0.3">
      <c r="A1584" s="618" t="s">
        <v>269</v>
      </c>
      <c r="B1584" s="619"/>
      <c r="C1584" s="621">
        <v>10142001000604</v>
      </c>
      <c r="D1584" s="622"/>
      <c r="E1584" s="623"/>
      <c r="F1584" s="28"/>
      <c r="G1584" s="28"/>
      <c r="H1584" s="32"/>
    </row>
    <row r="1585" spans="1:8" x14ac:dyDescent="0.3">
      <c r="A1585" s="618" t="s">
        <v>270</v>
      </c>
      <c r="B1585" s="619"/>
      <c r="C1585" s="618" t="s">
        <v>271</v>
      </c>
      <c r="D1585" s="620"/>
      <c r="E1585" s="619"/>
      <c r="F1585" s="28"/>
      <c r="G1585" s="28"/>
      <c r="H1585" s="32"/>
    </row>
    <row r="1586" spans="1:8" x14ac:dyDescent="0.3">
      <c r="A1586" s="618" t="s">
        <v>272</v>
      </c>
      <c r="B1586" s="619"/>
      <c r="C1586" s="618" t="s">
        <v>273</v>
      </c>
      <c r="D1586" s="620"/>
      <c r="E1586" s="619"/>
      <c r="F1586" s="28"/>
      <c r="G1586" s="28"/>
      <c r="H1586" s="32"/>
    </row>
    <row r="1587" spans="1:8" x14ac:dyDescent="0.3">
      <c r="A1587" s="27"/>
      <c r="B1587" s="28"/>
      <c r="C1587" s="24"/>
      <c r="D1587" s="25"/>
      <c r="E1587" s="25"/>
      <c r="F1587" s="28"/>
      <c r="G1587" s="28"/>
      <c r="H1587" s="32"/>
    </row>
    <row r="1588" spans="1:8" x14ac:dyDescent="0.3">
      <c r="A1588" s="27"/>
      <c r="B1588" s="28"/>
      <c r="C1588" s="24"/>
      <c r="D1588" s="25"/>
      <c r="E1588" s="25"/>
      <c r="F1588" s="28"/>
      <c r="G1588" s="28"/>
      <c r="H1588" s="32"/>
    </row>
    <row r="1589" spans="1:8" x14ac:dyDescent="0.3">
      <c r="A1589" s="27"/>
      <c r="B1589" s="28"/>
      <c r="C1589" s="24"/>
      <c r="D1589" s="25"/>
      <c r="E1589" s="25"/>
      <c r="F1589" s="28"/>
      <c r="G1589" s="28"/>
      <c r="H1589" s="32"/>
    </row>
    <row r="1590" spans="1:8" ht="15.6" x14ac:dyDescent="0.3">
      <c r="A1590" s="448" t="s">
        <v>45</v>
      </c>
      <c r="B1590" s="449"/>
      <c r="C1590" s="24"/>
      <c r="D1590" s="25"/>
      <c r="E1590" s="25"/>
      <c r="F1590" s="447" t="s">
        <v>46</v>
      </c>
      <c r="G1590" s="447"/>
      <c r="H1590" s="66">
        <v>7375</v>
      </c>
    </row>
    <row r="1591" spans="1:8" ht="15.6" x14ac:dyDescent="0.3">
      <c r="A1591" s="497" t="s">
        <v>374</v>
      </c>
      <c r="B1591" s="498"/>
      <c r="C1591" s="498"/>
      <c r="D1591" s="498"/>
      <c r="E1591" s="498"/>
      <c r="F1591" s="447" t="s">
        <v>47</v>
      </c>
      <c r="G1591" s="447"/>
      <c r="H1591" s="66">
        <v>664</v>
      </c>
    </row>
    <row r="1592" spans="1:8" ht="15.6" x14ac:dyDescent="0.3">
      <c r="A1592" s="27"/>
      <c r="B1592" s="28"/>
      <c r="C1592" s="24"/>
      <c r="D1592" s="25"/>
      <c r="E1592" s="25"/>
      <c r="F1592" s="447" t="s">
        <v>48</v>
      </c>
      <c r="G1592" s="447"/>
      <c r="H1592" s="66">
        <v>664</v>
      </c>
    </row>
    <row r="1593" spans="1:8" ht="15.6" x14ac:dyDescent="0.3">
      <c r="A1593" s="90" t="s">
        <v>49</v>
      </c>
      <c r="B1593" s="28"/>
      <c r="C1593" s="24"/>
      <c r="D1593" s="25"/>
      <c r="E1593" s="25"/>
      <c r="F1593" s="447" t="s">
        <v>50</v>
      </c>
      <c r="G1593" s="447"/>
      <c r="H1593" s="66">
        <v>8703</v>
      </c>
    </row>
    <row r="1594" spans="1:8" ht="27" x14ac:dyDescent="0.3">
      <c r="A1594" s="68" t="s">
        <v>22</v>
      </c>
      <c r="B1594" s="30" t="s">
        <v>51</v>
      </c>
      <c r="C1594" s="70" t="s">
        <v>24</v>
      </c>
      <c r="D1594" s="31" t="s">
        <v>25</v>
      </c>
      <c r="E1594" s="543" t="s">
        <v>52</v>
      </c>
      <c r="F1594" s="543"/>
      <c r="G1594" s="28"/>
      <c r="H1594" s="32"/>
    </row>
    <row r="1595" spans="1:8" x14ac:dyDescent="0.3">
      <c r="A1595" s="72">
        <v>0.18</v>
      </c>
      <c r="B1595" s="73">
        <f>H1590</f>
        <v>7375</v>
      </c>
      <c r="C1595" s="74">
        <f>H1591</f>
        <v>664</v>
      </c>
      <c r="D1595" s="74">
        <f>H1591</f>
        <v>664</v>
      </c>
      <c r="E1595" s="507">
        <f>C1595+D1595</f>
        <v>1328</v>
      </c>
      <c r="F1595" s="507"/>
      <c r="G1595" s="74"/>
      <c r="H1595" s="75"/>
    </row>
    <row r="1596" spans="1:8" x14ac:dyDescent="0.3">
      <c r="A1596" s="508" t="s">
        <v>375</v>
      </c>
      <c r="B1596" s="509"/>
      <c r="C1596" s="509"/>
      <c r="D1596" s="509"/>
      <c r="E1596" s="453"/>
      <c r="F1596" s="453"/>
      <c r="G1596" s="453"/>
      <c r="H1596" s="454"/>
    </row>
    <row r="1597" spans="1:8" ht="15.6" x14ac:dyDescent="0.3">
      <c r="A1597" s="455" t="s">
        <v>53</v>
      </c>
      <c r="B1597" s="456"/>
      <c r="C1597" s="456"/>
      <c r="D1597" s="457"/>
      <c r="E1597" s="458" t="s">
        <v>54</v>
      </c>
      <c r="F1597" s="459"/>
      <c r="G1597" s="459"/>
      <c r="H1597" s="460"/>
    </row>
    <row r="1598" spans="1:8" x14ac:dyDescent="0.3">
      <c r="A1598" s="461" t="s">
        <v>55</v>
      </c>
      <c r="B1598" s="462"/>
      <c r="C1598" s="462"/>
      <c r="D1598" s="463"/>
      <c r="E1598" s="39"/>
      <c r="F1598" s="28"/>
      <c r="G1598" s="28"/>
      <c r="H1598" s="32"/>
    </row>
    <row r="1599" spans="1:8" x14ac:dyDescent="0.3">
      <c r="A1599" s="461" t="s">
        <v>56</v>
      </c>
      <c r="B1599" s="462"/>
      <c r="C1599" s="462"/>
      <c r="D1599" s="463"/>
      <c r="E1599" s="39"/>
      <c r="F1599" s="28"/>
      <c r="G1599" s="28"/>
      <c r="H1599" s="32"/>
    </row>
    <row r="1600" spans="1:8" x14ac:dyDescent="0.3">
      <c r="A1600" s="461" t="s">
        <v>57</v>
      </c>
      <c r="B1600" s="462"/>
      <c r="C1600" s="462"/>
      <c r="D1600" s="463"/>
      <c r="E1600" s="39"/>
      <c r="F1600" s="28"/>
      <c r="G1600" s="28"/>
      <c r="H1600" s="32"/>
    </row>
    <row r="1601" spans="1:8" ht="15.6" x14ac:dyDescent="0.3">
      <c r="A1601" s="464" t="s">
        <v>58</v>
      </c>
      <c r="B1601" s="465"/>
      <c r="C1601" s="465"/>
      <c r="D1601" s="465"/>
      <c r="E1601" s="466" t="s">
        <v>59</v>
      </c>
      <c r="F1601" s="467"/>
      <c r="G1601" s="467"/>
      <c r="H1601" s="468"/>
    </row>
    <row r="1602" spans="1:8" ht="15.6" x14ac:dyDescent="0.3">
      <c r="A1602" s="104"/>
      <c r="B1602" s="104"/>
      <c r="C1602" s="104"/>
      <c r="D1602" s="104"/>
      <c r="E1602" s="105"/>
      <c r="F1602" s="105"/>
      <c r="G1602" s="105"/>
      <c r="H1602" s="105"/>
    </row>
    <row r="1603" spans="1:8" ht="15.6" x14ac:dyDescent="0.3">
      <c r="A1603" s="104"/>
      <c r="B1603" s="104"/>
      <c r="C1603" s="104"/>
      <c r="D1603" s="104"/>
      <c r="E1603" s="105"/>
      <c r="F1603" s="105"/>
      <c r="G1603" s="105"/>
      <c r="H1603" s="105"/>
    </row>
    <row r="1604" spans="1:8" ht="15.6" x14ac:dyDescent="0.3">
      <c r="A1604" s="104"/>
      <c r="B1604" s="104"/>
      <c r="C1604" s="104"/>
      <c r="D1604" s="104"/>
      <c r="E1604" s="105"/>
      <c r="F1604" s="105"/>
      <c r="G1604" s="105"/>
      <c r="H1604" s="105"/>
    </row>
    <row r="1605" spans="1:8" ht="15.6" x14ac:dyDescent="0.3">
      <c r="A1605" s="104"/>
      <c r="B1605" s="104"/>
      <c r="C1605" s="104"/>
      <c r="D1605" s="104"/>
      <c r="E1605" s="105"/>
      <c r="F1605" s="105"/>
      <c r="G1605" s="105"/>
      <c r="H1605" s="105"/>
    </row>
    <row r="1606" spans="1:8" ht="15.6" x14ac:dyDescent="0.3">
      <c r="A1606" s="104"/>
      <c r="B1606" s="104"/>
      <c r="C1606" s="104"/>
      <c r="D1606" s="104"/>
      <c r="E1606" s="105"/>
      <c r="F1606" s="105"/>
      <c r="G1606" s="105"/>
      <c r="H1606" s="105"/>
    </row>
    <row r="1607" spans="1:8" ht="15.6" x14ac:dyDescent="0.3">
      <c r="A1607" s="104"/>
      <c r="B1607" s="104"/>
      <c r="C1607" s="104"/>
      <c r="D1607" s="104"/>
      <c r="E1607" s="105"/>
      <c r="F1607" s="105"/>
      <c r="G1607" s="105"/>
      <c r="H1607" s="105"/>
    </row>
    <row r="1610" spans="1:8" ht="44.4" x14ac:dyDescent="0.7">
      <c r="A1610" s="469" t="s">
        <v>0</v>
      </c>
      <c r="B1610" s="470"/>
      <c r="C1610" s="470"/>
      <c r="D1610" s="470"/>
      <c r="E1610" s="471" t="s">
        <v>1</v>
      </c>
      <c r="F1610" s="472"/>
      <c r="G1610" s="472"/>
      <c r="H1610" s="473"/>
    </row>
    <row r="1611" spans="1:8" ht="20.399999999999999" x14ac:dyDescent="0.35">
      <c r="A1611" s="1"/>
      <c r="B1611" s="476" t="s">
        <v>2</v>
      </c>
      <c r="C1611" s="476"/>
      <c r="D1611" s="476"/>
      <c r="E1611" s="474"/>
      <c r="F1611" s="474"/>
      <c r="G1611" s="474"/>
      <c r="H1611" s="475"/>
    </row>
    <row r="1612" spans="1:8" x14ac:dyDescent="0.3">
      <c r="A1612" s="477" t="s">
        <v>3</v>
      </c>
      <c r="B1612" s="478"/>
      <c r="C1612" s="479" t="s">
        <v>4</v>
      </c>
      <c r="D1612" s="479"/>
      <c r="E1612" s="548" t="s">
        <v>5</v>
      </c>
      <c r="F1612" s="549"/>
      <c r="G1612" s="549"/>
      <c r="H1612" s="550"/>
    </row>
    <row r="1613" spans="1:8" ht="15.6" x14ac:dyDescent="0.3">
      <c r="A1613" s="138" t="s">
        <v>6</v>
      </c>
      <c r="B1613" s="5"/>
      <c r="C1613" s="512" t="s">
        <v>7</v>
      </c>
      <c r="D1613" s="513"/>
      <c r="E1613" s="594">
        <v>36</v>
      </c>
      <c r="F1613" s="594"/>
      <c r="G1613" s="179" t="s">
        <v>8</v>
      </c>
      <c r="H1613" s="9">
        <v>45997</v>
      </c>
    </row>
    <row r="1614" spans="1:8" ht="15.6" x14ac:dyDescent="0.3">
      <c r="A1614" s="514" t="s">
        <v>310</v>
      </c>
      <c r="B1614" s="515"/>
      <c r="C1614" s="516" t="s">
        <v>10</v>
      </c>
      <c r="D1614" s="481"/>
      <c r="E1614" s="482"/>
      <c r="F1614" s="482"/>
      <c r="G1614" s="7" t="s">
        <v>8</v>
      </c>
      <c r="H1614" s="9"/>
    </row>
    <row r="1615" spans="1:8" ht="15" x14ac:dyDescent="0.3">
      <c r="A1615" s="517" t="s">
        <v>311</v>
      </c>
      <c r="B1615" s="518"/>
      <c r="C1615" s="484" t="s">
        <v>12</v>
      </c>
      <c r="D1615" s="519"/>
      <c r="E1615" s="520"/>
      <c r="F1615" s="520"/>
      <c r="G1615" s="10" t="s">
        <v>8</v>
      </c>
      <c r="H1615" s="11"/>
    </row>
    <row r="1616" spans="1:8" ht="15.6" x14ac:dyDescent="0.3">
      <c r="A1616" s="210" t="s">
        <v>14</v>
      </c>
      <c r="B1616" s="211"/>
      <c r="C1616" s="521" t="s">
        <v>15</v>
      </c>
      <c r="D1616" s="522"/>
      <c r="E1616" s="523" t="s">
        <v>312</v>
      </c>
      <c r="F1616" s="524"/>
      <c r="G1616" s="524"/>
      <c r="H1616" s="6"/>
    </row>
    <row r="1617" spans="1:9" ht="15.6" x14ac:dyDescent="0.3">
      <c r="A1617" s="180" t="s">
        <v>13</v>
      </c>
      <c r="B1617" s="181" t="s">
        <v>376</v>
      </c>
      <c r="C1617" s="182"/>
      <c r="D1617" s="50"/>
      <c r="E1617" s="183"/>
      <c r="F1617" s="183"/>
      <c r="G1617" s="183"/>
      <c r="H1617" s="52"/>
    </row>
    <row r="1618" spans="1:9" ht="15" x14ac:dyDescent="0.3">
      <c r="A1618" s="527" t="s">
        <v>17</v>
      </c>
      <c r="B1618" s="505" t="s">
        <v>18</v>
      </c>
      <c r="C1618" s="505" t="s">
        <v>19</v>
      </c>
      <c r="D1618" s="505" t="s">
        <v>20</v>
      </c>
      <c r="E1618" s="505" t="s">
        <v>21</v>
      </c>
      <c r="F1618" s="505" t="s">
        <v>22</v>
      </c>
      <c r="G1618" s="505"/>
      <c r="H1618" s="527" t="s">
        <v>23</v>
      </c>
    </row>
    <row r="1619" spans="1:9" ht="27.6" x14ac:dyDescent="0.3">
      <c r="A1619" s="492"/>
      <c r="B1619" s="494"/>
      <c r="C1619" s="494"/>
      <c r="D1619" s="494"/>
      <c r="E1619" s="494"/>
      <c r="F1619" s="53" t="s">
        <v>24</v>
      </c>
      <c r="G1619" s="53" t="s">
        <v>25</v>
      </c>
      <c r="H1619" s="492"/>
    </row>
    <row r="1620" spans="1:9" x14ac:dyDescent="0.3">
      <c r="A1620" s="186">
        <v>1</v>
      </c>
      <c r="B1620" s="212" t="s">
        <v>315</v>
      </c>
      <c r="C1620" s="188">
        <v>7</v>
      </c>
      <c r="D1620" s="56">
        <v>998719</v>
      </c>
      <c r="E1620" s="57">
        <v>2800</v>
      </c>
      <c r="F1620" s="58">
        <f>E1620*C1620*9%</f>
        <v>1764</v>
      </c>
      <c r="G1620" s="58">
        <f>F1620</f>
        <v>1764</v>
      </c>
      <c r="H1620" s="59">
        <f>E1620*C1620+F1620+G1620</f>
        <v>23128</v>
      </c>
      <c r="I1620" s="362">
        <f>E1620*C1620</f>
        <v>19600</v>
      </c>
    </row>
    <row r="1621" spans="1:9" x14ac:dyDescent="0.3">
      <c r="A1621" s="57">
        <v>2</v>
      </c>
      <c r="B1621" s="212" t="s">
        <v>377</v>
      </c>
      <c r="C1621" s="57">
        <v>1</v>
      </c>
      <c r="D1621" s="56">
        <v>998719</v>
      </c>
      <c r="E1621" s="57">
        <v>8000</v>
      </c>
      <c r="F1621" s="58">
        <f>E1621*C1621*9%</f>
        <v>720</v>
      </c>
      <c r="G1621" s="58">
        <f>F1621</f>
        <v>720</v>
      </c>
      <c r="H1621" s="59">
        <f>E1621*C1621+F1621+G1621</f>
        <v>9440</v>
      </c>
      <c r="I1621" s="362">
        <f>E1621*C1621</f>
        <v>8000</v>
      </c>
    </row>
    <row r="1622" spans="1:9" x14ac:dyDescent="0.3">
      <c r="A1622" s="173"/>
      <c r="B1622" s="174"/>
      <c r="C1622" s="175"/>
      <c r="D1622" s="152"/>
      <c r="E1622" s="175"/>
      <c r="F1622" s="165"/>
      <c r="G1622" s="165"/>
      <c r="H1622" s="166"/>
    </row>
    <row r="1623" spans="1:9" x14ac:dyDescent="0.3">
      <c r="A1623" s="173"/>
      <c r="B1623" s="174"/>
      <c r="C1623" s="175"/>
      <c r="D1623" s="152"/>
      <c r="E1623" s="175"/>
      <c r="F1623" s="165"/>
      <c r="G1623" s="165"/>
      <c r="H1623" s="166"/>
    </row>
    <row r="1624" spans="1:9" x14ac:dyDescent="0.3">
      <c r="A1624" s="173"/>
      <c r="B1624" s="174"/>
      <c r="C1624" s="175"/>
      <c r="D1624" s="152"/>
      <c r="E1624" s="175"/>
      <c r="F1624" s="165"/>
      <c r="G1624" s="165"/>
      <c r="H1624" s="166"/>
    </row>
    <row r="1625" spans="1:9" x14ac:dyDescent="0.3">
      <c r="A1625" s="173"/>
      <c r="B1625" s="174"/>
      <c r="C1625" s="175"/>
      <c r="D1625" s="152"/>
      <c r="E1625" s="175"/>
      <c r="F1625" s="165"/>
      <c r="G1625" s="165"/>
      <c r="H1625" s="166"/>
    </row>
    <row r="1626" spans="1:9" x14ac:dyDescent="0.3">
      <c r="A1626" s="173"/>
      <c r="B1626" s="174"/>
      <c r="C1626" s="175"/>
      <c r="D1626" s="152"/>
      <c r="E1626" s="175"/>
      <c r="F1626" s="165"/>
      <c r="G1626" s="165"/>
      <c r="H1626" s="166"/>
    </row>
    <row r="1627" spans="1:9" x14ac:dyDescent="0.3">
      <c r="A1627" s="173"/>
      <c r="B1627" s="174"/>
      <c r="C1627" s="175"/>
      <c r="D1627" s="152"/>
      <c r="E1627" s="175"/>
      <c r="F1627" s="165"/>
      <c r="G1627" s="165"/>
      <c r="H1627" s="166"/>
    </row>
    <row r="1628" spans="1:9" x14ac:dyDescent="0.3">
      <c r="A1628" s="173"/>
      <c r="B1628" s="174"/>
      <c r="C1628" s="175"/>
      <c r="D1628" s="152"/>
      <c r="E1628" s="175"/>
      <c r="F1628" s="165"/>
      <c r="G1628" s="165"/>
      <c r="H1628" s="166"/>
    </row>
    <row r="1629" spans="1:9" x14ac:dyDescent="0.3">
      <c r="A1629" s="173"/>
      <c r="B1629" s="174"/>
      <c r="C1629" s="175"/>
      <c r="D1629" s="152"/>
      <c r="E1629" s="175"/>
      <c r="F1629" s="165"/>
      <c r="G1629" s="165"/>
      <c r="H1629" s="166"/>
    </row>
    <row r="1630" spans="1:9" x14ac:dyDescent="0.3">
      <c r="A1630" s="173"/>
      <c r="B1630" s="174"/>
      <c r="C1630" s="175"/>
      <c r="D1630" s="152"/>
      <c r="E1630" s="175"/>
      <c r="F1630" s="165"/>
      <c r="G1630" s="165"/>
      <c r="H1630" s="166"/>
    </row>
    <row r="1631" spans="1:9" x14ac:dyDescent="0.3">
      <c r="A1631" s="173"/>
      <c r="B1631" s="174"/>
      <c r="C1631" s="175"/>
      <c r="D1631" s="152"/>
      <c r="E1631" s="175"/>
      <c r="F1631" s="165"/>
      <c r="G1631" s="165"/>
      <c r="H1631" s="166"/>
    </row>
    <row r="1632" spans="1:9" x14ac:dyDescent="0.3">
      <c r="A1632" s="173"/>
      <c r="B1632" s="174"/>
      <c r="C1632" s="175"/>
      <c r="D1632" s="152"/>
      <c r="E1632" s="175"/>
      <c r="F1632" s="165"/>
      <c r="G1632" s="165"/>
      <c r="H1632" s="166"/>
    </row>
    <row r="1633" spans="1:8" x14ac:dyDescent="0.3">
      <c r="A1633" s="173"/>
      <c r="B1633" s="174"/>
      <c r="C1633" s="175"/>
      <c r="D1633" s="152"/>
      <c r="E1633" s="175"/>
      <c r="F1633" s="165"/>
      <c r="G1633" s="165"/>
      <c r="H1633" s="166"/>
    </row>
    <row r="1634" spans="1:8" x14ac:dyDescent="0.3">
      <c r="A1634" s="173"/>
      <c r="B1634" s="174"/>
      <c r="C1634" s="175"/>
      <c r="D1634" s="152"/>
      <c r="E1634" s="175"/>
      <c r="F1634" s="165"/>
      <c r="G1634" s="165"/>
      <c r="H1634" s="166"/>
    </row>
    <row r="1635" spans="1:8" x14ac:dyDescent="0.3">
      <c r="A1635" s="173"/>
      <c r="B1635" s="174"/>
      <c r="C1635" s="175"/>
      <c r="D1635" s="152"/>
      <c r="E1635" s="175"/>
      <c r="F1635" s="165"/>
      <c r="G1635" s="165"/>
      <c r="H1635" s="166"/>
    </row>
    <row r="1636" spans="1:8" x14ac:dyDescent="0.3">
      <c r="A1636" s="173"/>
      <c r="B1636" s="174"/>
      <c r="C1636" s="175"/>
      <c r="D1636" s="152"/>
      <c r="E1636" s="175"/>
      <c r="F1636" s="165"/>
      <c r="G1636" s="165"/>
      <c r="H1636" s="166"/>
    </row>
    <row r="1637" spans="1:8" x14ac:dyDescent="0.3">
      <c r="A1637" s="173"/>
      <c r="B1637" s="174"/>
      <c r="C1637" s="175"/>
      <c r="D1637" s="152"/>
      <c r="E1637" s="175"/>
      <c r="F1637" s="165"/>
      <c r="G1637" s="165"/>
      <c r="H1637" s="166"/>
    </row>
    <row r="1638" spans="1:8" x14ac:dyDescent="0.3">
      <c r="A1638" s="27"/>
      <c r="B1638" s="174"/>
      <c r="C1638" s="24"/>
      <c r="D1638" s="152"/>
      <c r="E1638" s="175"/>
      <c r="F1638" s="175"/>
      <c r="G1638" s="162"/>
      <c r="H1638" s="154"/>
    </row>
    <row r="1639" spans="1:8" x14ac:dyDescent="0.3">
      <c r="A1639" s="27"/>
      <c r="B1639" s="174"/>
      <c r="C1639" s="24"/>
      <c r="D1639" s="152"/>
      <c r="E1639" s="25"/>
      <c r="F1639" s="175"/>
      <c r="G1639" s="162"/>
      <c r="H1639" s="154"/>
    </row>
    <row r="1640" spans="1:8" x14ac:dyDescent="0.3">
      <c r="A1640" s="27"/>
      <c r="B1640" s="28"/>
      <c r="C1640" s="24"/>
      <c r="D1640" s="152"/>
      <c r="E1640" s="25"/>
      <c r="F1640" s="175"/>
      <c r="G1640" s="162"/>
      <c r="H1640" s="154"/>
    </row>
    <row r="1641" spans="1:8" x14ac:dyDescent="0.3">
      <c r="A1641" s="27"/>
      <c r="B1641" s="28"/>
      <c r="C1641" s="24"/>
      <c r="D1641" s="25"/>
      <c r="E1641" s="25"/>
      <c r="F1641" s="25"/>
      <c r="G1641" s="28"/>
      <c r="H1641" s="32"/>
    </row>
    <row r="1642" spans="1:8" ht="15.6" x14ac:dyDescent="0.3">
      <c r="A1642" s="448" t="s">
        <v>45</v>
      </c>
      <c r="B1642" s="449"/>
      <c r="C1642" s="24"/>
      <c r="D1642" s="25"/>
      <c r="E1642" s="25"/>
      <c r="F1642" s="447" t="s">
        <v>46</v>
      </c>
      <c r="G1642" s="447"/>
      <c r="H1642" s="66">
        <v>27600</v>
      </c>
    </row>
    <row r="1643" spans="1:8" ht="15.6" x14ac:dyDescent="0.3">
      <c r="A1643" s="497" t="s">
        <v>378</v>
      </c>
      <c r="B1643" s="498"/>
      <c r="C1643" s="498"/>
      <c r="D1643" s="498"/>
      <c r="E1643" s="498"/>
      <c r="F1643" s="447" t="s">
        <v>47</v>
      </c>
      <c r="G1643" s="447"/>
      <c r="H1643" s="66">
        <f>H1642*9%</f>
        <v>2484</v>
      </c>
    </row>
    <row r="1644" spans="1:8" ht="15.6" x14ac:dyDescent="0.3">
      <c r="A1644" s="27"/>
      <c r="B1644" s="28"/>
      <c r="C1644" s="24"/>
      <c r="D1644" s="25"/>
      <c r="E1644" s="25"/>
      <c r="F1644" s="447" t="s">
        <v>48</v>
      </c>
      <c r="G1644" s="447"/>
      <c r="H1644" s="66">
        <f>H1643</f>
        <v>2484</v>
      </c>
    </row>
    <row r="1645" spans="1:8" ht="15.6" x14ac:dyDescent="0.3">
      <c r="A1645" s="448" t="s">
        <v>49</v>
      </c>
      <c r="B1645" s="449"/>
      <c r="C1645" s="24"/>
      <c r="D1645" s="25"/>
      <c r="E1645" s="25"/>
      <c r="F1645" s="447" t="s">
        <v>50</v>
      </c>
      <c r="G1645" s="447"/>
      <c r="H1645" s="66">
        <f>H1642+H1643+H1644</f>
        <v>32568</v>
      </c>
    </row>
    <row r="1646" spans="1:8" ht="15.6" x14ac:dyDescent="0.3">
      <c r="A1646" s="90"/>
      <c r="B1646" s="177"/>
      <c r="C1646" s="24"/>
      <c r="D1646" s="25"/>
      <c r="E1646" s="25"/>
      <c r="F1646" s="26"/>
      <c r="G1646" s="26"/>
      <c r="H1646" s="66"/>
    </row>
    <row r="1647" spans="1:8" ht="27" x14ac:dyDescent="0.3">
      <c r="A1647" s="29" t="s">
        <v>22</v>
      </c>
      <c r="B1647" s="30" t="s">
        <v>51</v>
      </c>
      <c r="C1647" s="31" t="s">
        <v>24</v>
      </c>
      <c r="D1647" s="31" t="s">
        <v>25</v>
      </c>
      <c r="E1647" s="528" t="s">
        <v>52</v>
      </c>
      <c r="F1647" s="528"/>
      <c r="G1647" s="28"/>
      <c r="H1647" s="32"/>
    </row>
    <row r="1648" spans="1:8" x14ac:dyDescent="0.3">
      <c r="A1648" s="33">
        <v>0.18</v>
      </c>
      <c r="B1648" s="34">
        <f>H1642</f>
        <v>27600</v>
      </c>
      <c r="C1648" s="35">
        <f>H1643</f>
        <v>2484</v>
      </c>
      <c r="D1648" s="35">
        <f>H1644</f>
        <v>2484</v>
      </c>
      <c r="E1648" s="529">
        <f>C1648+D1648</f>
        <v>4968</v>
      </c>
      <c r="F1648" s="530"/>
      <c r="G1648" s="28"/>
      <c r="H1648" s="32"/>
    </row>
    <row r="1649" spans="1:8" x14ac:dyDescent="0.3">
      <c r="A1649" s="452" t="s">
        <v>379</v>
      </c>
      <c r="B1649" s="453"/>
      <c r="C1649" s="453"/>
      <c r="D1649" s="453"/>
      <c r="E1649" s="453"/>
      <c r="F1649" s="453"/>
      <c r="G1649" s="453"/>
      <c r="H1649" s="454"/>
    </row>
    <row r="1650" spans="1:8" ht="15.6" x14ac:dyDescent="0.3">
      <c r="A1650" s="455" t="s">
        <v>53</v>
      </c>
      <c r="B1650" s="456"/>
      <c r="C1650" s="456"/>
      <c r="D1650" s="457"/>
      <c r="E1650" s="458" t="s">
        <v>54</v>
      </c>
      <c r="F1650" s="459"/>
      <c r="G1650" s="459"/>
      <c r="H1650" s="460"/>
    </row>
    <row r="1651" spans="1:8" x14ac:dyDescent="0.3">
      <c r="A1651" s="461" t="s">
        <v>55</v>
      </c>
      <c r="B1651" s="462"/>
      <c r="C1651" s="462"/>
      <c r="D1651" s="463"/>
      <c r="E1651" s="39"/>
      <c r="F1651" s="25"/>
      <c r="G1651" s="28"/>
      <c r="H1651" s="32"/>
    </row>
    <row r="1652" spans="1:8" x14ac:dyDescent="0.3">
      <c r="A1652" s="461" t="s">
        <v>56</v>
      </c>
      <c r="B1652" s="462"/>
      <c r="C1652" s="462"/>
      <c r="D1652" s="463"/>
      <c r="E1652" s="39"/>
      <c r="F1652" s="25"/>
      <c r="G1652" s="28"/>
      <c r="H1652" s="32"/>
    </row>
    <row r="1653" spans="1:8" x14ac:dyDescent="0.3">
      <c r="A1653" s="461" t="s">
        <v>57</v>
      </c>
      <c r="B1653" s="462"/>
      <c r="C1653" s="462"/>
      <c r="D1653" s="463"/>
      <c r="E1653" s="25"/>
      <c r="F1653" s="25"/>
      <c r="G1653" s="28"/>
      <c r="H1653" s="32"/>
    </row>
    <row r="1654" spans="1:8" ht="15.6" x14ac:dyDescent="0.3">
      <c r="A1654" s="464" t="s">
        <v>58</v>
      </c>
      <c r="B1654" s="465"/>
      <c r="C1654" s="465"/>
      <c r="D1654" s="510"/>
      <c r="E1654" s="466" t="s">
        <v>59</v>
      </c>
      <c r="F1654" s="467"/>
      <c r="G1654" s="467"/>
      <c r="H1654" s="468"/>
    </row>
    <row r="1657" spans="1:8" ht="44.4" x14ac:dyDescent="0.7">
      <c r="A1657" s="469" t="s">
        <v>0</v>
      </c>
      <c r="B1657" s="470"/>
      <c r="C1657" s="470"/>
      <c r="D1657" s="470"/>
      <c r="E1657" s="471" t="s">
        <v>1</v>
      </c>
      <c r="F1657" s="472"/>
      <c r="G1657" s="472"/>
      <c r="H1657" s="473"/>
    </row>
    <row r="1658" spans="1:8" ht="20.399999999999999" x14ac:dyDescent="0.35">
      <c r="A1658" s="1"/>
      <c r="B1658" s="476" t="s">
        <v>2</v>
      </c>
      <c r="C1658" s="476"/>
      <c r="D1658" s="476"/>
      <c r="E1658" s="474"/>
      <c r="F1658" s="474"/>
      <c r="G1658" s="474"/>
      <c r="H1658" s="475"/>
    </row>
    <row r="1659" spans="1:8" x14ac:dyDescent="0.3">
      <c r="A1659" s="477" t="s">
        <v>3</v>
      </c>
      <c r="B1659" s="478"/>
      <c r="C1659" s="479" t="s">
        <v>4</v>
      </c>
      <c r="D1659" s="479"/>
      <c r="E1659" s="480" t="s">
        <v>5</v>
      </c>
      <c r="F1659" s="480"/>
      <c r="G1659" s="480"/>
      <c r="H1659" s="480"/>
    </row>
    <row r="1660" spans="1:8" ht="15.6" x14ac:dyDescent="0.3">
      <c r="A1660" s="138" t="s">
        <v>6</v>
      </c>
      <c r="B1660" s="5"/>
      <c r="C1660" s="512" t="s">
        <v>7</v>
      </c>
      <c r="D1660" s="513"/>
      <c r="E1660" s="482">
        <v>37</v>
      </c>
      <c r="F1660" s="482"/>
      <c r="G1660" s="7" t="s">
        <v>8</v>
      </c>
      <c r="H1660" s="9">
        <v>45997</v>
      </c>
    </row>
    <row r="1661" spans="1:8" ht="15.6" x14ac:dyDescent="0.3">
      <c r="A1661" s="514" t="s">
        <v>380</v>
      </c>
      <c r="B1661" s="515"/>
      <c r="C1661" s="516" t="s">
        <v>10</v>
      </c>
      <c r="D1661" s="481"/>
      <c r="E1661" s="482"/>
      <c r="F1661" s="482"/>
      <c r="G1661" s="7" t="s">
        <v>8</v>
      </c>
      <c r="H1661" s="9"/>
    </row>
    <row r="1662" spans="1:8" ht="15" x14ac:dyDescent="0.3">
      <c r="A1662" s="517" t="s">
        <v>381</v>
      </c>
      <c r="B1662" s="518"/>
      <c r="C1662" s="484" t="s">
        <v>12</v>
      </c>
      <c r="D1662" s="519"/>
      <c r="E1662" s="520"/>
      <c r="F1662" s="520"/>
      <c r="G1662" s="10" t="s">
        <v>8</v>
      </c>
      <c r="H1662" s="11"/>
    </row>
    <row r="1663" spans="1:8" ht="15.6" x14ac:dyDescent="0.3">
      <c r="A1663" s="517" t="s">
        <v>382</v>
      </c>
      <c r="B1663" s="518"/>
      <c r="C1663" s="521" t="s">
        <v>15</v>
      </c>
      <c r="D1663" s="522"/>
      <c r="E1663" s="523" t="s">
        <v>383</v>
      </c>
      <c r="F1663" s="524"/>
      <c r="G1663" s="524"/>
      <c r="H1663" s="6"/>
    </row>
    <row r="1664" spans="1:8" ht="15.6" x14ac:dyDescent="0.3">
      <c r="A1664" s="180" t="s">
        <v>13</v>
      </c>
      <c r="B1664" s="13" t="s">
        <v>386</v>
      </c>
      <c r="C1664" s="230"/>
      <c r="D1664" s="231"/>
      <c r="E1664" s="232"/>
      <c r="F1664" s="233"/>
      <c r="G1664" s="233"/>
      <c r="H1664" s="231"/>
    </row>
    <row r="1665" spans="1:8" ht="15" x14ac:dyDescent="0.3">
      <c r="A1665" s="527" t="s">
        <v>17</v>
      </c>
      <c r="B1665" s="505" t="s">
        <v>18</v>
      </c>
      <c r="C1665" s="494" t="s">
        <v>19</v>
      </c>
      <c r="D1665" s="494" t="s">
        <v>20</v>
      </c>
      <c r="E1665" s="494" t="s">
        <v>21</v>
      </c>
      <c r="F1665" s="494" t="s">
        <v>22</v>
      </c>
      <c r="G1665" s="494"/>
      <c r="H1665" s="492" t="s">
        <v>23</v>
      </c>
    </row>
    <row r="1666" spans="1:8" ht="27.6" x14ac:dyDescent="0.3">
      <c r="A1666" s="492"/>
      <c r="B1666" s="494"/>
      <c r="C1666" s="494"/>
      <c r="D1666" s="494"/>
      <c r="E1666" s="494"/>
      <c r="F1666" s="53" t="s">
        <v>24</v>
      </c>
      <c r="G1666" s="53" t="s">
        <v>25</v>
      </c>
      <c r="H1666" s="492"/>
    </row>
    <row r="1667" spans="1:8" ht="41.4" x14ac:dyDescent="0.3">
      <c r="A1667" s="57">
        <v>1</v>
      </c>
      <c r="B1667" s="60" t="s">
        <v>387</v>
      </c>
      <c r="C1667" s="57">
        <v>1</v>
      </c>
      <c r="D1667" s="56">
        <v>998719</v>
      </c>
      <c r="E1667" s="57">
        <v>3500</v>
      </c>
      <c r="F1667" s="58">
        <f>E1667*C1667*9%</f>
        <v>315</v>
      </c>
      <c r="G1667" s="58">
        <f>F1667</f>
        <v>315</v>
      </c>
      <c r="H1667" s="59">
        <f>G1667+F1667+E1667*C1667</f>
        <v>4130</v>
      </c>
    </row>
    <row r="1668" spans="1:8" x14ac:dyDescent="0.3">
      <c r="A1668" s="57"/>
      <c r="B1668" s="60"/>
      <c r="C1668" s="57"/>
      <c r="D1668" s="56"/>
      <c r="E1668" s="185"/>
      <c r="F1668" s="58"/>
      <c r="G1668" s="58"/>
      <c r="H1668" s="59"/>
    </row>
    <row r="1669" spans="1:8" x14ac:dyDescent="0.3">
      <c r="A1669" s="57"/>
      <c r="B1669" s="237"/>
      <c r="C1669" s="188"/>
      <c r="D1669" s="56"/>
      <c r="E1669" s="57"/>
      <c r="F1669" s="93"/>
      <c r="G1669" s="93"/>
      <c r="H1669" s="62"/>
    </row>
    <row r="1670" spans="1:8" x14ac:dyDescent="0.3">
      <c r="A1670" s="57"/>
      <c r="B1670" s="238"/>
      <c r="C1670" s="57"/>
      <c r="D1670" s="56"/>
      <c r="E1670" s="57"/>
      <c r="F1670" s="93"/>
      <c r="G1670" s="93"/>
      <c r="H1670" s="62"/>
    </row>
    <row r="1671" spans="1:8" x14ac:dyDescent="0.3">
      <c r="A1671" s="57"/>
      <c r="B1671" s="238"/>
      <c r="C1671" s="57"/>
      <c r="D1671" s="56"/>
      <c r="E1671" s="57"/>
      <c r="F1671" s="58"/>
      <c r="G1671" s="58"/>
      <c r="H1671" s="59"/>
    </row>
    <row r="1672" spans="1:8" x14ac:dyDescent="0.3">
      <c r="A1672" s="57"/>
      <c r="B1672" s="60"/>
      <c r="C1672" s="239"/>
      <c r="D1672" s="56"/>
      <c r="E1672" s="57"/>
      <c r="F1672" s="58"/>
      <c r="G1672" s="58"/>
      <c r="H1672" s="59"/>
    </row>
    <row r="1673" spans="1:8" x14ac:dyDescent="0.3">
      <c r="A1673" s="173"/>
      <c r="B1673" s="174"/>
      <c r="C1673" s="175"/>
      <c r="D1673" s="152"/>
      <c r="E1673" s="175"/>
      <c r="F1673" s="165"/>
      <c r="G1673" s="165"/>
      <c r="H1673" s="166"/>
    </row>
    <row r="1674" spans="1:8" x14ac:dyDescent="0.3">
      <c r="A1674" s="173"/>
      <c r="B1674" s="174"/>
      <c r="C1674" s="175"/>
      <c r="D1674" s="152"/>
      <c r="E1674" s="175"/>
      <c r="F1674" s="165"/>
      <c r="G1674" s="165"/>
      <c r="H1674" s="166"/>
    </row>
    <row r="1675" spans="1:8" x14ac:dyDescent="0.3">
      <c r="A1675" s="173"/>
      <c r="B1675" s="174"/>
      <c r="C1675" s="175"/>
      <c r="D1675" s="152"/>
      <c r="E1675" s="175"/>
      <c r="F1675" s="165"/>
      <c r="G1675" s="165"/>
      <c r="H1675" s="166"/>
    </row>
    <row r="1676" spans="1:8" x14ac:dyDescent="0.3">
      <c r="A1676" s="173"/>
      <c r="B1676" s="174"/>
      <c r="C1676" s="175"/>
      <c r="D1676" s="152"/>
      <c r="E1676" s="175"/>
      <c r="F1676" s="165"/>
      <c r="G1676" s="165"/>
      <c r="H1676" s="166"/>
    </row>
    <row r="1677" spans="1:8" x14ac:dyDescent="0.3">
      <c r="A1677" s="173"/>
      <c r="B1677" s="174"/>
      <c r="C1677" s="175"/>
      <c r="D1677" s="152"/>
      <c r="E1677" s="175"/>
      <c r="F1677" s="165"/>
      <c r="G1677" s="165"/>
      <c r="H1677" s="166"/>
    </row>
    <row r="1678" spans="1:8" x14ac:dyDescent="0.3">
      <c r="A1678" s="173"/>
      <c r="B1678" s="174"/>
      <c r="C1678" s="175"/>
      <c r="D1678" s="152"/>
      <c r="E1678" s="175"/>
      <c r="F1678" s="165"/>
      <c r="G1678" s="165"/>
      <c r="H1678" s="166"/>
    </row>
    <row r="1679" spans="1:8" x14ac:dyDescent="0.3">
      <c r="A1679" s="173"/>
      <c r="B1679" s="174"/>
      <c r="C1679" s="175"/>
      <c r="D1679" s="152"/>
      <c r="E1679" s="175"/>
      <c r="F1679" s="165"/>
      <c r="G1679" s="165"/>
      <c r="H1679" s="166"/>
    </row>
    <row r="1680" spans="1:8" x14ac:dyDescent="0.3">
      <c r="A1680" s="173"/>
      <c r="B1680" s="174"/>
      <c r="C1680" s="175"/>
      <c r="D1680" s="152"/>
      <c r="E1680" s="175"/>
      <c r="F1680" s="165"/>
      <c r="G1680" s="165"/>
      <c r="H1680" s="166"/>
    </row>
    <row r="1681" spans="1:8" x14ac:dyDescent="0.3">
      <c r="A1681" s="173"/>
      <c r="B1681" s="174"/>
      <c r="C1681" s="175"/>
      <c r="D1681" s="152"/>
      <c r="E1681" s="175"/>
      <c r="F1681" s="165"/>
      <c r="G1681" s="165"/>
      <c r="H1681" s="166"/>
    </row>
    <row r="1682" spans="1:8" x14ac:dyDescent="0.3">
      <c r="A1682" s="173"/>
      <c r="B1682" s="174"/>
      <c r="C1682" s="175"/>
      <c r="D1682" s="152"/>
      <c r="E1682" s="175"/>
      <c r="F1682" s="165"/>
      <c r="G1682" s="165"/>
      <c r="H1682" s="166"/>
    </row>
    <row r="1683" spans="1:8" x14ac:dyDescent="0.3">
      <c r="A1683" s="173"/>
      <c r="B1683" s="174"/>
      <c r="C1683" s="175"/>
      <c r="D1683" s="152"/>
      <c r="E1683" s="175"/>
      <c r="F1683" s="165"/>
      <c r="G1683" s="165"/>
      <c r="H1683" s="166"/>
    </row>
    <row r="1684" spans="1:8" x14ac:dyDescent="0.3">
      <c r="A1684" s="27"/>
      <c r="B1684" s="174"/>
      <c r="C1684" s="24"/>
      <c r="D1684" s="152"/>
      <c r="E1684" s="175"/>
      <c r="F1684" s="175"/>
      <c r="G1684" s="162"/>
      <c r="H1684" s="154"/>
    </row>
    <row r="1685" spans="1:8" x14ac:dyDescent="0.3">
      <c r="A1685" s="27"/>
      <c r="B1685" s="174"/>
      <c r="C1685" s="24"/>
      <c r="D1685" s="152"/>
      <c r="E1685" s="25"/>
      <c r="F1685" s="175"/>
      <c r="G1685" s="162"/>
      <c r="H1685" s="154"/>
    </row>
    <row r="1686" spans="1:8" x14ac:dyDescent="0.3">
      <c r="A1686" s="27"/>
      <c r="B1686" s="28"/>
      <c r="C1686" s="24"/>
      <c r="D1686" s="152"/>
      <c r="E1686" s="25"/>
      <c r="F1686" s="175"/>
      <c r="G1686" s="162"/>
      <c r="H1686" s="154"/>
    </row>
    <row r="1687" spans="1:8" x14ac:dyDescent="0.3">
      <c r="A1687" s="27"/>
      <c r="B1687" s="28"/>
      <c r="C1687" s="24"/>
      <c r="D1687" s="25"/>
      <c r="E1687" s="25"/>
      <c r="F1687" s="25"/>
      <c r="G1687" s="28"/>
      <c r="H1687" s="32"/>
    </row>
    <row r="1688" spans="1:8" ht="15.6" x14ac:dyDescent="0.3">
      <c r="A1688" s="448" t="s">
        <v>45</v>
      </c>
      <c r="B1688" s="449"/>
      <c r="C1688" s="24"/>
      <c r="D1688" s="25"/>
      <c r="E1688" s="25"/>
      <c r="F1688" s="447" t="s">
        <v>46</v>
      </c>
      <c r="G1688" s="447"/>
      <c r="H1688" s="66">
        <f>E1667*C1667+E1668*C1668</f>
        <v>3500</v>
      </c>
    </row>
    <row r="1689" spans="1:8" ht="15.6" x14ac:dyDescent="0.3">
      <c r="A1689" s="497" t="s">
        <v>384</v>
      </c>
      <c r="B1689" s="498"/>
      <c r="C1689" s="498"/>
      <c r="D1689" s="498"/>
      <c r="E1689" s="498"/>
      <c r="F1689" s="447" t="s">
        <v>47</v>
      </c>
      <c r="G1689" s="447"/>
      <c r="H1689" s="66">
        <f>H1688*9%</f>
        <v>315</v>
      </c>
    </row>
    <row r="1690" spans="1:8" ht="15.6" x14ac:dyDescent="0.3">
      <c r="A1690" s="27"/>
      <c r="B1690" s="28"/>
      <c r="C1690" s="24"/>
      <c r="D1690" s="25"/>
      <c r="E1690" s="25"/>
      <c r="F1690" s="447" t="s">
        <v>48</v>
      </c>
      <c r="G1690" s="447"/>
      <c r="H1690" s="66">
        <f>H1689</f>
        <v>315</v>
      </c>
    </row>
    <row r="1691" spans="1:8" ht="15.6" x14ac:dyDescent="0.3">
      <c r="A1691" s="448" t="s">
        <v>49</v>
      </c>
      <c r="B1691" s="449"/>
      <c r="C1691" s="24"/>
      <c r="D1691" s="25"/>
      <c r="E1691" s="25"/>
      <c r="F1691" s="447" t="s">
        <v>50</v>
      </c>
      <c r="G1691" s="447"/>
      <c r="H1691" s="66">
        <f>H1688+H1689+H1690</f>
        <v>4130</v>
      </c>
    </row>
    <row r="1692" spans="1:8" ht="15.6" x14ac:dyDescent="0.3">
      <c r="A1692" s="90"/>
      <c r="B1692" s="177"/>
      <c r="C1692" s="24"/>
      <c r="D1692" s="25"/>
      <c r="E1692" s="25"/>
      <c r="F1692" s="26"/>
      <c r="G1692" s="26"/>
      <c r="H1692" s="66"/>
    </row>
    <row r="1693" spans="1:8" ht="27" x14ac:dyDescent="0.3">
      <c r="A1693" s="29" t="s">
        <v>22</v>
      </c>
      <c r="B1693" s="30" t="s">
        <v>51</v>
      </c>
      <c r="C1693" s="31" t="s">
        <v>24</v>
      </c>
      <c r="D1693" s="31" t="s">
        <v>25</v>
      </c>
      <c r="E1693" s="528" t="s">
        <v>52</v>
      </c>
      <c r="F1693" s="528"/>
      <c r="G1693" s="28"/>
      <c r="H1693" s="32"/>
    </row>
    <row r="1694" spans="1:8" x14ac:dyDescent="0.3">
      <c r="A1694" s="33">
        <v>0.18</v>
      </c>
      <c r="B1694" s="34">
        <f>H1688</f>
        <v>3500</v>
      </c>
      <c r="C1694" s="240">
        <f>H1689</f>
        <v>315</v>
      </c>
      <c r="D1694" s="240">
        <f>H1690</f>
        <v>315</v>
      </c>
      <c r="E1694" s="529">
        <f>C1694+D1694</f>
        <v>630</v>
      </c>
      <c r="F1694" s="530"/>
      <c r="G1694" s="28"/>
      <c r="H1694" s="32"/>
    </row>
    <row r="1695" spans="1:8" x14ac:dyDescent="0.3">
      <c r="A1695" s="452" t="s">
        <v>385</v>
      </c>
      <c r="B1695" s="453"/>
      <c r="C1695" s="453"/>
      <c r="D1695" s="453"/>
      <c r="E1695" s="453"/>
      <c r="F1695" s="453"/>
      <c r="G1695" s="453"/>
      <c r="H1695" s="454"/>
    </row>
    <row r="1696" spans="1:8" ht="15.6" x14ac:dyDescent="0.3">
      <c r="A1696" s="455" t="s">
        <v>53</v>
      </c>
      <c r="B1696" s="456"/>
      <c r="C1696" s="456"/>
      <c r="D1696" s="457"/>
      <c r="E1696" s="458" t="s">
        <v>54</v>
      </c>
      <c r="F1696" s="459"/>
      <c r="G1696" s="459"/>
      <c r="H1696" s="460"/>
    </row>
    <row r="1697" spans="1:11" x14ac:dyDescent="0.3">
      <c r="A1697" s="461" t="s">
        <v>55</v>
      </c>
      <c r="B1697" s="462"/>
      <c r="C1697" s="462"/>
      <c r="D1697" s="463"/>
      <c r="E1697" s="39"/>
      <c r="F1697" s="25"/>
      <c r="G1697" s="28"/>
      <c r="H1697" s="32"/>
    </row>
    <row r="1698" spans="1:11" x14ac:dyDescent="0.3">
      <c r="A1698" s="461" t="s">
        <v>56</v>
      </c>
      <c r="B1698" s="462"/>
      <c r="C1698" s="462"/>
      <c r="D1698" s="463"/>
      <c r="E1698" s="39"/>
      <c r="F1698" s="25"/>
      <c r="G1698" s="28"/>
      <c r="H1698" s="32"/>
    </row>
    <row r="1699" spans="1:11" x14ac:dyDescent="0.3">
      <c r="A1699" s="461" t="s">
        <v>57</v>
      </c>
      <c r="B1699" s="462"/>
      <c r="C1699" s="462"/>
      <c r="D1699" s="463"/>
      <c r="E1699" s="39"/>
      <c r="F1699" s="25"/>
      <c r="G1699" s="28"/>
      <c r="H1699" s="32"/>
    </row>
    <row r="1700" spans="1:11" ht="15.6" x14ac:dyDescent="0.3">
      <c r="A1700" s="464" t="s">
        <v>58</v>
      </c>
      <c r="B1700" s="465"/>
      <c r="C1700" s="465"/>
      <c r="D1700" s="510"/>
      <c r="E1700" s="466" t="s">
        <v>59</v>
      </c>
      <c r="F1700" s="467"/>
      <c r="G1700" s="467"/>
      <c r="H1700" s="468"/>
    </row>
    <row r="1704" spans="1:11" ht="44.4" x14ac:dyDescent="0.7">
      <c r="A1704" s="469" t="s">
        <v>0</v>
      </c>
      <c r="B1704" s="470"/>
      <c r="C1704" s="470"/>
      <c r="D1704" s="470"/>
      <c r="E1704" s="471" t="s">
        <v>1</v>
      </c>
      <c r="F1704" s="472"/>
      <c r="G1704" s="472"/>
      <c r="H1704" s="473"/>
      <c r="K1704" t="s">
        <v>393</v>
      </c>
    </row>
    <row r="1705" spans="1:11" ht="20.399999999999999" x14ac:dyDescent="0.35">
      <c r="A1705" s="1"/>
      <c r="B1705" s="476" t="s">
        <v>2</v>
      </c>
      <c r="C1705" s="476"/>
      <c r="D1705" s="476"/>
      <c r="E1705" s="474"/>
      <c r="F1705" s="474"/>
      <c r="G1705" s="474"/>
      <c r="H1705" s="475"/>
    </row>
    <row r="1706" spans="1:11" x14ac:dyDescent="0.3">
      <c r="A1706" s="477" t="s">
        <v>3</v>
      </c>
      <c r="B1706" s="478"/>
      <c r="C1706" s="479" t="s">
        <v>4</v>
      </c>
      <c r="D1706" s="479"/>
      <c r="E1706" s="480" t="s">
        <v>5</v>
      </c>
      <c r="F1706" s="480"/>
      <c r="G1706" s="480"/>
      <c r="H1706" s="480"/>
    </row>
    <row r="1707" spans="1:11" ht="15.6" x14ac:dyDescent="0.3">
      <c r="A1707" s="138" t="s">
        <v>6</v>
      </c>
      <c r="B1707" s="5"/>
      <c r="C1707" s="512" t="s">
        <v>7</v>
      </c>
      <c r="D1707" s="513"/>
      <c r="E1707" s="482">
        <v>38</v>
      </c>
      <c r="F1707" s="482"/>
      <c r="G1707" s="7" t="s">
        <v>8</v>
      </c>
      <c r="H1707" s="9" t="s">
        <v>388</v>
      </c>
    </row>
    <row r="1708" spans="1:11" ht="15.6" x14ac:dyDescent="0.3">
      <c r="A1708" s="514" t="s">
        <v>389</v>
      </c>
      <c r="B1708" s="515"/>
      <c r="C1708" s="516" t="s">
        <v>10</v>
      </c>
      <c r="D1708" s="481"/>
      <c r="E1708" s="482"/>
      <c r="F1708" s="482"/>
      <c r="G1708" s="7" t="s">
        <v>8</v>
      </c>
      <c r="H1708" s="9"/>
    </row>
    <row r="1709" spans="1:11" s="99" customFormat="1" ht="28.5" customHeight="1" x14ac:dyDescent="0.3">
      <c r="A1709" s="517" t="s">
        <v>391</v>
      </c>
      <c r="B1709" s="518"/>
      <c r="C1709" s="484" t="s">
        <v>12</v>
      </c>
      <c r="D1709" s="519"/>
      <c r="E1709" s="554" t="s">
        <v>390</v>
      </c>
      <c r="F1709" s="555"/>
      <c r="G1709" s="10" t="s">
        <v>8</v>
      </c>
      <c r="H1709" s="11">
        <v>45844</v>
      </c>
      <c r="I1709" s="362"/>
    </row>
    <row r="1710" spans="1:11" ht="15.6" x14ac:dyDescent="0.3">
      <c r="A1710" s="180" t="s">
        <v>13</v>
      </c>
      <c r="B1710" s="13" t="s">
        <v>392</v>
      </c>
      <c r="C1710" s="521" t="s">
        <v>15</v>
      </c>
      <c r="D1710" s="522"/>
      <c r="E1710" s="523" t="s">
        <v>393</v>
      </c>
      <c r="F1710" s="524"/>
      <c r="G1710" s="524"/>
      <c r="H1710" s="6"/>
    </row>
    <row r="1711" spans="1:11" ht="15" x14ac:dyDescent="0.3">
      <c r="A1711" s="527" t="s">
        <v>17</v>
      </c>
      <c r="B1711" s="505" t="s">
        <v>18</v>
      </c>
      <c r="C1711" s="494" t="s">
        <v>19</v>
      </c>
      <c r="D1711" s="494" t="s">
        <v>20</v>
      </c>
      <c r="E1711" s="494" t="s">
        <v>21</v>
      </c>
      <c r="F1711" s="494"/>
      <c r="G1711" s="494"/>
      <c r="H1711" s="492" t="s">
        <v>23</v>
      </c>
    </row>
    <row r="1712" spans="1:11" ht="27.6" x14ac:dyDescent="0.3">
      <c r="A1712" s="492"/>
      <c r="B1712" s="494"/>
      <c r="C1712" s="494"/>
      <c r="D1712" s="494"/>
      <c r="E1712" s="494"/>
      <c r="F1712" s="53"/>
      <c r="G1712" s="53" t="s">
        <v>398</v>
      </c>
      <c r="H1712" s="492"/>
    </row>
    <row r="1713" spans="1:9" x14ac:dyDescent="0.3">
      <c r="A1713" s="57">
        <v>1</v>
      </c>
      <c r="B1713" s="60" t="s">
        <v>399</v>
      </c>
      <c r="C1713" s="57">
        <v>14</v>
      </c>
      <c r="D1713" s="56">
        <v>998719</v>
      </c>
      <c r="E1713" s="57">
        <v>2857.15</v>
      </c>
      <c r="F1713" s="58"/>
      <c r="G1713" s="58">
        <v>7200</v>
      </c>
      <c r="H1713" s="59">
        <f>G1713+F1713+E1713*C1713</f>
        <v>47200.1</v>
      </c>
      <c r="I1713" s="362">
        <f>E1713*C1713</f>
        <v>40000.1</v>
      </c>
    </row>
    <row r="1714" spans="1:9" x14ac:dyDescent="0.3">
      <c r="A1714" s="57"/>
      <c r="B1714" s="60"/>
      <c r="C1714" s="57"/>
      <c r="D1714" s="56"/>
      <c r="E1714" s="185"/>
      <c r="F1714" s="58"/>
      <c r="G1714" s="58"/>
      <c r="H1714" s="59"/>
    </row>
    <row r="1715" spans="1:9" x14ac:dyDescent="0.3">
      <c r="A1715" s="57"/>
      <c r="B1715" s="237"/>
      <c r="C1715" s="188"/>
      <c r="D1715" s="56"/>
      <c r="E1715" s="57"/>
      <c r="F1715" s="93"/>
      <c r="G1715" s="93"/>
      <c r="H1715" s="62"/>
    </row>
    <row r="1716" spans="1:9" x14ac:dyDescent="0.3">
      <c r="A1716" s="57"/>
      <c r="B1716" s="238"/>
      <c r="C1716" s="57"/>
      <c r="D1716" s="56"/>
      <c r="E1716" s="57"/>
      <c r="F1716" s="93"/>
      <c r="G1716" s="93"/>
      <c r="H1716" s="62"/>
    </row>
    <row r="1717" spans="1:9" x14ac:dyDescent="0.3">
      <c r="A1717" s="57"/>
      <c r="B1717" s="238"/>
      <c r="C1717" s="57"/>
      <c r="D1717" s="56"/>
      <c r="E1717" s="57"/>
      <c r="F1717" s="58"/>
      <c r="G1717" s="58"/>
      <c r="H1717" s="59"/>
    </row>
    <row r="1718" spans="1:9" x14ac:dyDescent="0.3">
      <c r="A1718" s="57"/>
      <c r="B1718" s="60"/>
      <c r="C1718" s="239"/>
      <c r="D1718" s="56"/>
      <c r="E1718" s="57"/>
      <c r="F1718" s="58"/>
      <c r="G1718" s="58"/>
      <c r="H1718" s="59"/>
    </row>
    <row r="1719" spans="1:9" x14ac:dyDescent="0.3">
      <c r="A1719" s="173"/>
      <c r="B1719" s="174"/>
      <c r="C1719" s="175"/>
      <c r="D1719" s="152"/>
      <c r="E1719" s="175"/>
      <c r="F1719" s="165"/>
      <c r="G1719" s="165"/>
      <c r="H1719" s="166"/>
    </row>
    <row r="1720" spans="1:9" x14ac:dyDescent="0.3">
      <c r="A1720" s="173"/>
      <c r="B1720" s="174"/>
      <c r="C1720" s="175"/>
      <c r="D1720" s="152"/>
      <c r="E1720" s="175"/>
      <c r="F1720" s="165"/>
      <c r="G1720" s="165"/>
      <c r="H1720" s="166"/>
    </row>
    <row r="1721" spans="1:9" x14ac:dyDescent="0.3">
      <c r="A1721" s="173"/>
      <c r="B1721" s="174"/>
      <c r="C1721" s="175"/>
      <c r="D1721" s="152"/>
      <c r="E1721" s="175"/>
      <c r="F1721" s="165"/>
      <c r="G1721" s="165"/>
      <c r="H1721" s="166"/>
    </row>
    <row r="1722" spans="1:9" x14ac:dyDescent="0.3">
      <c r="A1722" s="173"/>
      <c r="B1722" s="174"/>
      <c r="C1722" s="175"/>
      <c r="D1722" s="152"/>
      <c r="E1722" s="175"/>
      <c r="F1722" s="165"/>
      <c r="G1722" s="165"/>
      <c r="H1722" s="166"/>
    </row>
    <row r="1723" spans="1:9" x14ac:dyDescent="0.3">
      <c r="A1723" s="173"/>
      <c r="B1723" s="174"/>
      <c r="C1723" s="175"/>
      <c r="D1723" s="152"/>
      <c r="E1723" s="175"/>
      <c r="F1723" s="165"/>
      <c r="G1723" s="165"/>
      <c r="H1723" s="166"/>
    </row>
    <row r="1724" spans="1:9" x14ac:dyDescent="0.3">
      <c r="A1724" s="173"/>
      <c r="B1724" s="174"/>
      <c r="C1724" s="175"/>
      <c r="D1724" s="152"/>
      <c r="E1724" s="175"/>
      <c r="F1724" s="165"/>
      <c r="G1724" s="165"/>
      <c r="H1724" s="166"/>
    </row>
    <row r="1725" spans="1:9" x14ac:dyDescent="0.3">
      <c r="A1725" s="173"/>
      <c r="B1725" s="174"/>
      <c r="C1725" s="175"/>
      <c r="D1725" s="152"/>
      <c r="E1725" s="175"/>
      <c r="F1725" s="165"/>
      <c r="G1725" s="165"/>
      <c r="H1725" s="166"/>
    </row>
    <row r="1726" spans="1:9" x14ac:dyDescent="0.3">
      <c r="A1726" s="173"/>
      <c r="B1726" s="174"/>
      <c r="C1726" s="175"/>
      <c r="D1726" s="152"/>
      <c r="E1726" s="175"/>
      <c r="F1726" s="165"/>
      <c r="G1726" s="165"/>
      <c r="H1726" s="166"/>
    </row>
    <row r="1727" spans="1:9" x14ac:dyDescent="0.3">
      <c r="A1727" s="173"/>
      <c r="B1727" s="174"/>
      <c r="C1727" s="175"/>
      <c r="D1727" s="152"/>
      <c r="E1727" s="175"/>
      <c r="F1727" s="165"/>
      <c r="G1727" s="165"/>
      <c r="H1727" s="166"/>
    </row>
    <row r="1728" spans="1:9" x14ac:dyDescent="0.3">
      <c r="A1728" s="173"/>
      <c r="B1728" s="174"/>
      <c r="C1728" s="175"/>
      <c r="D1728" s="152"/>
      <c r="E1728" s="175"/>
      <c r="F1728" s="165"/>
      <c r="G1728" s="165"/>
      <c r="H1728" s="166"/>
    </row>
    <row r="1729" spans="1:8" x14ac:dyDescent="0.3">
      <c r="A1729" s="173"/>
      <c r="B1729" s="174"/>
      <c r="C1729" s="175"/>
      <c r="D1729" s="152"/>
      <c r="E1729" s="175"/>
      <c r="F1729" s="165"/>
      <c r="G1729" s="165"/>
      <c r="H1729" s="166"/>
    </row>
    <row r="1730" spans="1:8" x14ac:dyDescent="0.3">
      <c r="A1730" s="27"/>
      <c r="B1730" s="174"/>
      <c r="C1730" s="24"/>
      <c r="D1730" s="152"/>
      <c r="E1730" s="175"/>
      <c r="F1730" s="175"/>
      <c r="G1730" s="162"/>
      <c r="H1730" s="154"/>
    </row>
    <row r="1731" spans="1:8" x14ac:dyDescent="0.3">
      <c r="A1731" s="27"/>
      <c r="B1731" s="174"/>
      <c r="C1731" s="24"/>
      <c r="D1731" s="152"/>
      <c r="E1731" s="25"/>
      <c r="F1731" s="175"/>
      <c r="G1731" s="162"/>
      <c r="H1731" s="154"/>
    </row>
    <row r="1732" spans="1:8" x14ac:dyDescent="0.3">
      <c r="A1732" s="27"/>
      <c r="B1732" s="28"/>
      <c r="C1732" s="24"/>
      <c r="D1732" s="152"/>
      <c r="E1732" s="25"/>
      <c r="F1732" s="175"/>
      <c r="G1732" s="162"/>
      <c r="H1732" s="154"/>
    </row>
    <row r="1733" spans="1:8" x14ac:dyDescent="0.3">
      <c r="A1733" s="27"/>
      <c r="B1733" s="28"/>
      <c r="C1733" s="24"/>
      <c r="D1733" s="25"/>
      <c r="E1733" s="25"/>
      <c r="F1733" s="25"/>
      <c r="G1733" s="28"/>
      <c r="H1733" s="32"/>
    </row>
    <row r="1734" spans="1:8" ht="15.6" x14ac:dyDescent="0.3">
      <c r="A1734" s="448" t="s">
        <v>45</v>
      </c>
      <c r="B1734" s="449"/>
      <c r="C1734" s="24"/>
      <c r="D1734" s="25"/>
      <c r="E1734" s="25"/>
      <c r="F1734" s="447" t="s">
        <v>46</v>
      </c>
      <c r="G1734" s="447"/>
      <c r="H1734" s="66">
        <f>E1713*C1713+E1714*C1714</f>
        <v>40000.1</v>
      </c>
    </row>
    <row r="1735" spans="1:8" ht="15.6" x14ac:dyDescent="0.3">
      <c r="A1735" s="497" t="s">
        <v>394</v>
      </c>
      <c r="B1735" s="498"/>
      <c r="C1735" s="498"/>
      <c r="D1735" s="498"/>
      <c r="E1735" s="498"/>
      <c r="F1735" s="447"/>
      <c r="G1735" s="447"/>
      <c r="H1735" s="66"/>
    </row>
    <row r="1736" spans="1:8" ht="15.6" x14ac:dyDescent="0.3">
      <c r="A1736" s="27"/>
      <c r="B1736" s="28"/>
      <c r="C1736" s="24"/>
      <c r="D1736" s="25"/>
      <c r="E1736" s="25"/>
      <c r="F1736" s="447" t="s">
        <v>396</v>
      </c>
      <c r="G1736" s="447"/>
      <c r="H1736" s="66">
        <v>7200</v>
      </c>
    </row>
    <row r="1737" spans="1:8" ht="15.6" x14ac:dyDescent="0.3">
      <c r="A1737" s="448" t="s">
        <v>49</v>
      </c>
      <c r="B1737" s="449"/>
      <c r="C1737" s="24"/>
      <c r="D1737" s="25"/>
      <c r="E1737" s="25"/>
      <c r="F1737" s="447" t="s">
        <v>50</v>
      </c>
      <c r="G1737" s="447"/>
      <c r="H1737" s="66">
        <f>H1734+H1735+H1736</f>
        <v>47200.1</v>
      </c>
    </row>
    <row r="1738" spans="1:8" ht="15.6" x14ac:dyDescent="0.3">
      <c r="A1738" s="90"/>
      <c r="B1738" s="177"/>
      <c r="C1738" s="24"/>
      <c r="D1738" s="25"/>
      <c r="E1738" s="25"/>
      <c r="F1738" s="26"/>
      <c r="G1738" s="26"/>
      <c r="H1738" s="66"/>
    </row>
    <row r="1739" spans="1:8" ht="27" x14ac:dyDescent="0.3">
      <c r="A1739" s="29" t="s">
        <v>22</v>
      </c>
      <c r="B1739" s="30" t="s">
        <v>51</v>
      </c>
      <c r="C1739" s="31"/>
      <c r="D1739" s="31" t="s">
        <v>397</v>
      </c>
      <c r="E1739" s="528" t="s">
        <v>52</v>
      </c>
      <c r="F1739" s="528"/>
      <c r="G1739" s="28"/>
      <c r="H1739" s="32"/>
    </row>
    <row r="1740" spans="1:8" x14ac:dyDescent="0.3">
      <c r="A1740" s="33">
        <v>0.18</v>
      </c>
      <c r="B1740" s="34">
        <f>H1734</f>
        <v>40000.1</v>
      </c>
      <c r="C1740" s="240"/>
      <c r="D1740" s="240">
        <f>H1736</f>
        <v>7200</v>
      </c>
      <c r="E1740" s="529">
        <f>C1740+D1740</f>
        <v>7200</v>
      </c>
      <c r="F1740" s="530"/>
      <c r="G1740" s="28"/>
      <c r="H1740" s="32"/>
    </row>
    <row r="1741" spans="1:8" x14ac:dyDescent="0.3">
      <c r="A1741" s="452" t="s">
        <v>395</v>
      </c>
      <c r="B1741" s="453"/>
      <c r="C1741" s="453"/>
      <c r="D1741" s="453"/>
      <c r="E1741" s="453"/>
      <c r="F1741" s="453"/>
      <c r="G1741" s="453"/>
      <c r="H1741" s="454"/>
    </row>
    <row r="1742" spans="1:8" ht="15.6" x14ac:dyDescent="0.3">
      <c r="A1742" s="455" t="s">
        <v>53</v>
      </c>
      <c r="B1742" s="456"/>
      <c r="C1742" s="456"/>
      <c r="D1742" s="457"/>
      <c r="E1742" s="458" t="s">
        <v>54</v>
      </c>
      <c r="F1742" s="459"/>
      <c r="G1742" s="459"/>
      <c r="H1742" s="460"/>
    </row>
    <row r="1743" spans="1:8" x14ac:dyDescent="0.3">
      <c r="A1743" s="461" t="s">
        <v>55</v>
      </c>
      <c r="B1743" s="462"/>
      <c r="C1743" s="462"/>
      <c r="D1743" s="463"/>
      <c r="E1743" s="39"/>
      <c r="F1743" s="25"/>
      <c r="G1743" s="28"/>
      <c r="H1743" s="32"/>
    </row>
    <row r="1744" spans="1:8" x14ac:dyDescent="0.3">
      <c r="A1744" s="461" t="s">
        <v>56</v>
      </c>
      <c r="B1744" s="462"/>
      <c r="C1744" s="462"/>
      <c r="D1744" s="463"/>
      <c r="E1744" s="39"/>
      <c r="F1744" s="25"/>
      <c r="G1744" s="28"/>
      <c r="H1744" s="32"/>
    </row>
    <row r="1745" spans="1:9" x14ac:dyDescent="0.3">
      <c r="A1745" s="461" t="s">
        <v>57</v>
      </c>
      <c r="B1745" s="462"/>
      <c r="C1745" s="462"/>
      <c r="D1745" s="463"/>
      <c r="E1745" s="39"/>
      <c r="F1745" s="25"/>
      <c r="G1745" s="28"/>
      <c r="H1745" s="32"/>
    </row>
    <row r="1746" spans="1:9" ht="15.6" x14ac:dyDescent="0.3">
      <c r="A1746" s="464" t="s">
        <v>58</v>
      </c>
      <c r="B1746" s="465"/>
      <c r="C1746" s="465"/>
      <c r="D1746" s="510"/>
      <c r="E1746" s="466" t="s">
        <v>59</v>
      </c>
      <c r="F1746" s="467"/>
      <c r="G1746" s="467"/>
      <c r="H1746" s="468"/>
    </row>
    <row r="1749" spans="1:9" ht="44.4" x14ac:dyDescent="0.7">
      <c r="A1749" s="469" t="s">
        <v>0</v>
      </c>
      <c r="B1749" s="470"/>
      <c r="C1749" s="470"/>
      <c r="D1749" s="470"/>
      <c r="E1749" s="471" t="s">
        <v>1</v>
      </c>
      <c r="F1749" s="472"/>
      <c r="G1749" s="472"/>
      <c r="H1749" s="473"/>
    </row>
    <row r="1750" spans="1:9" ht="20.399999999999999" x14ac:dyDescent="0.35">
      <c r="A1750" s="1"/>
      <c r="B1750" s="476" t="s">
        <v>2</v>
      </c>
      <c r="C1750" s="476"/>
      <c r="D1750" s="476"/>
      <c r="E1750" s="474"/>
      <c r="F1750" s="474"/>
      <c r="G1750" s="474"/>
      <c r="H1750" s="475"/>
    </row>
    <row r="1751" spans="1:9" x14ac:dyDescent="0.3">
      <c r="A1751" s="477" t="s">
        <v>3</v>
      </c>
      <c r="B1751" s="478"/>
      <c r="C1751" s="479" t="s">
        <v>4</v>
      </c>
      <c r="D1751" s="479"/>
      <c r="E1751" s="480" t="s">
        <v>5</v>
      </c>
      <c r="F1751" s="480"/>
      <c r="G1751" s="480"/>
      <c r="H1751" s="480"/>
    </row>
    <row r="1752" spans="1:9" ht="15.6" x14ac:dyDescent="0.3">
      <c r="A1752" s="138" t="s">
        <v>6</v>
      </c>
      <c r="B1752" s="5"/>
      <c r="C1752" s="512" t="s">
        <v>7</v>
      </c>
      <c r="D1752" s="513"/>
      <c r="E1752" s="482">
        <v>39</v>
      </c>
      <c r="F1752" s="482"/>
      <c r="G1752" s="7" t="s">
        <v>8</v>
      </c>
      <c r="H1752" s="9" t="s">
        <v>388</v>
      </c>
    </row>
    <row r="1753" spans="1:9" ht="15.6" x14ac:dyDescent="0.3">
      <c r="A1753" s="514" t="s">
        <v>400</v>
      </c>
      <c r="B1753" s="515"/>
      <c r="C1753" s="516" t="s">
        <v>10</v>
      </c>
      <c r="D1753" s="481"/>
      <c r="E1753" s="482"/>
      <c r="F1753" s="482"/>
      <c r="G1753" s="7" t="s">
        <v>8</v>
      </c>
      <c r="H1753" s="9"/>
    </row>
    <row r="1754" spans="1:9" ht="15" x14ac:dyDescent="0.3">
      <c r="A1754" s="517" t="s">
        <v>401</v>
      </c>
      <c r="B1754" s="518"/>
      <c r="C1754" s="484" t="s">
        <v>12</v>
      </c>
      <c r="D1754" s="519"/>
      <c r="E1754" s="520"/>
      <c r="F1754" s="520"/>
      <c r="G1754" s="10" t="s">
        <v>8</v>
      </c>
      <c r="H1754" s="11"/>
    </row>
    <row r="1755" spans="1:9" ht="15.6" x14ac:dyDescent="0.3">
      <c r="A1755" s="517" t="s">
        <v>402</v>
      </c>
      <c r="B1755" s="518"/>
      <c r="C1755" s="521" t="s">
        <v>15</v>
      </c>
      <c r="D1755" s="522"/>
      <c r="E1755" s="523" t="s">
        <v>404</v>
      </c>
      <c r="F1755" s="524"/>
      <c r="G1755" s="524"/>
      <c r="H1755" s="6"/>
    </row>
    <row r="1756" spans="1:9" ht="15.6" x14ac:dyDescent="0.3">
      <c r="A1756" s="180" t="s">
        <v>13</v>
      </c>
      <c r="B1756" s="13" t="s">
        <v>403</v>
      </c>
      <c r="C1756" s="230"/>
      <c r="D1756" s="231"/>
      <c r="E1756" s="232"/>
      <c r="F1756" s="233"/>
      <c r="G1756" s="233"/>
      <c r="H1756" s="231"/>
    </row>
    <row r="1757" spans="1:9" ht="15" x14ac:dyDescent="0.3">
      <c r="A1757" s="527" t="s">
        <v>17</v>
      </c>
      <c r="B1757" s="505" t="s">
        <v>18</v>
      </c>
      <c r="C1757" s="494" t="s">
        <v>19</v>
      </c>
      <c r="D1757" s="494" t="s">
        <v>20</v>
      </c>
      <c r="E1757" s="494" t="s">
        <v>21</v>
      </c>
      <c r="F1757" s="494" t="s">
        <v>22</v>
      </c>
      <c r="G1757" s="494"/>
      <c r="H1757" s="492" t="s">
        <v>23</v>
      </c>
    </row>
    <row r="1758" spans="1:9" ht="27.6" x14ac:dyDescent="0.3">
      <c r="A1758" s="492"/>
      <c r="B1758" s="494"/>
      <c r="C1758" s="494"/>
      <c r="D1758" s="494"/>
      <c r="E1758" s="494"/>
      <c r="F1758" s="53" t="s">
        <v>24</v>
      </c>
      <c r="G1758" s="53" t="s">
        <v>25</v>
      </c>
      <c r="H1758" s="492"/>
    </row>
    <row r="1759" spans="1:9" x14ac:dyDescent="0.3">
      <c r="A1759" s="57">
        <v>1</v>
      </c>
      <c r="B1759" s="60" t="s">
        <v>405</v>
      </c>
      <c r="C1759" s="57">
        <v>2</v>
      </c>
      <c r="D1759" s="56">
        <v>854690</v>
      </c>
      <c r="E1759" s="57">
        <v>4000</v>
      </c>
      <c r="F1759" s="58">
        <f>E1759*C1759*9%</f>
        <v>720</v>
      </c>
      <c r="G1759" s="58">
        <f>F1759</f>
        <v>720</v>
      </c>
      <c r="H1759" s="59">
        <f>G1759+F1759+E1759*C1759</f>
        <v>9440</v>
      </c>
      <c r="I1759" s="362">
        <f>E1759*C1759</f>
        <v>8000</v>
      </c>
    </row>
    <row r="1760" spans="1:9" x14ac:dyDescent="0.3">
      <c r="A1760" s="57">
        <v>2</v>
      </c>
      <c r="B1760" s="60" t="s">
        <v>406</v>
      </c>
      <c r="C1760" s="57">
        <v>1</v>
      </c>
      <c r="D1760" s="56">
        <v>998719</v>
      </c>
      <c r="E1760" s="185">
        <v>5500</v>
      </c>
      <c r="F1760" s="58">
        <f>E1760*C1760*9%</f>
        <v>495</v>
      </c>
      <c r="G1760" s="58">
        <f>F1760</f>
        <v>495</v>
      </c>
      <c r="H1760" s="59">
        <f>G1760+F1760+E1760*C1760</f>
        <v>6490</v>
      </c>
      <c r="I1760" s="362">
        <f>E1760*C1760</f>
        <v>5500</v>
      </c>
    </row>
    <row r="1761" spans="1:8" x14ac:dyDescent="0.3">
      <c r="A1761" s="57"/>
      <c r="B1761" s="237"/>
      <c r="C1761" s="188"/>
      <c r="D1761" s="56"/>
      <c r="E1761" s="57"/>
      <c r="F1761" s="93"/>
      <c r="G1761" s="93"/>
      <c r="H1761" s="62"/>
    </row>
    <row r="1762" spans="1:8" x14ac:dyDescent="0.3">
      <c r="A1762" s="57"/>
      <c r="B1762" s="238"/>
      <c r="C1762" s="57"/>
      <c r="D1762" s="56"/>
      <c r="E1762" s="57"/>
      <c r="F1762" s="93"/>
      <c r="G1762" s="93"/>
      <c r="H1762" s="62"/>
    </row>
    <row r="1763" spans="1:8" x14ac:dyDescent="0.3">
      <c r="A1763" s="57"/>
      <c r="B1763" s="238"/>
      <c r="C1763" s="57"/>
      <c r="D1763" s="56"/>
      <c r="E1763" s="57"/>
      <c r="F1763" s="58"/>
      <c r="G1763" s="58"/>
      <c r="H1763" s="59"/>
    </row>
    <row r="1764" spans="1:8" x14ac:dyDescent="0.3">
      <c r="A1764" s="57"/>
      <c r="B1764" s="60"/>
      <c r="C1764" s="239"/>
      <c r="D1764" s="56"/>
      <c r="E1764" s="57"/>
      <c r="F1764" s="58"/>
      <c r="G1764" s="58"/>
      <c r="H1764" s="59"/>
    </row>
    <row r="1765" spans="1:8" x14ac:dyDescent="0.3">
      <c r="A1765" s="173"/>
      <c r="B1765" s="174"/>
      <c r="C1765" s="175"/>
      <c r="D1765" s="152"/>
      <c r="E1765" s="175"/>
      <c r="F1765" s="165"/>
      <c r="G1765" s="165"/>
      <c r="H1765" s="166"/>
    </row>
    <row r="1766" spans="1:8" x14ac:dyDescent="0.3">
      <c r="A1766" s="173"/>
      <c r="B1766" s="174"/>
      <c r="C1766" s="175"/>
      <c r="D1766" s="152"/>
      <c r="E1766" s="175"/>
      <c r="F1766" s="165"/>
      <c r="G1766" s="165"/>
      <c r="H1766" s="166"/>
    </row>
    <row r="1767" spans="1:8" x14ac:dyDescent="0.3">
      <c r="A1767" s="173"/>
      <c r="B1767" s="174"/>
      <c r="C1767" s="175"/>
      <c r="D1767" s="152"/>
      <c r="E1767" s="175"/>
      <c r="F1767" s="165"/>
      <c r="G1767" s="165"/>
      <c r="H1767" s="166"/>
    </row>
    <row r="1768" spans="1:8" x14ac:dyDescent="0.3">
      <c r="A1768" s="173"/>
      <c r="B1768" s="174"/>
      <c r="C1768" s="175"/>
      <c r="D1768" s="152"/>
      <c r="E1768" s="175"/>
      <c r="F1768" s="165"/>
      <c r="G1768" s="165"/>
      <c r="H1768" s="166"/>
    </row>
    <row r="1769" spans="1:8" x14ac:dyDescent="0.3">
      <c r="A1769" s="173"/>
      <c r="B1769" s="174"/>
      <c r="C1769" s="175"/>
      <c r="D1769" s="152"/>
      <c r="E1769" s="175"/>
      <c r="F1769" s="165"/>
      <c r="G1769" s="165"/>
      <c r="H1769" s="166"/>
    </row>
    <row r="1770" spans="1:8" x14ac:dyDescent="0.3">
      <c r="A1770" s="173"/>
      <c r="B1770" s="174"/>
      <c r="C1770" s="175"/>
      <c r="D1770" s="152"/>
      <c r="E1770" s="175"/>
      <c r="F1770" s="165"/>
      <c r="G1770" s="165"/>
      <c r="H1770" s="166"/>
    </row>
    <row r="1771" spans="1:8" x14ac:dyDescent="0.3">
      <c r="A1771" s="173"/>
      <c r="B1771" s="174"/>
      <c r="C1771" s="175"/>
      <c r="D1771" s="152"/>
      <c r="E1771" s="175"/>
      <c r="F1771" s="165"/>
      <c r="G1771" s="165"/>
      <c r="H1771" s="166"/>
    </row>
    <row r="1772" spans="1:8" x14ac:dyDescent="0.3">
      <c r="A1772" s="173"/>
      <c r="B1772" s="174"/>
      <c r="C1772" s="175"/>
      <c r="D1772" s="152"/>
      <c r="E1772" s="175"/>
      <c r="F1772" s="165"/>
      <c r="G1772" s="165"/>
      <c r="H1772" s="166"/>
    </row>
    <row r="1773" spans="1:8" x14ac:dyDescent="0.3">
      <c r="A1773" s="173"/>
      <c r="B1773" s="174"/>
      <c r="C1773" s="175"/>
      <c r="D1773" s="152"/>
      <c r="E1773" s="175"/>
      <c r="F1773" s="165"/>
      <c r="G1773" s="165"/>
      <c r="H1773" s="166"/>
    </row>
    <row r="1774" spans="1:8" x14ac:dyDescent="0.3">
      <c r="A1774" s="173"/>
      <c r="B1774" s="174"/>
      <c r="C1774" s="175"/>
      <c r="D1774" s="152"/>
      <c r="E1774" s="175"/>
      <c r="F1774" s="165"/>
      <c r="G1774" s="165"/>
      <c r="H1774" s="166"/>
    </row>
    <row r="1775" spans="1:8" x14ac:dyDescent="0.3">
      <c r="A1775" s="173"/>
      <c r="B1775" s="174"/>
      <c r="C1775" s="175"/>
      <c r="D1775" s="152"/>
      <c r="E1775" s="175"/>
      <c r="F1775" s="165"/>
      <c r="G1775" s="165"/>
      <c r="H1775" s="166"/>
    </row>
    <row r="1776" spans="1:8" x14ac:dyDescent="0.3">
      <c r="A1776" s="27"/>
      <c r="B1776" s="174"/>
      <c r="C1776" s="24"/>
      <c r="D1776" s="152"/>
      <c r="E1776" s="175"/>
      <c r="F1776" s="175"/>
      <c r="G1776" s="162"/>
      <c r="H1776" s="154"/>
    </row>
    <row r="1777" spans="1:8" x14ac:dyDescent="0.3">
      <c r="A1777" s="27"/>
      <c r="B1777" s="174"/>
      <c r="C1777" s="24"/>
      <c r="D1777" s="152"/>
      <c r="E1777" s="25"/>
      <c r="F1777" s="175"/>
      <c r="G1777" s="162"/>
      <c r="H1777" s="154"/>
    </row>
    <row r="1778" spans="1:8" x14ac:dyDescent="0.3">
      <c r="A1778" s="27"/>
      <c r="B1778" s="28"/>
      <c r="C1778" s="24"/>
      <c r="D1778" s="152"/>
      <c r="E1778" s="25"/>
      <c r="F1778" s="175"/>
      <c r="G1778" s="162"/>
      <c r="H1778" s="154"/>
    </row>
    <row r="1779" spans="1:8" x14ac:dyDescent="0.3">
      <c r="A1779" s="27"/>
      <c r="B1779" s="28"/>
      <c r="C1779" s="24"/>
      <c r="D1779" s="25"/>
      <c r="E1779" s="25"/>
      <c r="F1779" s="25"/>
      <c r="G1779" s="28"/>
      <c r="H1779" s="32"/>
    </row>
    <row r="1780" spans="1:8" ht="15.6" x14ac:dyDescent="0.3">
      <c r="A1780" s="448" t="s">
        <v>45</v>
      </c>
      <c r="B1780" s="449"/>
      <c r="C1780" s="24"/>
      <c r="D1780" s="25"/>
      <c r="E1780" s="25"/>
      <c r="F1780" s="447" t="s">
        <v>46</v>
      </c>
      <c r="G1780" s="447"/>
      <c r="H1780" s="66">
        <f>E1759*C1759+E1760*C1760</f>
        <v>13500</v>
      </c>
    </row>
    <row r="1781" spans="1:8" ht="15.6" x14ac:dyDescent="0.3">
      <c r="A1781" s="497" t="s">
        <v>407</v>
      </c>
      <c r="B1781" s="498"/>
      <c r="C1781" s="498"/>
      <c r="D1781" s="498"/>
      <c r="E1781" s="498"/>
      <c r="F1781" s="447" t="s">
        <v>47</v>
      </c>
      <c r="G1781" s="447"/>
      <c r="H1781" s="66">
        <f>H1780*9%</f>
        <v>1215</v>
      </c>
    </row>
    <row r="1782" spans="1:8" ht="15.6" x14ac:dyDescent="0.3">
      <c r="A1782" s="27"/>
      <c r="B1782" s="28"/>
      <c r="C1782" s="24"/>
      <c r="D1782" s="25"/>
      <c r="E1782" s="25"/>
      <c r="F1782" s="447" t="s">
        <v>48</v>
      </c>
      <c r="G1782" s="447"/>
      <c r="H1782" s="66">
        <f>H1781</f>
        <v>1215</v>
      </c>
    </row>
    <row r="1783" spans="1:8" ht="15.6" x14ac:dyDescent="0.3">
      <c r="A1783" s="448" t="s">
        <v>49</v>
      </c>
      <c r="B1783" s="449"/>
      <c r="C1783" s="24"/>
      <c r="D1783" s="25"/>
      <c r="E1783" s="25"/>
      <c r="F1783" s="447" t="s">
        <v>50</v>
      </c>
      <c r="G1783" s="447"/>
      <c r="H1783" s="66">
        <f>H1780+H1781+H1782</f>
        <v>15930</v>
      </c>
    </row>
    <row r="1784" spans="1:8" ht="15.6" x14ac:dyDescent="0.3">
      <c r="A1784" s="90"/>
      <c r="B1784" s="177"/>
      <c r="C1784" s="24"/>
      <c r="D1784" s="25"/>
      <c r="E1784" s="25"/>
      <c r="F1784" s="26"/>
      <c r="G1784" s="26"/>
      <c r="H1784" s="66"/>
    </row>
    <row r="1785" spans="1:8" ht="27" x14ac:dyDescent="0.3">
      <c r="A1785" s="29" t="s">
        <v>22</v>
      </c>
      <c r="B1785" s="30" t="s">
        <v>51</v>
      </c>
      <c r="C1785" s="31" t="s">
        <v>24</v>
      </c>
      <c r="D1785" s="31" t="s">
        <v>25</v>
      </c>
      <c r="E1785" s="528" t="s">
        <v>52</v>
      </c>
      <c r="F1785" s="528"/>
      <c r="G1785" s="28"/>
      <c r="H1785" s="32"/>
    </row>
    <row r="1786" spans="1:8" x14ac:dyDescent="0.3">
      <c r="A1786" s="33">
        <v>0.18</v>
      </c>
      <c r="B1786" s="34">
        <f>H1780</f>
        <v>13500</v>
      </c>
      <c r="C1786" s="240">
        <f>H1781</f>
        <v>1215</v>
      </c>
      <c r="D1786" s="240">
        <f>H1782</f>
        <v>1215</v>
      </c>
      <c r="E1786" s="529">
        <f>C1786+D1786</f>
        <v>2430</v>
      </c>
      <c r="F1786" s="530"/>
      <c r="G1786" s="28"/>
      <c r="H1786" s="32"/>
    </row>
    <row r="1787" spans="1:8" x14ac:dyDescent="0.3">
      <c r="A1787" s="452" t="s">
        <v>408</v>
      </c>
      <c r="B1787" s="453"/>
      <c r="C1787" s="453"/>
      <c r="D1787" s="453"/>
      <c r="E1787" s="453"/>
      <c r="F1787" s="453"/>
      <c r="G1787" s="453"/>
      <c r="H1787" s="454"/>
    </row>
    <row r="1788" spans="1:8" ht="15.6" x14ac:dyDescent="0.3">
      <c r="A1788" s="455" t="s">
        <v>53</v>
      </c>
      <c r="B1788" s="456"/>
      <c r="C1788" s="456"/>
      <c r="D1788" s="457"/>
      <c r="E1788" s="458" t="s">
        <v>54</v>
      </c>
      <c r="F1788" s="459"/>
      <c r="G1788" s="459"/>
      <c r="H1788" s="460"/>
    </row>
    <row r="1789" spans="1:8" x14ac:dyDescent="0.3">
      <c r="A1789" s="461" t="s">
        <v>55</v>
      </c>
      <c r="B1789" s="462"/>
      <c r="C1789" s="462"/>
      <c r="D1789" s="463"/>
      <c r="E1789" s="39"/>
      <c r="F1789" s="25"/>
      <c r="G1789" s="28"/>
      <c r="H1789" s="32"/>
    </row>
    <row r="1790" spans="1:8" x14ac:dyDescent="0.3">
      <c r="A1790" s="461" t="s">
        <v>56</v>
      </c>
      <c r="B1790" s="462"/>
      <c r="C1790" s="462"/>
      <c r="D1790" s="463"/>
      <c r="E1790" s="39"/>
      <c r="F1790" s="25"/>
      <c r="G1790" s="28"/>
      <c r="H1790" s="32"/>
    </row>
    <row r="1791" spans="1:8" x14ac:dyDescent="0.3">
      <c r="A1791" s="461" t="s">
        <v>57</v>
      </c>
      <c r="B1791" s="462"/>
      <c r="C1791" s="462"/>
      <c r="D1791" s="463"/>
      <c r="E1791" s="39"/>
      <c r="F1791" s="25"/>
      <c r="G1791" s="28"/>
      <c r="H1791" s="32"/>
    </row>
    <row r="1792" spans="1:8" ht="15.6" x14ac:dyDescent="0.3">
      <c r="A1792" s="464" t="s">
        <v>58</v>
      </c>
      <c r="B1792" s="465"/>
      <c r="C1792" s="465"/>
      <c r="D1792" s="510"/>
      <c r="E1792" s="466" t="s">
        <v>59</v>
      </c>
      <c r="F1792" s="467"/>
      <c r="G1792" s="467"/>
      <c r="H1792" s="468"/>
    </row>
    <row r="1795" spans="1:9" ht="44.4" x14ac:dyDescent="0.7">
      <c r="A1795" s="469" t="s">
        <v>0</v>
      </c>
      <c r="B1795" s="470"/>
      <c r="C1795" s="470"/>
      <c r="D1795" s="470"/>
      <c r="E1795" s="471" t="s">
        <v>1</v>
      </c>
      <c r="F1795" s="472"/>
      <c r="G1795" s="472"/>
      <c r="H1795" s="473"/>
    </row>
    <row r="1796" spans="1:9" ht="20.399999999999999" x14ac:dyDescent="0.35">
      <c r="A1796" s="1"/>
      <c r="B1796" s="476" t="s">
        <v>2</v>
      </c>
      <c r="C1796" s="476"/>
      <c r="D1796" s="476"/>
      <c r="E1796" s="474"/>
      <c r="F1796" s="474"/>
      <c r="G1796" s="474"/>
      <c r="H1796" s="475"/>
    </row>
    <row r="1797" spans="1:9" x14ac:dyDescent="0.3">
      <c r="A1797" s="477" t="s">
        <v>3</v>
      </c>
      <c r="B1797" s="478"/>
      <c r="C1797" s="479" t="s">
        <v>4</v>
      </c>
      <c r="D1797" s="479"/>
      <c r="E1797" s="480" t="s">
        <v>5</v>
      </c>
      <c r="F1797" s="480"/>
      <c r="G1797" s="480"/>
      <c r="H1797" s="480"/>
    </row>
    <row r="1798" spans="1:9" ht="15.6" x14ac:dyDescent="0.3">
      <c r="A1798" s="4" t="s">
        <v>6</v>
      </c>
      <c r="B1798" s="5"/>
      <c r="C1798" s="481" t="s">
        <v>7</v>
      </c>
      <c r="D1798" s="481"/>
      <c r="E1798" s="482">
        <v>40</v>
      </c>
      <c r="F1798" s="482"/>
      <c r="G1798" s="7" t="s">
        <v>8</v>
      </c>
      <c r="H1798" s="8" t="s">
        <v>388</v>
      </c>
    </row>
    <row r="1799" spans="1:9" ht="15.6" x14ac:dyDescent="0.3">
      <c r="A1799" s="551" t="s">
        <v>71</v>
      </c>
      <c r="B1799" s="552"/>
      <c r="C1799" s="481" t="s">
        <v>10</v>
      </c>
      <c r="D1799" s="481"/>
      <c r="E1799" s="482"/>
      <c r="F1799" s="482"/>
      <c r="G1799" s="7" t="s">
        <v>8</v>
      </c>
      <c r="H1799" s="9"/>
    </row>
    <row r="1800" spans="1:9" ht="15" x14ac:dyDescent="0.3">
      <c r="A1800" s="517" t="s">
        <v>72</v>
      </c>
      <c r="B1800" s="553"/>
      <c r="C1800" s="483" t="s">
        <v>12</v>
      </c>
      <c r="D1800" s="484"/>
      <c r="E1800" s="584"/>
      <c r="F1800" s="585"/>
      <c r="G1800" s="10" t="s">
        <v>8</v>
      </c>
      <c r="H1800" s="82"/>
    </row>
    <row r="1801" spans="1:9" ht="15.6" x14ac:dyDescent="0.3">
      <c r="A1801" s="556" t="s">
        <v>73</v>
      </c>
      <c r="B1801" s="557"/>
      <c r="C1801" s="481" t="s">
        <v>15</v>
      </c>
      <c r="D1801" s="481"/>
      <c r="E1801" s="673" t="s">
        <v>74</v>
      </c>
      <c r="F1801" s="674"/>
      <c r="G1801" s="674"/>
      <c r="H1801" s="675"/>
    </row>
    <row r="1802" spans="1:9" ht="15.6" x14ac:dyDescent="0.3">
      <c r="A1802" s="558" t="s">
        <v>75</v>
      </c>
      <c r="B1802" s="559"/>
      <c r="C1802" s="489"/>
      <c r="D1802" s="490"/>
      <c r="E1802" s="490"/>
      <c r="F1802" s="490"/>
      <c r="G1802" s="490"/>
      <c r="H1802" s="491"/>
    </row>
    <row r="1803" spans="1:9" ht="15" x14ac:dyDescent="0.3">
      <c r="A1803" s="492" t="s">
        <v>17</v>
      </c>
      <c r="B1803" s="494" t="s">
        <v>18</v>
      </c>
      <c r="C1803" s="494" t="s">
        <v>19</v>
      </c>
      <c r="D1803" s="494" t="s">
        <v>20</v>
      </c>
      <c r="E1803" s="494" t="s">
        <v>21</v>
      </c>
      <c r="F1803" s="494" t="s">
        <v>22</v>
      </c>
      <c r="G1803" s="494"/>
      <c r="H1803" s="492" t="s">
        <v>23</v>
      </c>
    </row>
    <row r="1804" spans="1:9" ht="27.6" x14ac:dyDescent="0.3">
      <c r="A1804" s="492"/>
      <c r="B1804" s="494"/>
      <c r="C1804" s="494"/>
      <c r="D1804" s="494"/>
      <c r="E1804" s="494"/>
      <c r="F1804" s="53" t="s">
        <v>24</v>
      </c>
      <c r="G1804" s="53" t="s">
        <v>25</v>
      </c>
      <c r="H1804" s="492"/>
    </row>
    <row r="1805" spans="1:9" x14ac:dyDescent="0.3">
      <c r="A1805" s="57">
        <v>1</v>
      </c>
      <c r="B1805" s="60" t="s">
        <v>409</v>
      </c>
      <c r="C1805" s="83">
        <v>3</v>
      </c>
      <c r="D1805" s="83">
        <v>85364900</v>
      </c>
      <c r="E1805" s="57">
        <v>9400</v>
      </c>
      <c r="F1805" s="57">
        <f>E1805*C1805*9%</f>
        <v>2538</v>
      </c>
      <c r="G1805" s="57">
        <f>F1805</f>
        <v>2538</v>
      </c>
      <c r="H1805" s="57">
        <f>G1805+F1805+E1805*C1805</f>
        <v>33276</v>
      </c>
      <c r="I1805" s="362">
        <f>E1805*C1805</f>
        <v>28200</v>
      </c>
    </row>
    <row r="1806" spans="1:9" x14ac:dyDescent="0.3">
      <c r="A1806" s="57">
        <v>2</v>
      </c>
      <c r="B1806" s="60" t="s">
        <v>410</v>
      </c>
      <c r="C1806" s="83">
        <v>4</v>
      </c>
      <c r="D1806" s="83">
        <v>85389000</v>
      </c>
      <c r="E1806" s="57">
        <v>1920</v>
      </c>
      <c r="F1806" s="57">
        <f>E1806*C1806*9%</f>
        <v>691.19999999999993</v>
      </c>
      <c r="G1806" s="57">
        <f>F1806</f>
        <v>691.19999999999993</v>
      </c>
      <c r="H1806" s="57">
        <f>G1806+F1806+E1806*C1806</f>
        <v>9062.4</v>
      </c>
      <c r="I1806" s="362">
        <f>E1806*C1806</f>
        <v>7680</v>
      </c>
    </row>
    <row r="1807" spans="1:9" x14ac:dyDescent="0.3">
      <c r="A1807" s="57">
        <v>3</v>
      </c>
      <c r="B1807" s="60" t="s">
        <v>430</v>
      </c>
      <c r="C1807" s="83">
        <v>8</v>
      </c>
      <c r="D1807" s="83">
        <v>85446020</v>
      </c>
      <c r="E1807" s="57">
        <v>190</v>
      </c>
      <c r="F1807" s="57">
        <f>E1807*C1807*9%</f>
        <v>136.79999999999998</v>
      </c>
      <c r="G1807" s="57">
        <f>F1807</f>
        <v>136.79999999999998</v>
      </c>
      <c r="H1807" s="57">
        <f>G1807+F1807+E1807*C1807</f>
        <v>1793.6</v>
      </c>
      <c r="I1807" s="362">
        <f>E1807*C1807</f>
        <v>1520</v>
      </c>
    </row>
    <row r="1808" spans="1:9" x14ac:dyDescent="0.3">
      <c r="A1808" s="57">
        <v>4</v>
      </c>
      <c r="B1808" s="60" t="s">
        <v>429</v>
      </c>
      <c r="C1808" s="83">
        <v>2</v>
      </c>
      <c r="D1808" s="83">
        <v>998719</v>
      </c>
      <c r="E1808" s="57">
        <v>25</v>
      </c>
      <c r="F1808" s="57">
        <f>E1808*C1808*9%</f>
        <v>4.5</v>
      </c>
      <c r="G1808" s="57">
        <f>F1808</f>
        <v>4.5</v>
      </c>
      <c r="H1808" s="57">
        <f>G1808+F1808+E1808*C1808</f>
        <v>59</v>
      </c>
      <c r="I1808" s="362">
        <f>E1808*C1808</f>
        <v>50</v>
      </c>
    </row>
    <row r="1809" spans="1:9" x14ac:dyDescent="0.3">
      <c r="A1809" s="57">
        <v>5</v>
      </c>
      <c r="B1809" s="60" t="s">
        <v>431</v>
      </c>
      <c r="C1809" s="83">
        <v>1</v>
      </c>
      <c r="D1809" s="83">
        <v>998719</v>
      </c>
      <c r="E1809" s="57">
        <v>2000</v>
      </c>
      <c r="F1809" s="57">
        <f>E1809*C1809*9%</f>
        <v>180</v>
      </c>
      <c r="G1809" s="57">
        <f>F1809</f>
        <v>180</v>
      </c>
      <c r="H1809" s="57">
        <f>G1809+F1809+E1809*C1809</f>
        <v>2360</v>
      </c>
      <c r="I1809" s="362">
        <f>E1809*C1809</f>
        <v>2000</v>
      </c>
    </row>
    <row r="1810" spans="1:9" x14ac:dyDescent="0.3">
      <c r="A1810" s="57"/>
      <c r="B1810" s="60"/>
      <c r="C1810" s="83"/>
      <c r="D1810" s="83"/>
      <c r="E1810" s="57"/>
      <c r="F1810" s="57"/>
      <c r="G1810" s="57"/>
      <c r="H1810" s="57"/>
    </row>
    <row r="1811" spans="1:9" x14ac:dyDescent="0.3">
      <c r="A1811" s="57"/>
      <c r="B1811" s="60"/>
      <c r="C1811" s="83"/>
      <c r="D1811" s="83"/>
      <c r="E1811" s="57"/>
      <c r="F1811" s="57"/>
      <c r="G1811" s="57"/>
      <c r="H1811" s="57"/>
    </row>
    <row r="1812" spans="1:9" x14ac:dyDescent="0.3">
      <c r="A1812" s="57"/>
      <c r="B1812" s="60"/>
      <c r="C1812" s="83"/>
      <c r="D1812" s="83"/>
      <c r="E1812" s="57"/>
      <c r="F1812" s="57"/>
      <c r="G1812" s="57"/>
      <c r="H1812" s="57"/>
    </row>
    <row r="1813" spans="1:9" x14ac:dyDescent="0.3">
      <c r="A1813" s="57"/>
      <c r="B1813" s="84"/>
      <c r="C1813" s="85"/>
      <c r="D1813" s="86"/>
      <c r="E1813" s="87"/>
      <c r="F1813" s="47"/>
      <c r="G1813" s="47"/>
      <c r="H1813" s="47"/>
    </row>
    <row r="1814" spans="1:9" x14ac:dyDescent="0.3">
      <c r="A1814" s="57"/>
      <c r="B1814" s="84"/>
      <c r="C1814" s="85"/>
      <c r="D1814" s="86"/>
      <c r="E1814" s="87"/>
      <c r="F1814" s="47"/>
      <c r="G1814" s="47"/>
      <c r="H1814" s="47"/>
    </row>
    <row r="1815" spans="1:9" x14ac:dyDescent="0.3">
      <c r="A1815" s="57"/>
      <c r="B1815" s="84"/>
      <c r="C1815" s="85"/>
      <c r="D1815" s="86"/>
      <c r="E1815" s="87"/>
      <c r="F1815" s="47"/>
      <c r="G1815" s="47"/>
      <c r="H1815" s="47"/>
    </row>
    <row r="1816" spans="1:9" x14ac:dyDescent="0.3">
      <c r="A1816" s="57"/>
      <c r="B1816" s="84"/>
      <c r="C1816" s="85"/>
      <c r="D1816" s="86"/>
      <c r="E1816" s="87"/>
      <c r="F1816" s="47"/>
      <c r="G1816" s="47"/>
      <c r="H1816" s="47"/>
    </row>
    <row r="1817" spans="1:9" x14ac:dyDescent="0.3">
      <c r="A1817" s="57"/>
      <c r="B1817" s="84"/>
      <c r="C1817" s="85"/>
      <c r="D1817" s="86"/>
      <c r="E1817" s="47"/>
      <c r="F1817" s="47"/>
      <c r="G1817" s="47"/>
      <c r="H1817" s="47"/>
    </row>
    <row r="1818" spans="1:9" x14ac:dyDescent="0.3">
      <c r="A1818" s="55"/>
      <c r="B1818" s="84"/>
      <c r="C1818" s="55"/>
      <c r="D1818" s="86"/>
      <c r="E1818" s="47"/>
      <c r="F1818" s="47"/>
      <c r="G1818" s="47"/>
      <c r="H1818" s="47"/>
    </row>
    <row r="1819" spans="1:9" x14ac:dyDescent="0.3">
      <c r="A1819" s="27"/>
      <c r="B1819" s="88"/>
      <c r="C1819" s="24"/>
      <c r="D1819" s="89"/>
      <c r="E1819" s="25"/>
      <c r="F1819" s="25"/>
      <c r="G1819" s="25"/>
      <c r="H1819" s="32"/>
    </row>
    <row r="1820" spans="1:9" x14ac:dyDescent="0.3">
      <c r="A1820" s="27"/>
      <c r="B1820" s="88"/>
      <c r="C1820" s="24"/>
      <c r="D1820" s="89"/>
      <c r="E1820" s="25"/>
      <c r="F1820" s="25"/>
      <c r="G1820" s="25"/>
      <c r="H1820" s="32"/>
    </row>
    <row r="1821" spans="1:9" x14ac:dyDescent="0.3">
      <c r="A1821" s="27"/>
      <c r="B1821" s="88"/>
      <c r="C1821" s="24"/>
      <c r="D1821" s="89"/>
      <c r="E1821" s="25"/>
      <c r="F1821" s="25"/>
      <c r="G1821" s="25"/>
      <c r="H1821" s="32"/>
    </row>
    <row r="1822" spans="1:9" x14ac:dyDescent="0.3">
      <c r="A1822" s="27"/>
      <c r="B1822" s="28"/>
      <c r="C1822" s="24"/>
      <c r="D1822" s="25"/>
      <c r="E1822" s="25"/>
      <c r="F1822" s="28"/>
      <c r="G1822" s="28"/>
      <c r="H1822" s="32"/>
    </row>
    <row r="1823" spans="1:9" ht="15.6" x14ac:dyDescent="0.3">
      <c r="A1823" s="448" t="s">
        <v>45</v>
      </c>
      <c r="B1823" s="449"/>
      <c r="C1823" s="24"/>
      <c r="D1823" s="25"/>
      <c r="E1823" s="25"/>
      <c r="F1823" s="447" t="s">
        <v>46</v>
      </c>
      <c r="G1823" s="447"/>
      <c r="H1823" s="66">
        <v>39450</v>
      </c>
    </row>
    <row r="1824" spans="1:9" ht="15.6" x14ac:dyDescent="0.3">
      <c r="A1824" s="497" t="s">
        <v>432</v>
      </c>
      <c r="B1824" s="498"/>
      <c r="C1824" s="498"/>
      <c r="D1824" s="498"/>
      <c r="E1824" s="498"/>
      <c r="F1824" s="447" t="s">
        <v>47</v>
      </c>
      <c r="G1824" s="447"/>
      <c r="H1824" s="66">
        <f>H1823*9%</f>
        <v>3550.5</v>
      </c>
    </row>
    <row r="1825" spans="1:8" ht="15.6" x14ac:dyDescent="0.3">
      <c r="A1825" s="27"/>
      <c r="B1825" s="28"/>
      <c r="C1825" s="24"/>
      <c r="D1825" s="25"/>
      <c r="E1825" s="25"/>
      <c r="F1825" s="447" t="s">
        <v>48</v>
      </c>
      <c r="G1825" s="447"/>
      <c r="H1825" s="66">
        <f>H1824</f>
        <v>3550.5</v>
      </c>
    </row>
    <row r="1826" spans="1:8" ht="15.6" x14ac:dyDescent="0.3">
      <c r="A1826" s="90" t="s">
        <v>49</v>
      </c>
      <c r="B1826" s="28"/>
      <c r="C1826" s="24"/>
      <c r="D1826" s="25"/>
      <c r="E1826" s="25"/>
      <c r="F1826" s="447" t="s">
        <v>50</v>
      </c>
      <c r="G1826" s="447"/>
      <c r="H1826" s="66">
        <f>SUM(H1823:H1825)</f>
        <v>46551</v>
      </c>
    </row>
    <row r="1827" spans="1:8" ht="27" x14ac:dyDescent="0.3">
      <c r="A1827" s="68" t="s">
        <v>22</v>
      </c>
      <c r="B1827" s="30" t="s">
        <v>51</v>
      </c>
      <c r="C1827" s="70" t="s">
        <v>24</v>
      </c>
      <c r="D1827" s="31" t="s">
        <v>25</v>
      </c>
      <c r="E1827" s="450" t="s">
        <v>52</v>
      </c>
      <c r="F1827" s="450"/>
      <c r="G1827" s="28"/>
      <c r="H1827" s="32"/>
    </row>
    <row r="1828" spans="1:8" x14ac:dyDescent="0.3">
      <c r="A1828" s="72">
        <v>0.18</v>
      </c>
      <c r="B1828" s="73">
        <f>H1823</f>
        <v>39450</v>
      </c>
      <c r="C1828" s="91">
        <f>H1824</f>
        <v>3550.5</v>
      </c>
      <c r="D1828" s="91">
        <f>H1824</f>
        <v>3550.5</v>
      </c>
      <c r="E1828" s="506">
        <f>C1828+D1828</f>
        <v>7101</v>
      </c>
      <c r="F1828" s="507"/>
      <c r="G1828" s="74"/>
      <c r="H1828" s="75"/>
    </row>
    <row r="1829" spans="1:8" x14ac:dyDescent="0.3">
      <c r="A1829" s="508" t="s">
        <v>433</v>
      </c>
      <c r="B1829" s="509"/>
      <c r="C1829" s="509"/>
      <c r="D1829" s="509"/>
      <c r="E1829" s="453"/>
      <c r="F1829" s="453"/>
      <c r="G1829" s="453"/>
      <c r="H1829" s="454"/>
    </row>
    <row r="1830" spans="1:8" ht="15.6" x14ac:dyDescent="0.3">
      <c r="A1830" s="455" t="s">
        <v>53</v>
      </c>
      <c r="B1830" s="456"/>
      <c r="C1830" s="456"/>
      <c r="D1830" s="457"/>
      <c r="E1830" s="458" t="s">
        <v>54</v>
      </c>
      <c r="F1830" s="459"/>
      <c r="G1830" s="459"/>
      <c r="H1830" s="460"/>
    </row>
    <row r="1831" spans="1:8" x14ac:dyDescent="0.3">
      <c r="A1831" s="461" t="s">
        <v>55</v>
      </c>
      <c r="B1831" s="462"/>
      <c r="C1831" s="462"/>
      <c r="D1831" s="463"/>
      <c r="E1831" s="39"/>
      <c r="F1831" s="28"/>
      <c r="G1831" s="28"/>
      <c r="H1831" s="32"/>
    </row>
    <row r="1832" spans="1:8" x14ac:dyDescent="0.3">
      <c r="A1832" s="461" t="s">
        <v>56</v>
      </c>
      <c r="B1832" s="462"/>
      <c r="C1832" s="462"/>
      <c r="D1832" s="463"/>
      <c r="E1832" s="39"/>
      <c r="F1832" s="28"/>
      <c r="G1832" s="28"/>
      <c r="H1832" s="32"/>
    </row>
    <row r="1833" spans="1:8" x14ac:dyDescent="0.3">
      <c r="A1833" s="461" t="s">
        <v>57</v>
      </c>
      <c r="B1833" s="462"/>
      <c r="C1833" s="462"/>
      <c r="D1833" s="463"/>
      <c r="E1833" s="39"/>
      <c r="F1833" s="28"/>
      <c r="G1833" s="28"/>
      <c r="H1833" s="32"/>
    </row>
    <row r="1834" spans="1:8" x14ac:dyDescent="0.3">
      <c r="A1834" s="100"/>
      <c r="B1834" s="101"/>
      <c r="C1834" s="101"/>
      <c r="D1834" s="101"/>
      <c r="E1834" s="39"/>
      <c r="F1834" s="28"/>
      <c r="G1834" s="28"/>
      <c r="H1834" s="32"/>
    </row>
    <row r="1835" spans="1:8" ht="15.6" x14ac:dyDescent="0.3">
      <c r="A1835" s="464" t="s">
        <v>58</v>
      </c>
      <c r="B1835" s="465"/>
      <c r="C1835" s="465"/>
      <c r="D1835" s="465"/>
      <c r="E1835" s="466" t="s">
        <v>59</v>
      </c>
      <c r="F1835" s="467"/>
      <c r="G1835" s="467"/>
      <c r="H1835" s="468"/>
    </row>
    <row r="1836" spans="1:8" ht="15.6" x14ac:dyDescent="0.3">
      <c r="A1836" s="104"/>
      <c r="B1836" s="104"/>
      <c r="C1836" s="104"/>
      <c r="D1836" s="104"/>
      <c r="E1836" s="105"/>
      <c r="F1836" s="105"/>
      <c r="G1836" s="105"/>
      <c r="H1836" s="105"/>
    </row>
    <row r="1837" spans="1:8" ht="15.6" x14ac:dyDescent="0.3">
      <c r="A1837" s="104"/>
      <c r="B1837" s="104"/>
      <c r="C1837" s="104"/>
      <c r="D1837" s="104"/>
      <c r="E1837" s="105"/>
      <c r="F1837" s="105"/>
      <c r="G1837" s="105"/>
      <c r="H1837" s="105"/>
    </row>
    <row r="1840" spans="1:8" ht="44.4" x14ac:dyDescent="0.7">
      <c r="A1840" s="469" t="s">
        <v>0</v>
      </c>
      <c r="B1840" s="470"/>
      <c r="C1840" s="470"/>
      <c r="D1840" s="470"/>
      <c r="E1840" s="471" t="s">
        <v>1</v>
      </c>
      <c r="F1840" s="472"/>
      <c r="G1840" s="472"/>
      <c r="H1840" s="473"/>
    </row>
    <row r="1841" spans="1:8" ht="20.399999999999999" x14ac:dyDescent="0.35">
      <c r="A1841" s="1"/>
      <c r="B1841" s="476" t="s">
        <v>2</v>
      </c>
      <c r="C1841" s="476"/>
      <c r="D1841" s="476"/>
      <c r="E1841" s="474"/>
      <c r="F1841" s="474"/>
      <c r="G1841" s="474"/>
      <c r="H1841" s="475"/>
    </row>
    <row r="1842" spans="1:8" x14ac:dyDescent="0.3">
      <c r="A1842" s="477" t="s">
        <v>3</v>
      </c>
      <c r="B1842" s="478"/>
      <c r="C1842" s="479" t="s">
        <v>4</v>
      </c>
      <c r="D1842" s="479"/>
      <c r="E1842" s="480" t="s">
        <v>5</v>
      </c>
      <c r="F1842" s="480"/>
      <c r="G1842" s="480"/>
      <c r="H1842" s="480"/>
    </row>
    <row r="1843" spans="1:8" ht="15.6" x14ac:dyDescent="0.3">
      <c r="A1843" s="4" t="s">
        <v>6</v>
      </c>
      <c r="B1843" s="243"/>
      <c r="C1843" s="481" t="s">
        <v>7</v>
      </c>
      <c r="D1843" s="481"/>
      <c r="E1843" s="482">
        <v>41</v>
      </c>
      <c r="F1843" s="482"/>
      <c r="G1843" s="44" t="s">
        <v>8</v>
      </c>
      <c r="H1843" s="8" t="s">
        <v>418</v>
      </c>
    </row>
    <row r="1844" spans="1:8" ht="15.6" x14ac:dyDescent="0.3">
      <c r="A1844" s="638" t="s">
        <v>413</v>
      </c>
      <c r="B1844" s="639"/>
      <c r="C1844" s="640" t="s">
        <v>414</v>
      </c>
      <c r="D1844" s="640"/>
      <c r="E1844" s="502">
        <v>70062</v>
      </c>
      <c r="F1844" s="504"/>
      <c r="G1844" s="502" t="s">
        <v>428</v>
      </c>
      <c r="H1844" s="504"/>
    </row>
    <row r="1845" spans="1:8" ht="15.75" customHeight="1" x14ac:dyDescent="0.3">
      <c r="A1845" s="641" t="s">
        <v>415</v>
      </c>
      <c r="B1845" s="642"/>
      <c r="C1845" s="519" t="s">
        <v>12</v>
      </c>
      <c r="D1845" s="519"/>
      <c r="E1845" s="613" t="s">
        <v>419</v>
      </c>
      <c r="F1845" s="614"/>
      <c r="G1845" s="48" t="s">
        <v>8</v>
      </c>
      <c r="H1845" s="109" t="s">
        <v>420</v>
      </c>
    </row>
    <row r="1846" spans="1:8" ht="15.6" x14ac:dyDescent="0.3">
      <c r="A1846" s="641" t="s">
        <v>416</v>
      </c>
      <c r="B1846" s="642"/>
      <c r="C1846" s="481" t="s">
        <v>15</v>
      </c>
      <c r="D1846" s="481"/>
      <c r="E1846" s="646" t="s">
        <v>417</v>
      </c>
      <c r="F1846" s="647"/>
      <c r="G1846" s="647"/>
      <c r="H1846" s="648"/>
    </row>
    <row r="1847" spans="1:8" ht="15.6" x14ac:dyDescent="0.3">
      <c r="A1847" s="558" t="s">
        <v>421</v>
      </c>
      <c r="B1847" s="559"/>
      <c r="C1847" s="24"/>
      <c r="D1847" s="25"/>
      <c r="E1847" s="50"/>
      <c r="F1847" s="51"/>
      <c r="G1847" s="51"/>
      <c r="H1847" s="52"/>
    </row>
    <row r="1848" spans="1:8" ht="15" x14ac:dyDescent="0.3">
      <c r="A1848" s="527" t="s">
        <v>17</v>
      </c>
      <c r="B1848" s="505" t="s">
        <v>18</v>
      </c>
      <c r="C1848" s="494" t="s">
        <v>19</v>
      </c>
      <c r="D1848" s="494" t="s">
        <v>20</v>
      </c>
      <c r="E1848" s="494" t="s">
        <v>21</v>
      </c>
      <c r="F1848" s="494" t="s">
        <v>22</v>
      </c>
      <c r="G1848" s="494"/>
      <c r="H1848" s="493" t="s">
        <v>23</v>
      </c>
    </row>
    <row r="1849" spans="1:8" ht="27.6" x14ac:dyDescent="0.3">
      <c r="A1849" s="492"/>
      <c r="B1849" s="494"/>
      <c r="C1849" s="494"/>
      <c r="D1849" s="494"/>
      <c r="E1849" s="494"/>
      <c r="F1849" s="53" t="s">
        <v>24</v>
      </c>
      <c r="G1849" s="53" t="s">
        <v>25</v>
      </c>
      <c r="H1849" s="527"/>
    </row>
    <row r="1850" spans="1:8" x14ac:dyDescent="0.3">
      <c r="A1850" s="54">
        <v>1</v>
      </c>
      <c r="B1850" t="s">
        <v>422</v>
      </c>
      <c r="C1850" s="55">
        <v>1</v>
      </c>
      <c r="D1850" s="56">
        <v>998719</v>
      </c>
      <c r="E1850" s="57">
        <v>19200</v>
      </c>
      <c r="F1850" s="58">
        <f>C1850*E1850*9%</f>
        <v>1728</v>
      </c>
      <c r="G1850" s="58">
        <f>C1850*E1850*9%</f>
        <v>1728</v>
      </c>
      <c r="H1850" s="59">
        <f>C1850*E1850+F1850+G1850</f>
        <v>22656</v>
      </c>
    </row>
    <row r="1851" spans="1:8" x14ac:dyDescent="0.3">
      <c r="A1851" s="54">
        <v>2</v>
      </c>
      <c r="B1851" s="60" t="s">
        <v>423</v>
      </c>
      <c r="C1851" s="54">
        <v>1</v>
      </c>
      <c r="D1851" s="61">
        <v>998719</v>
      </c>
      <c r="E1851" s="54">
        <v>49000</v>
      </c>
      <c r="F1851" s="58">
        <f>C1851*E1851*9%</f>
        <v>4410</v>
      </c>
      <c r="G1851" s="58">
        <f>C1851*E1851*9%</f>
        <v>4410</v>
      </c>
      <c r="H1851" s="59">
        <f>C1851*E1851+F1851+G1851</f>
        <v>57820</v>
      </c>
    </row>
    <row r="1852" spans="1:8" x14ac:dyDescent="0.3">
      <c r="A1852" s="55">
        <v>3</v>
      </c>
      <c r="B1852" t="s">
        <v>424</v>
      </c>
      <c r="C1852" s="55">
        <v>1</v>
      </c>
      <c r="D1852" s="61">
        <v>998719</v>
      </c>
      <c r="E1852" s="55">
        <v>17700</v>
      </c>
      <c r="F1852" s="58">
        <f>C1852*E1852*9%</f>
        <v>1593</v>
      </c>
      <c r="G1852" s="58">
        <f>C1852*E1852*9%</f>
        <v>1593</v>
      </c>
      <c r="H1852" s="59">
        <f>C1852*E1852+F1852+G1852</f>
        <v>20886</v>
      </c>
    </row>
    <row r="1853" spans="1:8" x14ac:dyDescent="0.3">
      <c r="A1853" s="147">
        <v>4</v>
      </c>
      <c r="B1853" s="60" t="s">
        <v>425</v>
      </c>
      <c r="C1853" s="128">
        <v>1</v>
      </c>
      <c r="D1853" s="61">
        <v>998719</v>
      </c>
      <c r="E1853" s="245">
        <v>44000</v>
      </c>
      <c r="F1853" s="58">
        <f>C1853*E1853*9%</f>
        <v>3960</v>
      </c>
      <c r="G1853" s="58">
        <f>C1853*E1853*9%</f>
        <v>3960</v>
      </c>
      <c r="H1853" s="59">
        <f>C1853*E1853+F1853+G1853</f>
        <v>51920</v>
      </c>
    </row>
    <row r="1854" spans="1:8" x14ac:dyDescent="0.3">
      <c r="A1854" s="27"/>
      <c r="B1854" s="28"/>
      <c r="C1854" s="24"/>
      <c r="D1854" s="25"/>
      <c r="E1854" s="25"/>
      <c r="F1854" s="28"/>
      <c r="G1854" s="28"/>
      <c r="H1854" s="32"/>
    </row>
    <row r="1855" spans="1:8" x14ac:dyDescent="0.3">
      <c r="A1855" s="27"/>
      <c r="B1855" s="28"/>
      <c r="C1855" s="24"/>
      <c r="D1855" s="25"/>
      <c r="E1855" s="25"/>
      <c r="F1855" s="28"/>
      <c r="G1855" s="28"/>
      <c r="H1855" s="32"/>
    </row>
    <row r="1856" spans="1:8" x14ac:dyDescent="0.3">
      <c r="A1856" s="27"/>
      <c r="B1856" s="28"/>
      <c r="C1856" s="24"/>
      <c r="D1856" s="25"/>
      <c r="E1856" s="25"/>
      <c r="F1856" s="28"/>
      <c r="G1856" s="28"/>
      <c r="H1856" s="32"/>
    </row>
    <row r="1857" spans="1:8" x14ac:dyDescent="0.3">
      <c r="A1857" s="27"/>
      <c r="B1857" s="28"/>
      <c r="C1857" s="24"/>
      <c r="D1857" s="25"/>
      <c r="E1857" s="25"/>
      <c r="F1857" s="28"/>
      <c r="G1857" s="28"/>
      <c r="H1857" s="32"/>
    </row>
    <row r="1858" spans="1:8" x14ac:dyDescent="0.3">
      <c r="A1858" s="27"/>
      <c r="B1858" s="28"/>
      <c r="C1858" s="24"/>
      <c r="D1858" s="25"/>
      <c r="E1858" s="25"/>
      <c r="F1858" s="28"/>
      <c r="G1858" s="28"/>
      <c r="H1858" s="32"/>
    </row>
    <row r="1859" spans="1:8" x14ac:dyDescent="0.3">
      <c r="A1859" s="27"/>
      <c r="B1859" s="28"/>
      <c r="C1859" s="24"/>
      <c r="D1859" s="25"/>
      <c r="E1859" s="25"/>
      <c r="F1859" s="28"/>
      <c r="G1859" s="28"/>
      <c r="H1859" s="32"/>
    </row>
    <row r="1860" spans="1:8" x14ac:dyDescent="0.3">
      <c r="A1860" s="27"/>
      <c r="B1860" s="28"/>
      <c r="C1860" s="24"/>
      <c r="D1860" s="25"/>
      <c r="E1860" s="25"/>
      <c r="F1860" s="28"/>
      <c r="G1860" s="28"/>
      <c r="H1860" s="32"/>
    </row>
    <row r="1861" spans="1:8" x14ac:dyDescent="0.3">
      <c r="A1861" s="27"/>
      <c r="B1861" s="28"/>
      <c r="C1861" s="24"/>
      <c r="D1861" s="25"/>
      <c r="E1861" s="25"/>
      <c r="F1861" s="28"/>
      <c r="G1861" s="28"/>
      <c r="H1861" s="32"/>
    </row>
    <row r="1862" spans="1:8" x14ac:dyDescent="0.3">
      <c r="A1862" s="27"/>
      <c r="B1862" s="28"/>
      <c r="C1862" s="24"/>
      <c r="D1862" s="25"/>
      <c r="E1862" s="25"/>
      <c r="F1862" s="28"/>
      <c r="G1862" s="28"/>
      <c r="H1862" s="32"/>
    </row>
    <row r="1863" spans="1:8" x14ac:dyDescent="0.3">
      <c r="A1863" s="27"/>
      <c r="B1863" s="28"/>
      <c r="C1863" s="24"/>
      <c r="D1863" s="25"/>
      <c r="E1863" s="25"/>
      <c r="F1863" s="28"/>
      <c r="G1863" s="28"/>
      <c r="H1863" s="32"/>
    </row>
    <row r="1864" spans="1:8" x14ac:dyDescent="0.3">
      <c r="A1864" s="27"/>
      <c r="B1864" s="28"/>
      <c r="C1864" s="24"/>
      <c r="D1864" s="25"/>
      <c r="E1864" s="25"/>
      <c r="F1864" s="28"/>
      <c r="G1864" s="28"/>
      <c r="H1864" s="32"/>
    </row>
    <row r="1865" spans="1:8" x14ac:dyDescent="0.3">
      <c r="A1865" s="27"/>
      <c r="B1865" s="28"/>
      <c r="C1865" s="24"/>
      <c r="D1865" s="25"/>
      <c r="E1865" s="25"/>
      <c r="F1865" s="28"/>
      <c r="G1865" s="28"/>
      <c r="H1865" s="32"/>
    </row>
    <row r="1866" spans="1:8" x14ac:dyDescent="0.3">
      <c r="A1866" s="27"/>
      <c r="B1866" s="28"/>
      <c r="C1866" s="24"/>
      <c r="D1866" s="25"/>
      <c r="E1866" s="25"/>
      <c r="F1866" s="28"/>
      <c r="G1866" s="28"/>
      <c r="H1866" s="32"/>
    </row>
    <row r="1867" spans="1:8" x14ac:dyDescent="0.3">
      <c r="A1867" s="27"/>
      <c r="B1867" s="28"/>
      <c r="C1867" s="24"/>
      <c r="D1867" s="25"/>
      <c r="E1867" s="25"/>
      <c r="F1867" s="28"/>
      <c r="G1867" s="28"/>
      <c r="H1867" s="32"/>
    </row>
    <row r="1868" spans="1:8" x14ac:dyDescent="0.3">
      <c r="A1868" s="27"/>
      <c r="B1868" s="28"/>
      <c r="C1868" s="24"/>
      <c r="D1868" s="25"/>
      <c r="E1868" s="25"/>
      <c r="F1868" s="28"/>
      <c r="G1868" s="28"/>
      <c r="H1868" s="32"/>
    </row>
    <row r="1869" spans="1:8" x14ac:dyDescent="0.3">
      <c r="A1869" s="27"/>
      <c r="B1869" s="28"/>
      <c r="C1869" s="24"/>
      <c r="D1869" s="25"/>
      <c r="E1869" s="25"/>
      <c r="F1869" s="28"/>
      <c r="G1869" s="28"/>
      <c r="H1869" s="32"/>
    </row>
    <row r="1870" spans="1:8" x14ac:dyDescent="0.3">
      <c r="A1870" s="27"/>
      <c r="B1870" s="28"/>
      <c r="C1870" s="24"/>
      <c r="D1870" s="25"/>
      <c r="E1870" s="25"/>
      <c r="F1870" s="28"/>
      <c r="G1870" s="28"/>
      <c r="H1870" s="32"/>
    </row>
    <row r="1871" spans="1:8" x14ac:dyDescent="0.3">
      <c r="A1871" s="27"/>
      <c r="B1871" s="28"/>
      <c r="C1871" s="24"/>
      <c r="D1871" s="25"/>
      <c r="E1871" s="25"/>
      <c r="F1871" s="28"/>
      <c r="G1871" s="28"/>
      <c r="H1871" s="32"/>
    </row>
    <row r="1872" spans="1:8" x14ac:dyDescent="0.3">
      <c r="A1872" s="27"/>
      <c r="B1872" s="28"/>
      <c r="C1872" s="24"/>
      <c r="D1872" s="25"/>
      <c r="E1872" s="25"/>
      <c r="F1872" s="28"/>
      <c r="G1872" s="28"/>
      <c r="H1872" s="32"/>
    </row>
    <row r="1873" spans="1:8" ht="15.6" x14ac:dyDescent="0.3">
      <c r="A1873" s="64" t="s">
        <v>45</v>
      </c>
      <c r="B1873" s="65"/>
      <c r="C1873" s="24"/>
      <c r="D1873" s="25"/>
      <c r="E1873" s="25"/>
      <c r="F1873" s="26" t="s">
        <v>46</v>
      </c>
      <c r="G1873" s="26"/>
      <c r="H1873" s="66">
        <f>(C1850*E1850)+(C1851*E1851)+(C1852*E1852)+(C1853*E1853)</f>
        <v>129900</v>
      </c>
    </row>
    <row r="1874" spans="1:8" ht="15.6" x14ac:dyDescent="0.3">
      <c r="A1874" s="64" t="s">
        <v>426</v>
      </c>
      <c r="B1874" s="65"/>
      <c r="C1874" s="244"/>
      <c r="D1874" s="67"/>
      <c r="E1874" s="67"/>
      <c r="F1874" s="26" t="s">
        <v>47</v>
      </c>
      <c r="G1874" s="26"/>
      <c r="H1874" s="66">
        <f>H1873*9%</f>
        <v>11691</v>
      </c>
    </row>
    <row r="1875" spans="1:8" ht="15.6" x14ac:dyDescent="0.3">
      <c r="A1875" s="27"/>
      <c r="B1875" s="28"/>
      <c r="C1875" s="24"/>
      <c r="D1875" s="25"/>
      <c r="E1875" s="25"/>
      <c r="F1875" s="26" t="s">
        <v>48</v>
      </c>
      <c r="G1875" s="26"/>
      <c r="H1875" s="66">
        <f>H1873*9%</f>
        <v>11691</v>
      </c>
    </row>
    <row r="1876" spans="1:8" ht="15.6" x14ac:dyDescent="0.3">
      <c r="A1876" s="448" t="s">
        <v>49</v>
      </c>
      <c r="B1876" s="449"/>
      <c r="C1876" s="24"/>
      <c r="D1876" s="25"/>
      <c r="E1876" s="25"/>
      <c r="F1876" s="26" t="s">
        <v>50</v>
      </c>
      <c r="G1876" s="26"/>
      <c r="H1876" s="66">
        <f>H1873+H1874+H1875</f>
        <v>153282</v>
      </c>
    </row>
    <row r="1877" spans="1:8" ht="27" x14ac:dyDescent="0.3">
      <c r="A1877" s="68" t="s">
        <v>22</v>
      </c>
      <c r="B1877" s="69" t="s">
        <v>51</v>
      </c>
      <c r="C1877" s="70" t="s">
        <v>24</v>
      </c>
      <c r="D1877" s="31" t="s">
        <v>25</v>
      </c>
      <c r="E1877" s="528" t="s">
        <v>52</v>
      </c>
      <c r="F1877" s="528"/>
      <c r="G1877" s="28"/>
      <c r="H1877" s="32"/>
    </row>
    <row r="1878" spans="1:8" x14ac:dyDescent="0.3">
      <c r="A1878" s="72">
        <v>0.18</v>
      </c>
      <c r="B1878" s="73">
        <f>H1873</f>
        <v>129900</v>
      </c>
      <c r="C1878" s="74">
        <f>H1874</f>
        <v>11691</v>
      </c>
      <c r="D1878" s="74">
        <f>H1875</f>
        <v>11691</v>
      </c>
      <c r="E1878" s="74">
        <f>C1878+D1878</f>
        <v>23382</v>
      </c>
      <c r="F1878" s="74"/>
      <c r="G1878" s="74"/>
      <c r="H1878" s="75"/>
    </row>
    <row r="1879" spans="1:8" x14ac:dyDescent="0.3">
      <c r="A1879" s="76" t="s">
        <v>427</v>
      </c>
      <c r="B1879" s="77"/>
      <c r="C1879" s="77"/>
      <c r="D1879" s="77"/>
      <c r="E1879" s="78"/>
      <c r="F1879" s="36"/>
      <c r="G1879" s="36"/>
      <c r="H1879" s="79"/>
    </row>
    <row r="1880" spans="1:8" ht="15.6" x14ac:dyDescent="0.3">
      <c r="A1880" s="455" t="s">
        <v>53</v>
      </c>
      <c r="B1880" s="456"/>
      <c r="C1880" s="456"/>
      <c r="D1880" s="457"/>
      <c r="E1880" s="80" t="s">
        <v>69</v>
      </c>
      <c r="F1880" s="37"/>
      <c r="G1880" s="37"/>
      <c r="H1880" s="38"/>
    </row>
    <row r="1881" spans="1:8" x14ac:dyDescent="0.3">
      <c r="A1881" s="461" t="s">
        <v>55</v>
      </c>
      <c r="B1881" s="462"/>
      <c r="C1881" s="462"/>
      <c r="D1881" s="463"/>
      <c r="E1881" s="39"/>
      <c r="F1881" s="28"/>
      <c r="G1881" s="28"/>
      <c r="H1881" s="32"/>
    </row>
    <row r="1882" spans="1:8" x14ac:dyDescent="0.3">
      <c r="A1882" s="461" t="s">
        <v>56</v>
      </c>
      <c r="B1882" s="462"/>
      <c r="C1882" s="462"/>
      <c r="D1882" s="463"/>
      <c r="E1882" s="39"/>
      <c r="F1882" s="28"/>
      <c r="G1882" s="28"/>
      <c r="H1882" s="32"/>
    </row>
    <row r="1883" spans="1:8" x14ac:dyDescent="0.3">
      <c r="A1883" s="461" t="s">
        <v>57</v>
      </c>
      <c r="B1883" s="462"/>
      <c r="C1883" s="462"/>
      <c r="D1883" s="463"/>
      <c r="E1883" s="39"/>
      <c r="F1883" s="28"/>
      <c r="G1883" s="28"/>
      <c r="H1883" s="32"/>
    </row>
    <row r="1884" spans="1:8" ht="15.6" x14ac:dyDescent="0.3">
      <c r="A1884" s="464" t="s">
        <v>58</v>
      </c>
      <c r="B1884" s="465"/>
      <c r="C1884" s="465"/>
      <c r="D1884" s="510"/>
      <c r="E1884" s="81" t="s">
        <v>70</v>
      </c>
      <c r="F1884" s="40"/>
      <c r="G1884" s="40"/>
      <c r="H1884" s="41"/>
    </row>
    <row r="1888" spans="1:8" ht="44.4" x14ac:dyDescent="0.7">
      <c r="A1888" s="469" t="s">
        <v>0</v>
      </c>
      <c r="B1888" s="470"/>
      <c r="C1888" s="470"/>
      <c r="D1888" s="470"/>
      <c r="E1888" s="471" t="s">
        <v>1</v>
      </c>
      <c r="F1888" s="472"/>
      <c r="G1888" s="472"/>
      <c r="H1888" s="473"/>
    </row>
    <row r="1889" spans="1:8" ht="20.399999999999999" x14ac:dyDescent="0.35">
      <c r="A1889" s="1"/>
      <c r="B1889" s="476" t="s">
        <v>2</v>
      </c>
      <c r="C1889" s="476"/>
      <c r="D1889" s="476"/>
      <c r="E1889" s="474"/>
      <c r="F1889" s="474"/>
      <c r="G1889" s="474"/>
      <c r="H1889" s="475"/>
    </row>
    <row r="1890" spans="1:8" x14ac:dyDescent="0.3">
      <c r="A1890" s="477" t="s">
        <v>3</v>
      </c>
      <c r="B1890" s="478"/>
      <c r="C1890" s="479" t="s">
        <v>4</v>
      </c>
      <c r="D1890" s="479"/>
      <c r="E1890" s="480" t="s">
        <v>5</v>
      </c>
      <c r="F1890" s="480"/>
      <c r="G1890" s="480"/>
      <c r="H1890" s="480"/>
    </row>
    <row r="1891" spans="1:8" ht="15.6" x14ac:dyDescent="0.3">
      <c r="A1891" s="4" t="s">
        <v>6</v>
      </c>
      <c r="B1891" s="5"/>
      <c r="C1891" s="481" t="s">
        <v>7</v>
      </c>
      <c r="D1891" s="481"/>
      <c r="E1891" s="482">
        <v>42</v>
      </c>
      <c r="F1891" s="482"/>
      <c r="G1891" s="7" t="s">
        <v>8</v>
      </c>
      <c r="H1891" s="8" t="s">
        <v>439</v>
      </c>
    </row>
    <row r="1892" spans="1:8" ht="15.6" x14ac:dyDescent="0.3">
      <c r="A1892" s="551" t="s">
        <v>434</v>
      </c>
      <c r="B1892" s="552"/>
      <c r="C1892" s="481" t="s">
        <v>10</v>
      </c>
      <c r="D1892" s="481"/>
      <c r="E1892" s="482"/>
      <c r="F1892" s="482"/>
      <c r="G1892" s="7" t="s">
        <v>8</v>
      </c>
      <c r="H1892" s="9"/>
    </row>
    <row r="1893" spans="1:8" ht="15" x14ac:dyDescent="0.3">
      <c r="A1893" s="517" t="s">
        <v>435</v>
      </c>
      <c r="B1893" s="553"/>
      <c r="C1893" s="483" t="s">
        <v>12</v>
      </c>
      <c r="D1893" s="484"/>
      <c r="E1893" s="485"/>
      <c r="F1893" s="485"/>
      <c r="G1893" s="10" t="s">
        <v>8</v>
      </c>
      <c r="H1893" s="109"/>
    </row>
    <row r="1894" spans="1:8" ht="15.6" x14ac:dyDescent="0.3">
      <c r="A1894" s="556" t="s">
        <v>436</v>
      </c>
      <c r="B1894" s="557"/>
      <c r="C1894" s="481" t="s">
        <v>15</v>
      </c>
      <c r="D1894" s="481"/>
      <c r="E1894" s="123" t="s">
        <v>437</v>
      </c>
      <c r="F1894" s="44"/>
      <c r="G1894" s="44"/>
      <c r="H1894" s="246"/>
    </row>
    <row r="1895" spans="1:8" ht="15.6" x14ac:dyDescent="0.3">
      <c r="A1895" s="558" t="s">
        <v>438</v>
      </c>
      <c r="B1895" s="559"/>
      <c r="C1895" s="489"/>
      <c r="D1895" s="490"/>
      <c r="E1895" s="490"/>
      <c r="F1895" s="490"/>
      <c r="G1895" s="490"/>
      <c r="H1895" s="491"/>
    </row>
    <row r="1896" spans="1:8" ht="15" x14ac:dyDescent="0.3">
      <c r="A1896" s="492" t="s">
        <v>17</v>
      </c>
      <c r="B1896" s="494" t="s">
        <v>18</v>
      </c>
      <c r="C1896" s="494" t="s">
        <v>19</v>
      </c>
      <c r="D1896" s="495" t="s">
        <v>20</v>
      </c>
      <c r="E1896" s="494" t="s">
        <v>21</v>
      </c>
      <c r="F1896" s="494" t="s">
        <v>22</v>
      </c>
      <c r="G1896" s="494"/>
      <c r="H1896" s="492" t="s">
        <v>23</v>
      </c>
    </row>
    <row r="1897" spans="1:8" ht="27.6" x14ac:dyDescent="0.3">
      <c r="A1897" s="492"/>
      <c r="B1897" s="494"/>
      <c r="C1897" s="494"/>
      <c r="D1897" s="505"/>
      <c r="E1897" s="494"/>
      <c r="F1897" s="53" t="s">
        <v>24</v>
      </c>
      <c r="G1897" s="53" t="s">
        <v>25</v>
      </c>
      <c r="H1897" s="492"/>
    </row>
    <row r="1898" spans="1:8" x14ac:dyDescent="0.3">
      <c r="A1898" s="57">
        <v>1</v>
      </c>
      <c r="B1898" s="60" t="s">
        <v>440</v>
      </c>
      <c r="C1898" s="57">
        <v>1</v>
      </c>
      <c r="D1898" s="208">
        <v>38249025</v>
      </c>
      <c r="E1898" s="57">
        <v>2000</v>
      </c>
      <c r="F1898" s="57">
        <f>E1898*C1898*9%</f>
        <v>180</v>
      </c>
      <c r="G1898" s="57">
        <f>F1898</f>
        <v>180</v>
      </c>
      <c r="H1898" s="57">
        <f>G1898+F1898+E1898*C1898</f>
        <v>2360</v>
      </c>
    </row>
    <row r="1899" spans="1:8" x14ac:dyDescent="0.3">
      <c r="A1899" s="55">
        <v>2</v>
      </c>
      <c r="B1899" s="60" t="s">
        <v>441</v>
      </c>
      <c r="C1899" s="57">
        <v>1</v>
      </c>
      <c r="D1899" s="57">
        <v>998719</v>
      </c>
      <c r="E1899" s="57">
        <v>1000</v>
      </c>
      <c r="F1899" s="57">
        <f>E1899*C1899*9%</f>
        <v>90</v>
      </c>
      <c r="G1899" s="57">
        <f>F1899</f>
        <v>90</v>
      </c>
      <c r="H1899" s="57">
        <f>G1899+F1899+E1899*C1899</f>
        <v>1180</v>
      </c>
    </row>
    <row r="1900" spans="1:8" x14ac:dyDescent="0.3">
      <c r="A1900" s="55"/>
      <c r="B1900" s="130"/>
      <c r="C1900" s="57"/>
      <c r="D1900" s="57"/>
      <c r="E1900" s="57"/>
      <c r="F1900" s="57"/>
      <c r="G1900" s="57"/>
      <c r="H1900" s="57"/>
    </row>
    <row r="1901" spans="1:8" x14ac:dyDescent="0.3">
      <c r="A1901" s="55"/>
      <c r="B1901" s="130"/>
      <c r="C1901" s="57"/>
      <c r="D1901" s="57"/>
      <c r="E1901" s="57"/>
      <c r="F1901" s="57"/>
      <c r="G1901" s="57"/>
      <c r="H1901" s="57"/>
    </row>
    <row r="1902" spans="1:8" x14ac:dyDescent="0.3">
      <c r="A1902" s="57"/>
      <c r="B1902" s="84"/>
      <c r="C1902" s="85"/>
      <c r="D1902" s="86"/>
      <c r="E1902" s="87"/>
      <c r="F1902" s="47"/>
      <c r="G1902" s="47"/>
      <c r="H1902" s="47"/>
    </row>
    <row r="1903" spans="1:8" x14ac:dyDescent="0.3">
      <c r="A1903" s="57"/>
      <c r="B1903" s="84"/>
      <c r="C1903" s="85"/>
      <c r="D1903" s="86"/>
      <c r="E1903" s="87"/>
      <c r="F1903" s="58"/>
      <c r="G1903" s="58"/>
      <c r="H1903" s="59"/>
    </row>
    <row r="1904" spans="1:8" x14ac:dyDescent="0.3">
      <c r="A1904" s="57"/>
      <c r="B1904" s="84"/>
      <c r="C1904" s="85"/>
      <c r="D1904" s="86"/>
      <c r="E1904" s="87"/>
      <c r="F1904" s="58"/>
      <c r="G1904" s="58"/>
      <c r="H1904" s="59"/>
    </row>
    <row r="1905" spans="1:8" x14ac:dyDescent="0.3">
      <c r="A1905" s="57"/>
      <c r="B1905" s="84"/>
      <c r="C1905" s="85"/>
      <c r="D1905" s="86"/>
      <c r="E1905" s="87"/>
      <c r="F1905" s="58"/>
      <c r="G1905" s="58"/>
      <c r="H1905" s="59"/>
    </row>
    <row r="1906" spans="1:8" x14ac:dyDescent="0.3">
      <c r="A1906" s="57"/>
      <c r="B1906" s="84"/>
      <c r="C1906" s="85"/>
      <c r="D1906" s="86"/>
      <c r="E1906" s="87"/>
      <c r="F1906" s="93"/>
      <c r="G1906" s="58"/>
      <c r="H1906" s="59"/>
    </row>
    <row r="1907" spans="1:8" x14ac:dyDescent="0.3">
      <c r="A1907" s="57"/>
      <c r="B1907" s="84"/>
      <c r="C1907" s="85"/>
      <c r="D1907" s="86"/>
      <c r="E1907" s="87"/>
      <c r="F1907" s="47"/>
      <c r="G1907" s="58"/>
      <c r="H1907" s="47"/>
    </row>
    <row r="1908" spans="1:8" x14ac:dyDescent="0.3">
      <c r="A1908" s="57"/>
      <c r="B1908" s="84"/>
      <c r="C1908" s="85"/>
      <c r="D1908" s="86"/>
      <c r="E1908" s="87"/>
      <c r="F1908" s="47"/>
      <c r="G1908" s="47"/>
      <c r="H1908" s="47"/>
    </row>
    <row r="1909" spans="1:8" x14ac:dyDescent="0.3">
      <c r="A1909" s="178"/>
      <c r="B1909" s="163"/>
      <c r="C1909" s="178"/>
      <c r="D1909" s="178"/>
      <c r="E1909" s="178"/>
      <c r="F1909" s="163"/>
      <c r="G1909" s="163"/>
      <c r="H1909" s="178"/>
    </row>
    <row r="1910" spans="1:8" x14ac:dyDescent="0.3">
      <c r="A1910" s="57"/>
      <c r="B1910" s="84"/>
      <c r="C1910" s="85"/>
      <c r="D1910" s="86"/>
      <c r="E1910" s="87"/>
      <c r="F1910" s="47"/>
      <c r="G1910" s="47"/>
      <c r="H1910" s="47"/>
    </row>
    <row r="1911" spans="1:8" x14ac:dyDescent="0.3">
      <c r="A1911" s="57"/>
      <c r="B1911" s="84"/>
      <c r="C1911" s="85"/>
      <c r="D1911" s="86"/>
      <c r="E1911" s="87"/>
      <c r="F1911" s="47"/>
      <c r="G1911" s="47"/>
      <c r="H1911" s="47"/>
    </row>
    <row r="1912" spans="1:8" x14ac:dyDescent="0.3">
      <c r="A1912" s="57"/>
      <c r="B1912" s="84"/>
      <c r="C1912" s="85"/>
      <c r="D1912" s="86"/>
      <c r="E1912" s="87"/>
      <c r="F1912" s="47"/>
      <c r="G1912" s="47"/>
      <c r="H1912" s="47"/>
    </row>
    <row r="1913" spans="1:8" x14ac:dyDescent="0.3">
      <c r="A1913" s="57"/>
      <c r="B1913" s="84"/>
      <c r="C1913" s="85"/>
      <c r="D1913" s="86"/>
      <c r="E1913" s="87"/>
      <c r="F1913" s="47"/>
      <c r="G1913" s="47"/>
      <c r="H1913" s="47"/>
    </row>
    <row r="1914" spans="1:8" x14ac:dyDescent="0.3">
      <c r="A1914" s="57"/>
      <c r="B1914" s="84"/>
      <c r="C1914" s="85"/>
      <c r="D1914" s="86"/>
      <c r="E1914" s="47"/>
      <c r="F1914" s="47"/>
      <c r="G1914" s="47"/>
      <c r="H1914" s="47"/>
    </row>
    <row r="1915" spans="1:8" x14ac:dyDescent="0.3">
      <c r="A1915" s="55"/>
      <c r="B1915" s="84"/>
      <c r="C1915" s="55"/>
      <c r="D1915" s="86"/>
      <c r="E1915" s="47"/>
      <c r="F1915" s="47"/>
      <c r="G1915" s="47"/>
      <c r="H1915" s="47"/>
    </row>
    <row r="1916" spans="1:8" x14ac:dyDescent="0.3">
      <c r="A1916" s="27"/>
      <c r="B1916" s="28"/>
      <c r="C1916" s="24"/>
      <c r="D1916" s="25"/>
      <c r="E1916" s="25"/>
      <c r="F1916" s="28"/>
      <c r="G1916" s="28"/>
      <c r="H1916" s="32"/>
    </row>
    <row r="1917" spans="1:8" ht="15.6" x14ac:dyDescent="0.3">
      <c r="A1917" s="448" t="s">
        <v>45</v>
      </c>
      <c r="B1917" s="449"/>
      <c r="C1917" s="24"/>
      <c r="D1917" s="25"/>
      <c r="E1917" s="25"/>
      <c r="F1917" s="447" t="s">
        <v>46</v>
      </c>
      <c r="G1917" s="447"/>
      <c r="H1917" s="66">
        <v>3000</v>
      </c>
    </row>
    <row r="1918" spans="1:8" ht="15.6" x14ac:dyDescent="0.3">
      <c r="A1918" s="497" t="s">
        <v>442</v>
      </c>
      <c r="B1918" s="498"/>
      <c r="C1918" s="498"/>
      <c r="D1918" s="498"/>
      <c r="E1918" s="498"/>
      <c r="F1918" s="447" t="s">
        <v>47</v>
      </c>
      <c r="G1918" s="447"/>
      <c r="H1918" s="66">
        <f>H1917*9%</f>
        <v>270</v>
      </c>
    </row>
    <row r="1919" spans="1:8" ht="15.6" x14ac:dyDescent="0.3">
      <c r="A1919" s="27"/>
      <c r="B1919" s="28"/>
      <c r="C1919" s="24"/>
      <c r="D1919" s="25"/>
      <c r="E1919" s="25"/>
      <c r="F1919" s="447" t="s">
        <v>48</v>
      </c>
      <c r="G1919" s="447"/>
      <c r="H1919" s="66">
        <f>H1918</f>
        <v>270</v>
      </c>
    </row>
    <row r="1920" spans="1:8" ht="15.6" x14ac:dyDescent="0.3">
      <c r="A1920" s="90" t="s">
        <v>49</v>
      </c>
      <c r="B1920" s="28"/>
      <c r="C1920" s="24"/>
      <c r="D1920" s="25"/>
      <c r="E1920" s="25"/>
      <c r="F1920" s="447" t="s">
        <v>50</v>
      </c>
      <c r="G1920" s="447"/>
      <c r="H1920" s="66">
        <f>H1917+H1918+H1919</f>
        <v>3540</v>
      </c>
    </row>
    <row r="1921" spans="1:8" ht="27" x14ac:dyDescent="0.3">
      <c r="A1921" s="68" t="s">
        <v>22</v>
      </c>
      <c r="B1921" s="30" t="s">
        <v>51</v>
      </c>
      <c r="C1921" s="70" t="s">
        <v>24</v>
      </c>
      <c r="D1921" s="31" t="s">
        <v>25</v>
      </c>
      <c r="E1921" s="450" t="s">
        <v>52</v>
      </c>
      <c r="F1921" s="450"/>
      <c r="G1921" s="28"/>
      <c r="H1921" s="32"/>
    </row>
    <row r="1922" spans="1:8" x14ac:dyDescent="0.3">
      <c r="A1922" s="72">
        <v>0.18</v>
      </c>
      <c r="B1922" s="73">
        <f>H1917</f>
        <v>3000</v>
      </c>
      <c r="C1922" s="91">
        <f>H1918</f>
        <v>270</v>
      </c>
      <c r="D1922" s="91">
        <f>H1918</f>
        <v>270</v>
      </c>
      <c r="E1922" s="506">
        <f>C1922+D1922</f>
        <v>540</v>
      </c>
      <c r="F1922" s="507"/>
      <c r="G1922" s="74"/>
      <c r="H1922" s="75"/>
    </row>
    <row r="1923" spans="1:8" x14ac:dyDescent="0.3">
      <c r="A1923" s="508" t="s">
        <v>443</v>
      </c>
      <c r="B1923" s="509"/>
      <c r="C1923" s="509"/>
      <c r="D1923" s="509"/>
      <c r="E1923" s="453"/>
      <c r="F1923" s="453"/>
      <c r="G1923" s="453"/>
      <c r="H1923" s="454"/>
    </row>
    <row r="1924" spans="1:8" ht="15.6" x14ac:dyDescent="0.3">
      <c r="A1924" s="455" t="s">
        <v>53</v>
      </c>
      <c r="B1924" s="456"/>
      <c r="C1924" s="456"/>
      <c r="D1924" s="457"/>
      <c r="E1924" s="458" t="s">
        <v>54</v>
      </c>
      <c r="F1924" s="459"/>
      <c r="G1924" s="459"/>
      <c r="H1924" s="460"/>
    </row>
    <row r="1925" spans="1:8" x14ac:dyDescent="0.3">
      <c r="A1925" s="461" t="s">
        <v>55</v>
      </c>
      <c r="B1925" s="462"/>
      <c r="C1925" s="462"/>
      <c r="D1925" s="463"/>
      <c r="E1925" s="39"/>
      <c r="F1925" s="28"/>
      <c r="G1925" s="28"/>
      <c r="H1925" s="32"/>
    </row>
    <row r="1926" spans="1:8" x14ac:dyDescent="0.3">
      <c r="A1926" s="461" t="s">
        <v>56</v>
      </c>
      <c r="B1926" s="462"/>
      <c r="C1926" s="462"/>
      <c r="D1926" s="463"/>
      <c r="E1926" s="39"/>
      <c r="F1926" s="28"/>
      <c r="G1926" s="28"/>
      <c r="H1926" s="32"/>
    </row>
    <row r="1927" spans="1:8" x14ac:dyDescent="0.3">
      <c r="A1927" s="461" t="s">
        <v>57</v>
      </c>
      <c r="B1927" s="462"/>
      <c r="C1927" s="462"/>
      <c r="D1927" s="463"/>
      <c r="E1927" s="39"/>
      <c r="F1927" s="28"/>
      <c r="G1927" s="28"/>
      <c r="H1927" s="32"/>
    </row>
    <row r="1928" spans="1:8" ht="15.6" x14ac:dyDescent="0.3">
      <c r="A1928" s="464" t="s">
        <v>58</v>
      </c>
      <c r="B1928" s="465"/>
      <c r="C1928" s="465"/>
      <c r="D1928" s="465"/>
      <c r="E1928" s="466" t="s">
        <v>59</v>
      </c>
      <c r="F1928" s="467"/>
      <c r="G1928" s="467"/>
      <c r="H1928" s="468"/>
    </row>
    <row r="1932" spans="1:8" ht="44.4" x14ac:dyDescent="0.7">
      <c r="A1932" s="469" t="s">
        <v>0</v>
      </c>
      <c r="B1932" s="470"/>
      <c r="C1932" s="470"/>
      <c r="D1932" s="470"/>
      <c r="E1932" s="471" t="s">
        <v>92</v>
      </c>
      <c r="F1932" s="472"/>
      <c r="G1932" s="472"/>
      <c r="H1932" s="473"/>
    </row>
    <row r="1933" spans="1:8" ht="20.399999999999999" x14ac:dyDescent="0.35">
      <c r="A1933" s="1"/>
      <c r="B1933" s="476" t="s">
        <v>2</v>
      </c>
      <c r="C1933" s="476"/>
      <c r="D1933" s="476"/>
      <c r="E1933" s="474"/>
      <c r="F1933" s="474"/>
      <c r="G1933" s="474"/>
      <c r="H1933" s="475"/>
    </row>
    <row r="1934" spans="1:8" x14ac:dyDescent="0.3">
      <c r="A1934" s="477" t="s">
        <v>3</v>
      </c>
      <c r="B1934" s="478"/>
      <c r="C1934" s="479" t="s">
        <v>4</v>
      </c>
      <c r="D1934" s="479"/>
      <c r="E1934" s="157" t="s">
        <v>5</v>
      </c>
      <c r="F1934" s="247"/>
      <c r="G1934" s="157"/>
      <c r="H1934" s="247"/>
    </row>
    <row r="1935" spans="1:8" ht="15.6" x14ac:dyDescent="0.3">
      <c r="A1935" s="138" t="s">
        <v>6</v>
      </c>
      <c r="B1935" s="5"/>
      <c r="C1935" s="512" t="s">
        <v>7</v>
      </c>
      <c r="D1935" s="513"/>
      <c r="E1935" s="482">
        <v>43</v>
      </c>
      <c r="F1935" s="482"/>
      <c r="G1935" s="7" t="s">
        <v>8</v>
      </c>
      <c r="H1935" s="8" t="s">
        <v>455</v>
      </c>
    </row>
    <row r="1936" spans="1:8" ht="15" x14ac:dyDescent="0.3">
      <c r="A1936" s="682" t="s">
        <v>444</v>
      </c>
      <c r="B1936" s="683"/>
      <c r="C1936" s="484" t="s">
        <v>10</v>
      </c>
      <c r="D1936" s="519"/>
      <c r="E1936" s="684"/>
      <c r="F1936" s="684"/>
      <c r="G1936" s="10" t="s">
        <v>8</v>
      </c>
      <c r="H1936" s="109"/>
    </row>
    <row r="1937" spans="1:9" ht="15" x14ac:dyDescent="0.3">
      <c r="A1937" s="517" t="s">
        <v>445</v>
      </c>
      <c r="B1937" s="518"/>
      <c r="C1937" s="484" t="s">
        <v>12</v>
      </c>
      <c r="D1937" s="519"/>
      <c r="E1937" s="248" t="s">
        <v>457</v>
      </c>
      <c r="F1937" s="249"/>
      <c r="G1937" s="10" t="s">
        <v>8</v>
      </c>
      <c r="H1937" s="109" t="s">
        <v>456</v>
      </c>
    </row>
    <row r="1938" spans="1:9" ht="15.6" x14ac:dyDescent="0.3">
      <c r="A1938" s="517" t="s">
        <v>446</v>
      </c>
      <c r="B1938" s="518"/>
      <c r="C1938" s="521" t="s">
        <v>15</v>
      </c>
      <c r="D1938" s="522"/>
      <c r="E1938" s="523" t="s">
        <v>447</v>
      </c>
      <c r="F1938" s="524"/>
      <c r="G1938" s="524"/>
      <c r="H1938" s="6"/>
    </row>
    <row r="1939" spans="1:9" ht="15.6" x14ac:dyDescent="0.3">
      <c r="A1939" s="180" t="s">
        <v>13</v>
      </c>
      <c r="B1939" s="172" t="s">
        <v>448</v>
      </c>
      <c r="C1939" s="230"/>
      <c r="D1939" s="231"/>
      <c r="E1939" s="232"/>
      <c r="F1939" s="233"/>
      <c r="G1939" s="233"/>
      <c r="H1939" s="231"/>
    </row>
    <row r="1940" spans="1:9" ht="15" x14ac:dyDescent="0.3">
      <c r="A1940" s="527" t="s">
        <v>17</v>
      </c>
      <c r="B1940" s="505" t="s">
        <v>18</v>
      </c>
      <c r="C1940" s="494" t="s">
        <v>19</v>
      </c>
      <c r="D1940" s="494" t="s">
        <v>20</v>
      </c>
      <c r="E1940" s="494" t="s">
        <v>21</v>
      </c>
      <c r="F1940" s="494" t="s">
        <v>22</v>
      </c>
      <c r="G1940" s="494"/>
      <c r="H1940" s="492" t="s">
        <v>23</v>
      </c>
    </row>
    <row r="1941" spans="1:9" ht="27.6" x14ac:dyDescent="0.3">
      <c r="A1941" s="492"/>
      <c r="B1941" s="494"/>
      <c r="C1941" s="494"/>
      <c r="D1941" s="494"/>
      <c r="E1941" s="494"/>
      <c r="F1941" s="53" t="s">
        <v>24</v>
      </c>
      <c r="G1941" s="53" t="s">
        <v>25</v>
      </c>
      <c r="H1941" s="492"/>
    </row>
    <row r="1942" spans="1:9" ht="27.6" x14ac:dyDescent="0.3">
      <c r="A1942" s="57">
        <v>1</v>
      </c>
      <c r="B1942" s="60" t="s">
        <v>449</v>
      </c>
      <c r="C1942" s="57">
        <v>24</v>
      </c>
      <c r="D1942" s="56">
        <v>998719</v>
      </c>
      <c r="E1942" s="57">
        <v>2550</v>
      </c>
      <c r="F1942" s="58">
        <f>E1942*C1942*9%</f>
        <v>5508</v>
      </c>
      <c r="G1942" s="58">
        <f>F1942</f>
        <v>5508</v>
      </c>
      <c r="H1942" s="59">
        <f>G1942+F1942+E1942*C1942</f>
        <v>72216</v>
      </c>
      <c r="I1942" s="362">
        <f>E1942*C1942</f>
        <v>61200</v>
      </c>
    </row>
    <row r="1943" spans="1:9" ht="27.6" x14ac:dyDescent="0.3">
      <c r="A1943" s="57">
        <v>2</v>
      </c>
      <c r="B1943" s="60" t="s">
        <v>450</v>
      </c>
      <c r="C1943" s="57">
        <v>3</v>
      </c>
      <c r="D1943" s="56">
        <v>998719</v>
      </c>
      <c r="E1943" s="185">
        <v>3000</v>
      </c>
      <c r="F1943" s="58">
        <f>E1943*C1943*9%</f>
        <v>810</v>
      </c>
      <c r="G1943" s="58">
        <f>F1943</f>
        <v>810</v>
      </c>
      <c r="H1943" s="59">
        <f>G1943+F1943+E1943*C1943</f>
        <v>10620</v>
      </c>
      <c r="I1943" s="362">
        <f>E1943*C1943</f>
        <v>9000</v>
      </c>
    </row>
    <row r="1944" spans="1:9" ht="27.6" x14ac:dyDescent="0.3">
      <c r="A1944" s="57">
        <v>3</v>
      </c>
      <c r="B1944" s="237" t="s">
        <v>451</v>
      </c>
      <c r="C1944" s="188">
        <v>3</v>
      </c>
      <c r="D1944" s="56">
        <v>998719</v>
      </c>
      <c r="E1944" s="57">
        <v>4500</v>
      </c>
      <c r="F1944" s="58">
        <f>E1944*C1944*9%</f>
        <v>1215</v>
      </c>
      <c r="G1944" s="58">
        <f>F1944</f>
        <v>1215</v>
      </c>
      <c r="H1944" s="59">
        <f>G1944+F1944+E1944*C1944</f>
        <v>15930</v>
      </c>
      <c r="I1944" s="362">
        <f>E1944*C1944</f>
        <v>13500</v>
      </c>
    </row>
    <row r="1945" spans="1:9" ht="27.6" x14ac:dyDescent="0.3">
      <c r="A1945" s="57">
        <v>4</v>
      </c>
      <c r="B1945" s="238" t="s">
        <v>452</v>
      </c>
      <c r="C1945" s="57">
        <v>4</v>
      </c>
      <c r="D1945" s="56">
        <v>998719</v>
      </c>
      <c r="E1945" s="57">
        <v>1500</v>
      </c>
      <c r="F1945" s="58">
        <f>E1945*C1945*9%</f>
        <v>540</v>
      </c>
      <c r="G1945" s="58">
        <f>F1945</f>
        <v>540</v>
      </c>
      <c r="H1945" s="59">
        <f>G1945+F1945+E1945*C1945</f>
        <v>7080</v>
      </c>
      <c r="I1945" s="362">
        <f>E1945*C1945</f>
        <v>6000</v>
      </c>
    </row>
    <row r="1946" spans="1:9" x14ac:dyDescent="0.3">
      <c r="A1946" s="173"/>
      <c r="B1946" s="174"/>
      <c r="C1946" s="175"/>
      <c r="D1946" s="152"/>
      <c r="E1946" s="175"/>
      <c r="F1946" s="165"/>
      <c r="G1946" s="165"/>
      <c r="H1946" s="166"/>
    </row>
    <row r="1947" spans="1:9" x14ac:dyDescent="0.3">
      <c r="A1947" s="173"/>
      <c r="B1947" s="174"/>
      <c r="C1947" s="175"/>
      <c r="D1947" s="152"/>
      <c r="E1947" s="175"/>
      <c r="F1947" s="165"/>
      <c r="G1947" s="165"/>
      <c r="H1947" s="166"/>
    </row>
    <row r="1948" spans="1:9" x14ac:dyDescent="0.3">
      <c r="A1948" s="173"/>
      <c r="B1948" s="174"/>
      <c r="C1948" s="175"/>
      <c r="D1948" s="152"/>
      <c r="E1948" s="175"/>
      <c r="F1948" s="165"/>
      <c r="G1948" s="165"/>
      <c r="H1948" s="166"/>
    </row>
    <row r="1949" spans="1:9" x14ac:dyDescent="0.3">
      <c r="A1949" s="173"/>
      <c r="B1949" s="174"/>
      <c r="C1949" s="175"/>
      <c r="D1949" s="152"/>
      <c r="E1949" s="175"/>
      <c r="F1949" s="165"/>
      <c r="G1949" s="165"/>
      <c r="H1949" s="166"/>
    </row>
    <row r="1950" spans="1:9" x14ac:dyDescent="0.3">
      <c r="A1950" s="173"/>
      <c r="B1950" s="174"/>
      <c r="C1950" s="175"/>
      <c r="D1950" s="152"/>
      <c r="E1950" s="175"/>
      <c r="F1950" s="165"/>
      <c r="G1950" s="165"/>
      <c r="H1950" s="166"/>
    </row>
    <row r="1951" spans="1:9" x14ac:dyDescent="0.3">
      <c r="A1951" s="173"/>
      <c r="B1951" s="174"/>
      <c r="C1951" s="175"/>
      <c r="D1951" s="152"/>
      <c r="E1951" s="175"/>
      <c r="F1951" s="165"/>
      <c r="G1951" s="165"/>
      <c r="H1951" s="166"/>
    </row>
    <row r="1952" spans="1:9" x14ac:dyDescent="0.3">
      <c r="A1952" s="173"/>
      <c r="B1952" s="174"/>
      <c r="C1952" s="175"/>
      <c r="D1952" s="152"/>
      <c r="E1952" s="175"/>
      <c r="F1952" s="165"/>
      <c r="G1952" s="165"/>
      <c r="H1952" s="166"/>
    </row>
    <row r="1953" spans="1:8" x14ac:dyDescent="0.3">
      <c r="A1953" s="173"/>
      <c r="B1953" s="174"/>
      <c r="C1953" s="175"/>
      <c r="D1953" s="152"/>
      <c r="E1953" s="175"/>
      <c r="F1953" s="165"/>
      <c r="G1953" s="165"/>
      <c r="H1953" s="166"/>
    </row>
    <row r="1954" spans="1:8" x14ac:dyDescent="0.3">
      <c r="A1954" s="173"/>
      <c r="B1954" s="174"/>
      <c r="C1954" s="175"/>
      <c r="D1954" s="152"/>
      <c r="E1954" s="175"/>
      <c r="F1954" s="165"/>
      <c r="G1954" s="165"/>
      <c r="H1954" s="166"/>
    </row>
    <row r="1955" spans="1:8" x14ac:dyDescent="0.3">
      <c r="A1955" s="27"/>
      <c r="B1955" s="174"/>
      <c r="C1955" s="24"/>
      <c r="D1955" s="152"/>
      <c r="E1955" s="175"/>
      <c r="F1955" s="175"/>
      <c r="G1955" s="162"/>
      <c r="H1955" s="154"/>
    </row>
    <row r="1956" spans="1:8" x14ac:dyDescent="0.3">
      <c r="A1956" s="27"/>
      <c r="B1956" s="174"/>
      <c r="C1956" s="24"/>
      <c r="D1956" s="152"/>
      <c r="E1956" s="25"/>
      <c r="F1956" s="175"/>
      <c r="G1956" s="162"/>
      <c r="H1956" s="154"/>
    </row>
    <row r="1957" spans="1:8" x14ac:dyDescent="0.3">
      <c r="A1957" s="27"/>
      <c r="B1957" s="28"/>
      <c r="C1957" s="24"/>
      <c r="D1957" s="152"/>
      <c r="E1957" s="25"/>
      <c r="F1957" s="175"/>
      <c r="G1957" s="162"/>
      <c r="H1957" s="154"/>
    </row>
    <row r="1958" spans="1:8" x14ac:dyDescent="0.3">
      <c r="A1958" s="27"/>
      <c r="B1958" s="28"/>
      <c r="C1958" s="24"/>
      <c r="D1958" s="25"/>
      <c r="E1958" s="25"/>
      <c r="F1958" s="25"/>
      <c r="G1958" s="28"/>
      <c r="H1958" s="32"/>
    </row>
    <row r="1959" spans="1:8" ht="15.6" x14ac:dyDescent="0.3">
      <c r="A1959" s="448" t="s">
        <v>45</v>
      </c>
      <c r="B1959" s="449"/>
      <c r="C1959" s="24"/>
      <c r="D1959" s="25"/>
      <c r="E1959" s="25"/>
      <c r="F1959" s="447" t="s">
        <v>46</v>
      </c>
      <c r="G1959" s="447"/>
      <c r="H1959" s="66">
        <f>E1942*C1942+E1943*C1943+E1944*C1944+E1945*C1945</f>
        <v>89700</v>
      </c>
    </row>
    <row r="1960" spans="1:8" ht="15.6" x14ac:dyDescent="0.3">
      <c r="A1960" s="497" t="s">
        <v>453</v>
      </c>
      <c r="B1960" s="498"/>
      <c r="C1960" s="498"/>
      <c r="D1960" s="498"/>
      <c r="E1960" s="498"/>
      <c r="F1960" s="447" t="s">
        <v>47</v>
      </c>
      <c r="G1960" s="447"/>
      <c r="H1960" s="66">
        <f>H1959*9%</f>
        <v>8073</v>
      </c>
    </row>
    <row r="1961" spans="1:8" ht="15.6" x14ac:dyDescent="0.3">
      <c r="A1961" s="27"/>
      <c r="B1961" s="28"/>
      <c r="C1961" s="24"/>
      <c r="D1961" s="25"/>
      <c r="E1961" s="25"/>
      <c r="F1961" s="447" t="s">
        <v>48</v>
      </c>
      <c r="G1961" s="447"/>
      <c r="H1961" s="66">
        <f>H1960</f>
        <v>8073</v>
      </c>
    </row>
    <row r="1962" spans="1:8" ht="15.6" x14ac:dyDescent="0.3">
      <c r="A1962" s="448" t="s">
        <v>49</v>
      </c>
      <c r="B1962" s="449"/>
      <c r="C1962" s="24"/>
      <c r="D1962" s="25"/>
      <c r="E1962" s="25"/>
      <c r="F1962" s="447" t="s">
        <v>50</v>
      </c>
      <c r="G1962" s="447"/>
      <c r="H1962" s="66">
        <f>H1959+H1960+H1961</f>
        <v>105846</v>
      </c>
    </row>
    <row r="1963" spans="1:8" ht="15.6" x14ac:dyDescent="0.3">
      <c r="A1963" s="90"/>
      <c r="B1963" s="177"/>
      <c r="C1963" s="24"/>
      <c r="D1963" s="25"/>
      <c r="E1963" s="25"/>
      <c r="F1963" s="26"/>
      <c r="G1963" s="26"/>
      <c r="H1963" s="66"/>
    </row>
    <row r="1964" spans="1:8" ht="27" x14ac:dyDescent="0.3">
      <c r="A1964" s="29" t="s">
        <v>22</v>
      </c>
      <c r="B1964" s="30" t="s">
        <v>51</v>
      </c>
      <c r="C1964" s="31" t="s">
        <v>24</v>
      </c>
      <c r="D1964" s="31" t="s">
        <v>25</v>
      </c>
      <c r="E1964" s="543" t="s">
        <v>52</v>
      </c>
      <c r="F1964" s="543"/>
      <c r="G1964" s="28"/>
      <c r="H1964" s="32"/>
    </row>
    <row r="1965" spans="1:8" x14ac:dyDescent="0.3">
      <c r="A1965" s="33">
        <v>0.18</v>
      </c>
      <c r="B1965" s="34">
        <f>H1959</f>
        <v>89700</v>
      </c>
      <c r="C1965" s="240">
        <f>H1960</f>
        <v>8073</v>
      </c>
      <c r="D1965" s="240">
        <f>H1961</f>
        <v>8073</v>
      </c>
      <c r="E1965" s="529">
        <f>C1965+D1965</f>
        <v>16146</v>
      </c>
      <c r="F1965" s="530"/>
      <c r="G1965" s="28"/>
      <c r="H1965" s="32"/>
    </row>
    <row r="1966" spans="1:8" x14ac:dyDescent="0.3">
      <c r="A1966" s="452" t="s">
        <v>454</v>
      </c>
      <c r="B1966" s="453"/>
      <c r="C1966" s="453"/>
      <c r="D1966" s="453"/>
      <c r="E1966" s="453"/>
      <c r="F1966" s="453"/>
      <c r="G1966" s="453"/>
      <c r="H1966" s="454"/>
    </row>
    <row r="1967" spans="1:8" ht="15.6" x14ac:dyDescent="0.3">
      <c r="A1967" s="455" t="s">
        <v>53</v>
      </c>
      <c r="B1967" s="456"/>
      <c r="C1967" s="456"/>
      <c r="D1967" s="457"/>
      <c r="E1967" s="458" t="s">
        <v>54</v>
      </c>
      <c r="F1967" s="459"/>
      <c r="G1967" s="459"/>
      <c r="H1967" s="460"/>
    </row>
    <row r="1968" spans="1:8" x14ac:dyDescent="0.3">
      <c r="A1968" s="461" t="s">
        <v>55</v>
      </c>
      <c r="B1968" s="462"/>
      <c r="C1968" s="462"/>
      <c r="D1968" s="463"/>
      <c r="E1968" s="39"/>
      <c r="F1968" s="25"/>
      <c r="G1968" s="28"/>
      <c r="H1968" s="32"/>
    </row>
    <row r="1969" spans="1:8" x14ac:dyDescent="0.3">
      <c r="A1969" s="461" t="s">
        <v>56</v>
      </c>
      <c r="B1969" s="462"/>
      <c r="C1969" s="462"/>
      <c r="D1969" s="463"/>
      <c r="E1969" s="39"/>
      <c r="F1969" s="25"/>
      <c r="G1969" s="28"/>
      <c r="H1969" s="32"/>
    </row>
    <row r="1970" spans="1:8" x14ac:dyDescent="0.3">
      <c r="A1970" s="461" t="s">
        <v>57</v>
      </c>
      <c r="B1970" s="462"/>
      <c r="C1970" s="462"/>
      <c r="D1970" s="463"/>
      <c r="E1970" s="39"/>
      <c r="F1970" s="25"/>
      <c r="G1970" s="28"/>
      <c r="H1970" s="32"/>
    </row>
    <row r="1971" spans="1:8" ht="15.6" x14ac:dyDescent="0.3">
      <c r="A1971" s="464" t="s">
        <v>58</v>
      </c>
      <c r="B1971" s="465"/>
      <c r="C1971" s="465"/>
      <c r="D1971" s="510"/>
      <c r="E1971" s="466" t="s">
        <v>59</v>
      </c>
      <c r="F1971" s="467"/>
      <c r="G1971" s="467"/>
      <c r="H1971" s="468"/>
    </row>
    <row r="1975" spans="1:8" ht="44.4" x14ac:dyDescent="0.7">
      <c r="A1975" s="469" t="s">
        <v>0</v>
      </c>
      <c r="B1975" s="470"/>
      <c r="C1975" s="470"/>
      <c r="D1975" s="470"/>
      <c r="E1975" s="471" t="s">
        <v>1</v>
      </c>
      <c r="F1975" s="472"/>
      <c r="G1975" s="472"/>
      <c r="H1975" s="473"/>
    </row>
    <row r="1976" spans="1:8" ht="20.399999999999999" x14ac:dyDescent="0.35">
      <c r="A1976" s="1"/>
      <c r="B1976" s="476" t="s">
        <v>2</v>
      </c>
      <c r="C1976" s="476"/>
      <c r="D1976" s="476"/>
      <c r="E1976" s="474"/>
      <c r="F1976" s="474"/>
      <c r="G1976" s="474"/>
      <c r="H1976" s="475"/>
    </row>
    <row r="1977" spans="1:8" x14ac:dyDescent="0.3">
      <c r="A1977" s="477" t="s">
        <v>3</v>
      </c>
      <c r="B1977" s="478"/>
      <c r="C1977" s="479" t="s">
        <v>4</v>
      </c>
      <c r="D1977" s="479"/>
      <c r="E1977" s="480" t="s">
        <v>5</v>
      </c>
      <c r="F1977" s="480"/>
      <c r="G1977" s="480"/>
      <c r="H1977" s="480"/>
    </row>
    <row r="1978" spans="1:8" ht="15.6" x14ac:dyDescent="0.3">
      <c r="A1978" s="4" t="s">
        <v>6</v>
      </c>
      <c r="B1978" s="5"/>
      <c r="C1978" s="481" t="s">
        <v>7</v>
      </c>
      <c r="D1978" s="481"/>
      <c r="E1978" s="482">
        <v>44</v>
      </c>
      <c r="F1978" s="482"/>
      <c r="G1978" s="7" t="s">
        <v>8</v>
      </c>
      <c r="H1978" s="250" t="s">
        <v>463</v>
      </c>
    </row>
    <row r="1979" spans="1:8" ht="15.6" x14ac:dyDescent="0.3">
      <c r="A1979" s="551" t="s">
        <v>458</v>
      </c>
      <c r="B1979" s="552"/>
      <c r="C1979" s="481" t="s">
        <v>10</v>
      </c>
      <c r="D1979" s="481"/>
      <c r="E1979" s="482">
        <v>6</v>
      </c>
      <c r="F1979" s="482"/>
      <c r="G1979" s="7" t="s">
        <v>8</v>
      </c>
      <c r="H1979" s="251" t="s">
        <v>464</v>
      </c>
    </row>
    <row r="1980" spans="1:8" ht="27" customHeight="1" x14ac:dyDescent="0.3">
      <c r="A1980" s="560" t="s">
        <v>459</v>
      </c>
      <c r="B1980" s="561"/>
      <c r="C1980" s="483" t="s">
        <v>12</v>
      </c>
      <c r="D1980" s="484"/>
      <c r="E1980" s="564" t="s">
        <v>466</v>
      </c>
      <c r="F1980" s="593"/>
      <c r="G1980" s="10" t="s">
        <v>8</v>
      </c>
      <c r="H1980" s="252" t="s">
        <v>465</v>
      </c>
    </row>
    <row r="1981" spans="1:8" ht="15.6" x14ac:dyDescent="0.3">
      <c r="A1981" s="253" t="s">
        <v>460</v>
      </c>
      <c r="B1981" s="254"/>
      <c r="C1981" s="481" t="s">
        <v>15</v>
      </c>
      <c r="D1981" s="481"/>
      <c r="E1981" s="489" t="s">
        <v>461</v>
      </c>
      <c r="F1981" s="490"/>
      <c r="G1981" s="490"/>
      <c r="H1981" s="491"/>
    </row>
    <row r="1982" spans="1:8" ht="15.6" x14ac:dyDescent="0.3">
      <c r="A1982" s="255" t="s">
        <v>462</v>
      </c>
      <c r="B1982" s="256"/>
      <c r="C1982" s="489"/>
      <c r="D1982" s="490"/>
      <c r="E1982" s="490"/>
      <c r="F1982" s="490"/>
      <c r="G1982" s="490"/>
      <c r="H1982" s="491"/>
    </row>
    <row r="1983" spans="1:8" ht="15" x14ac:dyDescent="0.3">
      <c r="A1983" s="492" t="s">
        <v>17</v>
      </c>
      <c r="B1983" s="494" t="s">
        <v>18</v>
      </c>
      <c r="C1983" s="494" t="s">
        <v>19</v>
      </c>
      <c r="D1983" s="495" t="s">
        <v>20</v>
      </c>
      <c r="E1983" s="494" t="s">
        <v>21</v>
      </c>
      <c r="F1983" s="494" t="s">
        <v>22</v>
      </c>
      <c r="G1983" s="494"/>
      <c r="H1983" s="492" t="s">
        <v>23</v>
      </c>
    </row>
    <row r="1984" spans="1:8" ht="27.6" x14ac:dyDescent="0.3">
      <c r="A1984" s="492"/>
      <c r="B1984" s="494"/>
      <c r="C1984" s="494"/>
      <c r="D1984" s="505"/>
      <c r="E1984" s="494"/>
      <c r="F1984" s="53" t="s">
        <v>24</v>
      </c>
      <c r="G1984" s="53" t="s">
        <v>25</v>
      </c>
      <c r="H1984" s="492"/>
    </row>
    <row r="1985" spans="1:9" x14ac:dyDescent="0.3">
      <c r="A1985" s="55">
        <v>1</v>
      </c>
      <c r="B1985" s="84" t="s">
        <v>467</v>
      </c>
      <c r="C1985" s="55">
        <v>2</v>
      </c>
      <c r="D1985" s="86">
        <v>998719</v>
      </c>
      <c r="E1985" s="55">
        <v>400</v>
      </c>
      <c r="F1985" s="55">
        <f>E1985*C1985*9%</f>
        <v>72</v>
      </c>
      <c r="G1985" s="55">
        <f>F1985</f>
        <v>72</v>
      </c>
      <c r="H1985" s="55">
        <f>G1985+F1985+E1985*C1985</f>
        <v>944</v>
      </c>
      <c r="I1985" s="362">
        <f>E1985*C1985</f>
        <v>800</v>
      </c>
    </row>
    <row r="1986" spans="1:9" ht="27.6" x14ac:dyDescent="0.3">
      <c r="A1986" s="55">
        <v>2</v>
      </c>
      <c r="B1986" s="257" t="s">
        <v>468</v>
      </c>
      <c r="C1986" s="55">
        <v>3</v>
      </c>
      <c r="D1986" s="55">
        <v>998719</v>
      </c>
      <c r="E1986" s="55">
        <v>500</v>
      </c>
      <c r="F1986" s="55">
        <f>E1986*C1986*9%</f>
        <v>135</v>
      </c>
      <c r="G1986" s="55">
        <f>F1986</f>
        <v>135</v>
      </c>
      <c r="H1986" s="55">
        <f>G1986+F1986+E1986*C1986</f>
        <v>1770</v>
      </c>
      <c r="I1986" s="362">
        <f>E1986*C1986</f>
        <v>1500</v>
      </c>
    </row>
    <row r="1987" spans="1:9" x14ac:dyDescent="0.3">
      <c r="A1987" s="55"/>
      <c r="B1987" s="257"/>
      <c r="C1987" s="55"/>
      <c r="D1987" s="55"/>
      <c r="E1987" s="55"/>
      <c r="F1987" s="55"/>
      <c r="G1987" s="55"/>
      <c r="H1987" s="55"/>
    </row>
    <row r="1988" spans="1:9" x14ac:dyDescent="0.3">
      <c r="A1988" s="55"/>
      <c r="B1988" s="257"/>
      <c r="C1988" s="20"/>
      <c r="D1988" s="86"/>
      <c r="E1988" s="55"/>
      <c r="F1988" s="55"/>
      <c r="G1988" s="55"/>
      <c r="H1988" s="55"/>
    </row>
    <row r="1989" spans="1:9" x14ac:dyDescent="0.3">
      <c r="A1989" s="55"/>
      <c r="B1989" s="257"/>
      <c r="C1989" s="20"/>
      <c r="D1989" s="86"/>
      <c r="E1989" s="55"/>
      <c r="F1989" s="55"/>
      <c r="G1989" s="55"/>
      <c r="H1989" s="55"/>
    </row>
    <row r="1990" spans="1:9" x14ac:dyDescent="0.3">
      <c r="A1990" s="55"/>
      <c r="B1990" s="257"/>
      <c r="C1990" s="20"/>
      <c r="D1990" s="86"/>
      <c r="E1990" s="55"/>
      <c r="F1990" s="55"/>
      <c r="G1990" s="55"/>
      <c r="H1990" s="55"/>
    </row>
    <row r="1991" spans="1:9" x14ac:dyDescent="0.3">
      <c r="A1991" s="55"/>
      <c r="B1991" s="257"/>
      <c r="C1991" s="20"/>
      <c r="D1991" s="86"/>
      <c r="E1991" s="55"/>
      <c r="F1991" s="55"/>
      <c r="G1991" s="55"/>
      <c r="H1991" s="55"/>
    </row>
    <row r="1992" spans="1:9" x14ac:dyDescent="0.3">
      <c r="A1992" s="163"/>
      <c r="B1992" s="163"/>
      <c r="C1992" s="163"/>
      <c r="D1992" s="163"/>
      <c r="E1992" s="163"/>
      <c r="F1992" s="163"/>
      <c r="G1992" s="163"/>
      <c r="H1992" s="163"/>
    </row>
    <row r="1993" spans="1:9" x14ac:dyDescent="0.3">
      <c r="A1993" s="258"/>
      <c r="B1993" s="257"/>
      <c r="C1993" s="258"/>
      <c r="D1993" s="86"/>
      <c r="E1993" s="55"/>
      <c r="F1993" s="259"/>
      <c r="G1993" s="259"/>
      <c r="H1993" s="258"/>
    </row>
    <row r="1994" spans="1:9" x14ac:dyDescent="0.3">
      <c r="A1994" s="55"/>
      <c r="B1994" s="84"/>
      <c r="C1994" s="55"/>
      <c r="D1994" s="55"/>
      <c r="E1994" s="55"/>
      <c r="F1994" s="55"/>
      <c r="G1994" s="55"/>
      <c r="H1994" s="55"/>
    </row>
    <row r="1995" spans="1:9" x14ac:dyDescent="0.3">
      <c r="A1995" s="163"/>
      <c r="B1995" s="163"/>
      <c r="C1995" s="163"/>
      <c r="D1995" s="163"/>
      <c r="E1995" s="163"/>
      <c r="F1995" s="163"/>
      <c r="G1995" s="163"/>
      <c r="H1995" s="163"/>
    </row>
    <row r="1996" spans="1:9" x14ac:dyDescent="0.3">
      <c r="A1996" s="55"/>
      <c r="B1996" s="257"/>
      <c r="C1996" s="55"/>
      <c r="D1996" s="55"/>
      <c r="E1996" s="55"/>
      <c r="F1996" s="55"/>
      <c r="G1996" s="55"/>
      <c r="H1996" s="55"/>
    </row>
    <row r="1997" spans="1:9" x14ac:dyDescent="0.3">
      <c r="A1997" s="57"/>
      <c r="B1997" s="84"/>
      <c r="C1997" s="85"/>
      <c r="D1997" s="86"/>
      <c r="E1997" s="87"/>
      <c r="F1997" s="47"/>
      <c r="G1997" s="47"/>
      <c r="H1997" s="47"/>
    </row>
    <row r="1998" spans="1:9" x14ac:dyDescent="0.3">
      <c r="A1998" s="57"/>
      <c r="B1998" s="84"/>
      <c r="C1998" s="85"/>
      <c r="D1998" s="86"/>
      <c r="E1998" s="47"/>
      <c r="F1998" s="47"/>
      <c r="G1998" s="47"/>
      <c r="H1998" s="47"/>
    </row>
    <row r="1999" spans="1:9" x14ac:dyDescent="0.3">
      <c r="A1999" s="55"/>
      <c r="B1999" s="84"/>
      <c r="C1999" s="55"/>
      <c r="D1999" s="86"/>
      <c r="E1999" s="47"/>
      <c r="F1999" s="47"/>
      <c r="G1999" s="47"/>
      <c r="H1999" s="47"/>
    </row>
    <row r="2000" spans="1:9" x14ac:dyDescent="0.3">
      <c r="A2000" s="27"/>
      <c r="B2000" s="28"/>
      <c r="C2000" s="24"/>
      <c r="D2000" s="25"/>
      <c r="E2000" s="25"/>
      <c r="F2000" s="28"/>
      <c r="G2000" s="28"/>
      <c r="H2000" s="32"/>
    </row>
    <row r="2001" spans="1:8" ht="15.6" x14ac:dyDescent="0.3">
      <c r="A2001" s="448" t="s">
        <v>45</v>
      </c>
      <c r="B2001" s="449"/>
      <c r="C2001" s="24"/>
      <c r="D2001" s="25"/>
      <c r="E2001" s="25"/>
      <c r="F2001" s="447" t="s">
        <v>46</v>
      </c>
      <c r="G2001" s="447"/>
      <c r="H2001" s="66">
        <v>2300</v>
      </c>
    </row>
    <row r="2002" spans="1:8" ht="15.6" x14ac:dyDescent="0.3">
      <c r="A2002" s="497" t="s">
        <v>505</v>
      </c>
      <c r="B2002" s="498"/>
      <c r="C2002" s="498"/>
      <c r="D2002" s="498"/>
      <c r="E2002" s="498"/>
      <c r="F2002" s="447" t="s">
        <v>47</v>
      </c>
      <c r="G2002" s="447"/>
      <c r="H2002" s="66">
        <f>H2001*9%</f>
        <v>207</v>
      </c>
    </row>
    <row r="2003" spans="1:8" ht="15.6" x14ac:dyDescent="0.3">
      <c r="A2003" s="27"/>
      <c r="B2003" s="28"/>
      <c r="C2003" s="24"/>
      <c r="D2003" s="25"/>
      <c r="E2003" s="25"/>
      <c r="F2003" s="447" t="s">
        <v>48</v>
      </c>
      <c r="G2003" s="447"/>
      <c r="H2003" s="66">
        <f>H2002</f>
        <v>207</v>
      </c>
    </row>
    <row r="2004" spans="1:8" ht="15.6" x14ac:dyDescent="0.3">
      <c r="A2004" s="64" t="s">
        <v>49</v>
      </c>
      <c r="B2004" s="65"/>
      <c r="C2004" s="24"/>
      <c r="D2004" s="25"/>
      <c r="E2004" s="25"/>
      <c r="F2004" s="447" t="s">
        <v>50</v>
      </c>
      <c r="G2004" s="447"/>
      <c r="H2004" s="66">
        <f>H2001+H2002+H2003</f>
        <v>2714</v>
      </c>
    </row>
    <row r="2005" spans="1:8" ht="27" x14ac:dyDescent="0.3">
      <c r="A2005" s="68" t="s">
        <v>22</v>
      </c>
      <c r="B2005" s="30" t="s">
        <v>51</v>
      </c>
      <c r="C2005" s="70" t="s">
        <v>24</v>
      </c>
      <c r="D2005" s="31" t="s">
        <v>25</v>
      </c>
      <c r="E2005" s="450" t="s">
        <v>52</v>
      </c>
      <c r="F2005" s="450"/>
      <c r="G2005" s="28"/>
      <c r="H2005" s="32"/>
    </row>
    <row r="2006" spans="1:8" x14ac:dyDescent="0.3">
      <c r="A2006" s="72">
        <v>0.18</v>
      </c>
      <c r="B2006" s="73">
        <f>H2001</f>
        <v>2300</v>
      </c>
      <c r="C2006" s="91">
        <f>H2002</f>
        <v>207</v>
      </c>
      <c r="D2006" s="91">
        <f>H2002</f>
        <v>207</v>
      </c>
      <c r="E2006" s="506">
        <f>C2006+D2006</f>
        <v>414</v>
      </c>
      <c r="F2006" s="507"/>
      <c r="G2006" s="74"/>
      <c r="H2006" s="75"/>
    </row>
    <row r="2007" spans="1:8" x14ac:dyDescent="0.3">
      <c r="A2007" s="508" t="s">
        <v>506</v>
      </c>
      <c r="B2007" s="509"/>
      <c r="C2007" s="509"/>
      <c r="D2007" s="509"/>
      <c r="E2007" s="453"/>
      <c r="F2007" s="453"/>
      <c r="G2007" s="453"/>
      <c r="H2007" s="454"/>
    </row>
    <row r="2008" spans="1:8" ht="15.6" x14ac:dyDescent="0.3">
      <c r="A2008" s="455" t="s">
        <v>53</v>
      </c>
      <c r="B2008" s="456"/>
      <c r="C2008" s="456"/>
      <c r="D2008" s="457"/>
      <c r="E2008" s="458" t="s">
        <v>54</v>
      </c>
      <c r="F2008" s="459"/>
      <c r="G2008" s="459"/>
      <c r="H2008" s="460"/>
    </row>
    <row r="2009" spans="1:8" x14ac:dyDescent="0.3">
      <c r="A2009" s="461" t="s">
        <v>55</v>
      </c>
      <c r="B2009" s="462"/>
      <c r="C2009" s="462"/>
      <c r="D2009" s="463"/>
      <c r="E2009" s="39"/>
      <c r="F2009" s="28"/>
      <c r="G2009" s="28"/>
      <c r="H2009" s="32"/>
    </row>
    <row r="2010" spans="1:8" x14ac:dyDescent="0.3">
      <c r="A2010" s="461" t="s">
        <v>56</v>
      </c>
      <c r="B2010" s="462"/>
      <c r="C2010" s="462"/>
      <c r="D2010" s="463"/>
      <c r="E2010" s="39"/>
      <c r="F2010" s="28"/>
      <c r="G2010" s="28"/>
      <c r="H2010" s="32"/>
    </row>
    <row r="2011" spans="1:8" x14ac:dyDescent="0.3">
      <c r="A2011" s="461" t="s">
        <v>57</v>
      </c>
      <c r="B2011" s="462"/>
      <c r="C2011" s="462"/>
      <c r="D2011" s="463"/>
      <c r="E2011" s="39"/>
      <c r="F2011" s="28"/>
      <c r="G2011" s="28"/>
      <c r="H2011" s="32"/>
    </row>
    <row r="2012" spans="1:8" ht="15.6" x14ac:dyDescent="0.3">
      <c r="A2012" s="464" t="s">
        <v>58</v>
      </c>
      <c r="B2012" s="465"/>
      <c r="C2012" s="465"/>
      <c r="D2012" s="465"/>
      <c r="E2012" s="466" t="s">
        <v>59</v>
      </c>
      <c r="F2012" s="467"/>
      <c r="G2012" s="467"/>
      <c r="H2012" s="468"/>
    </row>
    <row r="2020" spans="1:9" ht="44.4" x14ac:dyDescent="0.7">
      <c r="A2020" s="469" t="s">
        <v>0</v>
      </c>
      <c r="B2020" s="470"/>
      <c r="C2020" s="470"/>
      <c r="D2020" s="470"/>
      <c r="E2020" s="471" t="s">
        <v>1</v>
      </c>
      <c r="F2020" s="472"/>
      <c r="G2020" s="472"/>
      <c r="H2020" s="473"/>
    </row>
    <row r="2021" spans="1:9" ht="20.399999999999999" x14ac:dyDescent="0.35">
      <c r="A2021" s="1"/>
      <c r="B2021" s="476" t="s">
        <v>2</v>
      </c>
      <c r="C2021" s="476"/>
      <c r="D2021" s="476"/>
      <c r="E2021" s="474"/>
      <c r="F2021" s="474"/>
      <c r="G2021" s="474"/>
      <c r="H2021" s="475"/>
    </row>
    <row r="2022" spans="1:9" x14ac:dyDescent="0.3">
      <c r="A2022" s="477" t="s">
        <v>3</v>
      </c>
      <c r="B2022" s="478"/>
      <c r="C2022" s="479" t="s">
        <v>4</v>
      </c>
      <c r="D2022" s="479"/>
      <c r="E2022" s="480" t="s">
        <v>5</v>
      </c>
      <c r="F2022" s="480"/>
      <c r="G2022" s="480"/>
      <c r="H2022" s="480"/>
    </row>
    <row r="2023" spans="1:9" ht="15.6" x14ac:dyDescent="0.3">
      <c r="A2023" s="4" t="s">
        <v>6</v>
      </c>
      <c r="B2023" s="5"/>
      <c r="C2023" s="481" t="s">
        <v>7</v>
      </c>
      <c r="D2023" s="481"/>
      <c r="E2023" s="482">
        <v>45</v>
      </c>
      <c r="F2023" s="482"/>
      <c r="G2023" s="7" t="s">
        <v>8</v>
      </c>
      <c r="H2023" s="250" t="s">
        <v>463</v>
      </c>
    </row>
    <row r="2024" spans="1:9" ht="15.6" x14ac:dyDescent="0.3">
      <c r="A2024" s="551" t="s">
        <v>458</v>
      </c>
      <c r="B2024" s="552"/>
      <c r="C2024" s="481" t="s">
        <v>10</v>
      </c>
      <c r="D2024" s="481"/>
      <c r="E2024" s="482">
        <v>8</v>
      </c>
      <c r="F2024" s="482"/>
      <c r="G2024" s="7" t="s">
        <v>8</v>
      </c>
      <c r="H2024" s="251">
        <v>45844</v>
      </c>
    </row>
    <row r="2025" spans="1:9" ht="27" customHeight="1" x14ac:dyDescent="0.3">
      <c r="A2025" s="560" t="s">
        <v>459</v>
      </c>
      <c r="B2025" s="561"/>
      <c r="C2025" s="483" t="s">
        <v>12</v>
      </c>
      <c r="D2025" s="484"/>
      <c r="E2025" s="564" t="s">
        <v>466</v>
      </c>
      <c r="F2025" s="593"/>
      <c r="G2025" s="10" t="s">
        <v>8</v>
      </c>
      <c r="H2025" s="252" t="s">
        <v>465</v>
      </c>
    </row>
    <row r="2026" spans="1:9" ht="15.6" x14ac:dyDescent="0.3">
      <c r="A2026" s="253" t="s">
        <v>460</v>
      </c>
      <c r="B2026" s="254"/>
      <c r="C2026" s="481" t="s">
        <v>15</v>
      </c>
      <c r="D2026" s="481"/>
      <c r="E2026" s="489" t="s">
        <v>461</v>
      </c>
      <c r="F2026" s="490"/>
      <c r="G2026" s="490"/>
      <c r="H2026" s="491"/>
    </row>
    <row r="2027" spans="1:9" ht="15.6" x14ac:dyDescent="0.3">
      <c r="A2027" s="255" t="s">
        <v>469</v>
      </c>
      <c r="B2027" s="256"/>
      <c r="C2027" s="489"/>
      <c r="D2027" s="490"/>
      <c r="E2027" s="490"/>
      <c r="F2027" s="490"/>
      <c r="G2027" s="490"/>
      <c r="H2027" s="491"/>
    </row>
    <row r="2028" spans="1:9" ht="15" x14ac:dyDescent="0.3">
      <c r="A2028" s="492" t="s">
        <v>17</v>
      </c>
      <c r="B2028" s="494" t="s">
        <v>18</v>
      </c>
      <c r="C2028" s="494" t="s">
        <v>19</v>
      </c>
      <c r="D2028" s="495" t="s">
        <v>20</v>
      </c>
      <c r="E2028" s="494" t="s">
        <v>21</v>
      </c>
      <c r="F2028" s="494" t="s">
        <v>22</v>
      </c>
      <c r="G2028" s="494"/>
      <c r="H2028" s="492" t="s">
        <v>23</v>
      </c>
    </row>
    <row r="2029" spans="1:9" ht="27.6" x14ac:dyDescent="0.3">
      <c r="A2029" s="492"/>
      <c r="B2029" s="494"/>
      <c r="C2029" s="494"/>
      <c r="D2029" s="505"/>
      <c r="E2029" s="494"/>
      <c r="F2029" s="53" t="s">
        <v>24</v>
      </c>
      <c r="G2029" s="53" t="s">
        <v>25</v>
      </c>
      <c r="H2029" s="492"/>
    </row>
    <row r="2030" spans="1:9" x14ac:dyDescent="0.3">
      <c r="A2030" s="55">
        <v>1</v>
      </c>
      <c r="B2030" s="84" t="s">
        <v>470</v>
      </c>
      <c r="C2030" s="55">
        <v>4</v>
      </c>
      <c r="D2030" s="86">
        <v>998719</v>
      </c>
      <c r="E2030" s="55">
        <v>400</v>
      </c>
      <c r="F2030" s="55">
        <f>E2030*C2030*9%</f>
        <v>144</v>
      </c>
      <c r="G2030" s="55">
        <f>F2030</f>
        <v>144</v>
      </c>
      <c r="H2030" s="55">
        <f>G2030+F2030+E2030*C2030</f>
        <v>1888</v>
      </c>
      <c r="I2030" s="362">
        <f>E2030*C2030</f>
        <v>1600</v>
      </c>
    </row>
    <row r="2031" spans="1:9" ht="27.6" x14ac:dyDescent="0.3">
      <c r="A2031" s="55">
        <v>2</v>
      </c>
      <c r="B2031" s="257" t="s">
        <v>471</v>
      </c>
      <c r="C2031" s="55">
        <v>1</v>
      </c>
      <c r="D2031" s="86">
        <v>998719</v>
      </c>
      <c r="E2031" s="55">
        <v>1000</v>
      </c>
      <c r="F2031" s="55">
        <f>E2031*C2031*9%</f>
        <v>90</v>
      </c>
      <c r="G2031" s="55">
        <f>F2031</f>
        <v>90</v>
      </c>
      <c r="H2031" s="55">
        <f>G2031+F2031+E2031*C2031</f>
        <v>1180</v>
      </c>
      <c r="I2031" s="362">
        <f>E2031*C2031</f>
        <v>1000</v>
      </c>
    </row>
    <row r="2032" spans="1:9" x14ac:dyDescent="0.3">
      <c r="A2032" s="55"/>
      <c r="B2032" s="257"/>
      <c r="C2032" s="55"/>
      <c r="D2032" s="55"/>
      <c r="E2032" s="55"/>
      <c r="F2032" s="55"/>
      <c r="G2032" s="55"/>
      <c r="H2032" s="55"/>
    </row>
    <row r="2033" spans="1:8" x14ac:dyDescent="0.3">
      <c r="A2033" s="55"/>
      <c r="B2033" s="257"/>
      <c r="C2033" s="20"/>
      <c r="D2033" s="86"/>
      <c r="E2033" s="55"/>
      <c r="F2033" s="55"/>
      <c r="G2033" s="55"/>
      <c r="H2033" s="55"/>
    </row>
    <row r="2034" spans="1:8" x14ac:dyDescent="0.3">
      <c r="A2034" s="55"/>
      <c r="B2034" s="257"/>
      <c r="C2034" s="20"/>
      <c r="D2034" s="86"/>
      <c r="E2034" s="55"/>
      <c r="F2034" s="55"/>
      <c r="G2034" s="55"/>
      <c r="H2034" s="55"/>
    </row>
    <row r="2035" spans="1:8" x14ac:dyDescent="0.3">
      <c r="A2035" s="55"/>
      <c r="B2035" s="257"/>
      <c r="C2035" s="20"/>
      <c r="D2035" s="86"/>
      <c r="E2035" s="55"/>
      <c r="F2035" s="55"/>
      <c r="G2035" s="55"/>
      <c r="H2035" s="55"/>
    </row>
    <row r="2036" spans="1:8" x14ac:dyDescent="0.3">
      <c r="A2036" s="55"/>
      <c r="B2036" s="257"/>
      <c r="C2036" s="20"/>
      <c r="D2036" s="86"/>
      <c r="E2036" s="55"/>
      <c r="F2036" s="55"/>
      <c r="G2036" s="55"/>
      <c r="H2036" s="55"/>
    </row>
    <row r="2037" spans="1:8" x14ac:dyDescent="0.3">
      <c r="A2037" s="163"/>
      <c r="B2037" s="163"/>
      <c r="C2037" s="163"/>
      <c r="D2037" s="163"/>
      <c r="E2037" s="163"/>
      <c r="F2037" s="163"/>
      <c r="G2037" s="163"/>
      <c r="H2037" s="163"/>
    </row>
    <row r="2038" spans="1:8" x14ac:dyDescent="0.3">
      <c r="A2038" s="258"/>
      <c r="B2038" s="257"/>
      <c r="C2038" s="258"/>
      <c r="D2038" s="86"/>
      <c r="E2038" s="55"/>
      <c r="F2038" s="259"/>
      <c r="G2038" s="259"/>
      <c r="H2038" s="258"/>
    </row>
    <row r="2039" spans="1:8" x14ac:dyDescent="0.3">
      <c r="A2039" s="55"/>
      <c r="B2039" s="84"/>
      <c r="C2039" s="55"/>
      <c r="D2039" s="55"/>
      <c r="E2039" s="55"/>
      <c r="F2039" s="55"/>
      <c r="G2039" s="55"/>
      <c r="H2039" s="55"/>
    </row>
    <row r="2040" spans="1:8" x14ac:dyDescent="0.3">
      <c r="A2040" s="163"/>
      <c r="B2040" s="163"/>
      <c r="C2040" s="163"/>
      <c r="D2040" s="163"/>
      <c r="E2040" s="163"/>
      <c r="F2040" s="163"/>
      <c r="G2040" s="163"/>
      <c r="H2040" s="163"/>
    </row>
    <row r="2041" spans="1:8" x14ac:dyDescent="0.3">
      <c r="A2041" s="55"/>
      <c r="B2041" s="257"/>
      <c r="C2041" s="55"/>
      <c r="D2041" s="55"/>
      <c r="E2041" s="55"/>
      <c r="F2041" s="55"/>
      <c r="G2041" s="55"/>
      <c r="H2041" s="55"/>
    </row>
    <row r="2042" spans="1:8" x14ac:dyDescent="0.3">
      <c r="A2042" s="57"/>
      <c r="B2042" s="84"/>
      <c r="C2042" s="85"/>
      <c r="D2042" s="86"/>
      <c r="E2042" s="87"/>
      <c r="F2042" s="47"/>
      <c r="G2042" s="47"/>
      <c r="H2042" s="47"/>
    </row>
    <row r="2043" spans="1:8" x14ac:dyDescent="0.3">
      <c r="A2043" s="57"/>
      <c r="B2043" s="84"/>
      <c r="C2043" s="85"/>
      <c r="D2043" s="86"/>
      <c r="E2043" s="47"/>
      <c r="F2043" s="47"/>
      <c r="G2043" s="47"/>
      <c r="H2043" s="47"/>
    </row>
    <row r="2044" spans="1:8" x14ac:dyDescent="0.3">
      <c r="A2044" s="55"/>
      <c r="B2044" s="84"/>
      <c r="C2044" s="55"/>
      <c r="D2044" s="86"/>
      <c r="E2044" s="47"/>
      <c r="F2044" s="47"/>
      <c r="G2044" s="47"/>
      <c r="H2044" s="47"/>
    </row>
    <row r="2045" spans="1:8" x14ac:dyDescent="0.3">
      <c r="A2045" s="27"/>
      <c r="B2045" s="88"/>
      <c r="C2045" s="24"/>
      <c r="D2045" s="89"/>
      <c r="E2045" s="25"/>
      <c r="F2045" s="25"/>
      <c r="G2045" s="25"/>
      <c r="H2045" s="32"/>
    </row>
    <row r="2046" spans="1:8" x14ac:dyDescent="0.3">
      <c r="A2046" s="27"/>
      <c r="B2046" s="88"/>
      <c r="C2046" s="24"/>
      <c r="D2046" s="89"/>
      <c r="E2046" s="25"/>
      <c r="F2046" s="25"/>
      <c r="G2046" s="25"/>
      <c r="H2046" s="32"/>
    </row>
    <row r="2047" spans="1:8" x14ac:dyDescent="0.3">
      <c r="A2047" s="27"/>
      <c r="B2047" s="88"/>
      <c r="C2047" s="24"/>
      <c r="D2047" s="89"/>
      <c r="E2047" s="25"/>
      <c r="F2047" s="25"/>
      <c r="G2047" s="25"/>
      <c r="H2047" s="32"/>
    </row>
    <row r="2048" spans="1:8" x14ac:dyDescent="0.3">
      <c r="A2048" s="27"/>
      <c r="B2048" s="88"/>
      <c r="C2048" s="24"/>
      <c r="D2048" s="89"/>
      <c r="E2048" s="25"/>
      <c r="F2048" s="25"/>
      <c r="G2048" s="25"/>
      <c r="H2048" s="32"/>
    </row>
    <row r="2049" spans="1:8" x14ac:dyDescent="0.3">
      <c r="A2049" s="27"/>
      <c r="B2049" s="88"/>
      <c r="C2049" s="24"/>
      <c r="D2049" s="89"/>
      <c r="E2049" s="25"/>
      <c r="F2049" s="25"/>
      <c r="G2049" s="25"/>
      <c r="H2049" s="32"/>
    </row>
    <row r="2050" spans="1:8" x14ac:dyDescent="0.3">
      <c r="A2050" s="27"/>
      <c r="B2050" s="88"/>
      <c r="C2050" s="24"/>
      <c r="D2050" s="89"/>
      <c r="E2050" s="25"/>
      <c r="F2050" s="25"/>
      <c r="G2050" s="25"/>
      <c r="H2050" s="32"/>
    </row>
    <row r="2051" spans="1:8" x14ac:dyDescent="0.3">
      <c r="A2051" s="27"/>
      <c r="B2051" s="28"/>
      <c r="C2051" s="24"/>
      <c r="D2051" s="25"/>
      <c r="E2051" s="25"/>
      <c r="F2051" s="28"/>
      <c r="G2051" s="28"/>
      <c r="H2051" s="32"/>
    </row>
    <row r="2052" spans="1:8" ht="15.6" x14ac:dyDescent="0.3">
      <c r="A2052" s="448" t="s">
        <v>45</v>
      </c>
      <c r="B2052" s="449"/>
      <c r="C2052" s="24"/>
      <c r="D2052" s="25"/>
      <c r="E2052" s="25"/>
      <c r="F2052" s="447" t="s">
        <v>46</v>
      </c>
      <c r="G2052" s="447"/>
      <c r="H2052" s="66">
        <v>2600</v>
      </c>
    </row>
    <row r="2053" spans="1:8" ht="15.6" x14ac:dyDescent="0.3">
      <c r="A2053" s="497" t="s">
        <v>507</v>
      </c>
      <c r="B2053" s="498"/>
      <c r="C2053" s="498"/>
      <c r="D2053" s="498"/>
      <c r="E2053" s="498"/>
      <c r="F2053" s="447" t="s">
        <v>47</v>
      </c>
      <c r="G2053" s="447"/>
      <c r="H2053" s="66">
        <f>H2052*9%</f>
        <v>234</v>
      </c>
    </row>
    <row r="2054" spans="1:8" ht="15.6" x14ac:dyDescent="0.3">
      <c r="A2054" s="27"/>
      <c r="B2054" s="28"/>
      <c r="C2054" s="24"/>
      <c r="D2054" s="25"/>
      <c r="E2054" s="25"/>
      <c r="F2054" s="447" t="s">
        <v>48</v>
      </c>
      <c r="G2054" s="447"/>
      <c r="H2054" s="66">
        <f>H2053</f>
        <v>234</v>
      </c>
    </row>
    <row r="2055" spans="1:8" ht="15.6" x14ac:dyDescent="0.3">
      <c r="A2055" s="64" t="s">
        <v>49</v>
      </c>
      <c r="B2055" s="65"/>
      <c r="C2055" s="24"/>
      <c r="D2055" s="25"/>
      <c r="E2055" s="25"/>
      <c r="F2055" s="447" t="s">
        <v>50</v>
      </c>
      <c r="G2055" s="447"/>
      <c r="H2055" s="66">
        <f>H2052+H2053+H2054</f>
        <v>3068</v>
      </c>
    </row>
    <row r="2056" spans="1:8" ht="27" x14ac:dyDescent="0.3">
      <c r="A2056" s="68" t="s">
        <v>22</v>
      </c>
      <c r="B2056" s="30" t="s">
        <v>51</v>
      </c>
      <c r="C2056" s="70" t="s">
        <v>24</v>
      </c>
      <c r="D2056" s="31" t="s">
        <v>25</v>
      </c>
      <c r="E2056" s="450" t="s">
        <v>52</v>
      </c>
      <c r="F2056" s="450"/>
      <c r="G2056" s="28"/>
      <c r="H2056" s="32"/>
    </row>
    <row r="2057" spans="1:8" x14ac:dyDescent="0.3">
      <c r="A2057" s="72">
        <v>0.18</v>
      </c>
      <c r="B2057" s="73">
        <f>H2052</f>
        <v>2600</v>
      </c>
      <c r="C2057" s="91">
        <f>H2053</f>
        <v>234</v>
      </c>
      <c r="D2057" s="91">
        <f>H2053</f>
        <v>234</v>
      </c>
      <c r="E2057" s="506">
        <f>C2057+D2057</f>
        <v>468</v>
      </c>
      <c r="F2057" s="507"/>
      <c r="G2057" s="74"/>
      <c r="H2057" s="75"/>
    </row>
    <row r="2058" spans="1:8" x14ac:dyDescent="0.3">
      <c r="A2058" s="508" t="s">
        <v>508</v>
      </c>
      <c r="B2058" s="509"/>
      <c r="C2058" s="509"/>
      <c r="D2058" s="509"/>
      <c r="E2058" s="453"/>
      <c r="F2058" s="453"/>
      <c r="G2058" s="453"/>
      <c r="H2058" s="454"/>
    </row>
    <row r="2059" spans="1:8" ht="15.6" x14ac:dyDescent="0.3">
      <c r="A2059" s="455" t="s">
        <v>53</v>
      </c>
      <c r="B2059" s="456"/>
      <c r="C2059" s="456"/>
      <c r="D2059" s="457"/>
      <c r="E2059" s="458" t="s">
        <v>54</v>
      </c>
      <c r="F2059" s="459"/>
      <c r="G2059" s="459"/>
      <c r="H2059" s="460"/>
    </row>
    <row r="2060" spans="1:8" x14ac:dyDescent="0.3">
      <c r="A2060" s="461" t="s">
        <v>55</v>
      </c>
      <c r="B2060" s="462"/>
      <c r="C2060" s="462"/>
      <c r="D2060" s="463"/>
      <c r="E2060" s="39"/>
      <c r="F2060" s="28"/>
      <c r="G2060" s="28"/>
      <c r="H2060" s="32"/>
    </row>
    <row r="2061" spans="1:8" x14ac:dyDescent="0.3">
      <c r="A2061" s="461" t="s">
        <v>56</v>
      </c>
      <c r="B2061" s="462"/>
      <c r="C2061" s="462"/>
      <c r="D2061" s="463"/>
      <c r="E2061" s="39"/>
      <c r="F2061" s="28"/>
      <c r="G2061" s="28"/>
      <c r="H2061" s="32"/>
    </row>
    <row r="2062" spans="1:8" x14ac:dyDescent="0.3">
      <c r="A2062" s="461" t="s">
        <v>57</v>
      </c>
      <c r="B2062" s="462"/>
      <c r="C2062" s="462"/>
      <c r="D2062" s="463"/>
      <c r="E2062" s="39"/>
      <c r="F2062" s="28"/>
      <c r="G2062" s="28"/>
      <c r="H2062" s="32"/>
    </row>
    <row r="2063" spans="1:8" ht="15.6" x14ac:dyDescent="0.3">
      <c r="A2063" s="464" t="s">
        <v>58</v>
      </c>
      <c r="B2063" s="465"/>
      <c r="C2063" s="465"/>
      <c r="D2063" s="465"/>
      <c r="E2063" s="466" t="s">
        <v>59</v>
      </c>
      <c r="F2063" s="467"/>
      <c r="G2063" s="467"/>
      <c r="H2063" s="468"/>
    </row>
    <row r="2066" spans="1:9" ht="44.4" x14ac:dyDescent="0.7">
      <c r="A2066" s="469" t="s">
        <v>0</v>
      </c>
      <c r="B2066" s="470"/>
      <c r="C2066" s="470"/>
      <c r="D2066" s="470"/>
      <c r="E2066" s="471" t="s">
        <v>1</v>
      </c>
      <c r="F2066" s="472"/>
      <c r="G2066" s="472"/>
      <c r="H2066" s="473"/>
    </row>
    <row r="2067" spans="1:9" ht="20.399999999999999" x14ac:dyDescent="0.35">
      <c r="A2067" s="1"/>
      <c r="B2067" s="476" t="s">
        <v>2</v>
      </c>
      <c r="C2067" s="476"/>
      <c r="D2067" s="476"/>
      <c r="E2067" s="474"/>
      <c r="F2067" s="474"/>
      <c r="G2067" s="474"/>
      <c r="H2067" s="475"/>
    </row>
    <row r="2068" spans="1:9" x14ac:dyDescent="0.3">
      <c r="A2068" s="477" t="s">
        <v>3</v>
      </c>
      <c r="B2068" s="478"/>
      <c r="C2068" s="479" t="s">
        <v>4</v>
      </c>
      <c r="D2068" s="479"/>
      <c r="E2068" s="480" t="s">
        <v>5</v>
      </c>
      <c r="F2068" s="480"/>
      <c r="G2068" s="480"/>
      <c r="H2068" s="480"/>
    </row>
    <row r="2069" spans="1:9" ht="15.6" x14ac:dyDescent="0.3">
      <c r="A2069" s="4" t="s">
        <v>6</v>
      </c>
      <c r="B2069" s="5"/>
      <c r="C2069" s="481" t="s">
        <v>7</v>
      </c>
      <c r="D2069" s="481"/>
      <c r="E2069" s="482">
        <v>46</v>
      </c>
      <c r="F2069" s="482"/>
      <c r="G2069" s="7" t="s">
        <v>8</v>
      </c>
      <c r="H2069" s="250" t="s">
        <v>463</v>
      </c>
    </row>
    <row r="2070" spans="1:9" ht="15.6" x14ac:dyDescent="0.3">
      <c r="A2070" s="551" t="s">
        <v>458</v>
      </c>
      <c r="B2070" s="552"/>
      <c r="C2070" s="481" t="s">
        <v>10</v>
      </c>
      <c r="D2070" s="481"/>
      <c r="E2070" s="482">
        <v>120</v>
      </c>
      <c r="F2070" s="482"/>
      <c r="G2070" s="7" t="s">
        <v>8</v>
      </c>
      <c r="H2070" s="251" t="s">
        <v>472</v>
      </c>
    </row>
    <row r="2071" spans="1:9" ht="27" customHeight="1" x14ac:dyDescent="0.3">
      <c r="A2071" s="560" t="s">
        <v>459</v>
      </c>
      <c r="B2071" s="561"/>
      <c r="C2071" s="483" t="s">
        <v>12</v>
      </c>
      <c r="D2071" s="484"/>
      <c r="E2071" s="564" t="s">
        <v>466</v>
      </c>
      <c r="F2071" s="593"/>
      <c r="G2071" s="10" t="s">
        <v>8</v>
      </c>
      <c r="H2071" s="252" t="s">
        <v>465</v>
      </c>
    </row>
    <row r="2072" spans="1:9" ht="15.6" x14ac:dyDescent="0.3">
      <c r="A2072" s="253" t="s">
        <v>460</v>
      </c>
      <c r="B2072" s="254"/>
      <c r="C2072" s="481" t="s">
        <v>15</v>
      </c>
      <c r="D2072" s="481"/>
      <c r="E2072" s="489" t="s">
        <v>461</v>
      </c>
      <c r="F2072" s="490"/>
      <c r="G2072" s="490"/>
      <c r="H2072" s="491"/>
    </row>
    <row r="2073" spans="1:9" ht="15.6" x14ac:dyDescent="0.3">
      <c r="A2073" s="255" t="s">
        <v>484</v>
      </c>
      <c r="B2073" s="256"/>
      <c r="C2073" s="489"/>
      <c r="D2073" s="490"/>
      <c r="E2073" s="490"/>
      <c r="F2073" s="490"/>
      <c r="G2073" s="490"/>
      <c r="H2073" s="491"/>
    </row>
    <row r="2074" spans="1:9" ht="15" x14ac:dyDescent="0.3">
      <c r="A2074" s="492" t="s">
        <v>17</v>
      </c>
      <c r="B2074" s="494" t="s">
        <v>18</v>
      </c>
      <c r="C2074" s="494" t="s">
        <v>19</v>
      </c>
      <c r="D2074" s="495" t="s">
        <v>20</v>
      </c>
      <c r="E2074" s="494" t="s">
        <v>21</v>
      </c>
      <c r="F2074" s="494" t="s">
        <v>22</v>
      </c>
      <c r="G2074" s="494"/>
      <c r="H2074" s="492" t="s">
        <v>23</v>
      </c>
    </row>
    <row r="2075" spans="1:9" ht="27.6" x14ac:dyDescent="0.3">
      <c r="A2075" s="492"/>
      <c r="B2075" s="494"/>
      <c r="C2075" s="494"/>
      <c r="D2075" s="505"/>
      <c r="E2075" s="494"/>
      <c r="F2075" s="53" t="s">
        <v>24</v>
      </c>
      <c r="G2075" s="53" t="s">
        <v>25</v>
      </c>
      <c r="H2075" s="492"/>
    </row>
    <row r="2076" spans="1:9" x14ac:dyDescent="0.3">
      <c r="A2076" s="55">
        <v>1</v>
      </c>
      <c r="B2076" s="84" t="s">
        <v>473</v>
      </c>
      <c r="C2076" s="55">
        <v>24</v>
      </c>
      <c r="D2076" s="297">
        <v>85369090</v>
      </c>
      <c r="E2076" s="55">
        <v>205</v>
      </c>
      <c r="F2076" s="55">
        <f>E2076*C2076*9%</f>
        <v>442.8</v>
      </c>
      <c r="G2076" s="55">
        <f>F2076</f>
        <v>442.8</v>
      </c>
      <c r="H2076" s="55">
        <f>G2076+F2076+E2076*C2076</f>
        <v>5805.6</v>
      </c>
      <c r="I2076" s="362">
        <f>E2076*C2076</f>
        <v>4920</v>
      </c>
    </row>
    <row r="2077" spans="1:9" x14ac:dyDescent="0.3">
      <c r="A2077" s="55">
        <v>2</v>
      </c>
      <c r="B2077" s="257" t="s">
        <v>474</v>
      </c>
      <c r="C2077" s="55">
        <v>20</v>
      </c>
      <c r="D2077" s="297">
        <v>85369090</v>
      </c>
      <c r="E2077" s="55">
        <v>38</v>
      </c>
      <c r="F2077" s="55">
        <f t="shared" ref="F2077:F2087" si="12">E2077*C2077*9%</f>
        <v>68.399999999999991</v>
      </c>
      <c r="G2077" s="55">
        <f t="shared" ref="G2077:G2087" si="13">F2077</f>
        <v>68.399999999999991</v>
      </c>
      <c r="H2077" s="55">
        <f t="shared" ref="H2077:H2087" si="14">G2077+F2077+E2077*C2077</f>
        <v>896.8</v>
      </c>
      <c r="I2077" s="362">
        <f t="shared" ref="I2077:I2087" si="15">E2077*C2077</f>
        <v>760</v>
      </c>
    </row>
    <row r="2078" spans="1:9" x14ac:dyDescent="0.3">
      <c r="A2078" s="55">
        <v>3</v>
      </c>
      <c r="B2078" s="257" t="s">
        <v>475</v>
      </c>
      <c r="C2078" s="55">
        <v>100</v>
      </c>
      <c r="D2078" s="297">
        <v>998719</v>
      </c>
      <c r="E2078" s="55">
        <v>50</v>
      </c>
      <c r="F2078" s="55">
        <f t="shared" si="12"/>
        <v>450</v>
      </c>
      <c r="G2078" s="55">
        <f t="shared" si="13"/>
        <v>450</v>
      </c>
      <c r="H2078" s="55">
        <f t="shared" si="14"/>
        <v>5900</v>
      </c>
      <c r="I2078" s="362">
        <f t="shared" si="15"/>
        <v>5000</v>
      </c>
    </row>
    <row r="2079" spans="1:9" x14ac:dyDescent="0.3">
      <c r="A2079" s="55">
        <v>4</v>
      </c>
      <c r="B2079" s="257" t="s">
        <v>476</v>
      </c>
      <c r="C2079" s="20">
        <v>38</v>
      </c>
      <c r="D2079" s="297">
        <v>998719</v>
      </c>
      <c r="E2079" s="55">
        <v>400</v>
      </c>
      <c r="F2079" s="55">
        <f t="shared" si="12"/>
        <v>1368</v>
      </c>
      <c r="G2079" s="55">
        <f t="shared" si="13"/>
        <v>1368</v>
      </c>
      <c r="H2079" s="55">
        <f t="shared" si="14"/>
        <v>17936</v>
      </c>
      <c r="I2079" s="362">
        <f t="shared" si="15"/>
        <v>15200</v>
      </c>
    </row>
    <row r="2080" spans="1:9" x14ac:dyDescent="0.3">
      <c r="A2080" s="55">
        <v>5</v>
      </c>
      <c r="B2080" s="257" t="s">
        <v>477</v>
      </c>
      <c r="C2080" s="20">
        <v>16</v>
      </c>
      <c r="D2080" s="297">
        <v>85369090</v>
      </c>
      <c r="E2080" s="55">
        <v>1283</v>
      </c>
      <c r="F2080" s="55">
        <f t="shared" si="12"/>
        <v>1847.52</v>
      </c>
      <c r="G2080" s="55">
        <f t="shared" si="13"/>
        <v>1847.52</v>
      </c>
      <c r="H2080" s="55">
        <f t="shared" si="14"/>
        <v>24223.040000000001</v>
      </c>
      <c r="I2080" s="362">
        <f t="shared" si="15"/>
        <v>20528</v>
      </c>
    </row>
    <row r="2081" spans="1:9" x14ac:dyDescent="0.3">
      <c r="A2081" s="55">
        <v>6</v>
      </c>
      <c r="B2081" s="257" t="s">
        <v>478</v>
      </c>
      <c r="C2081" s="20">
        <v>12</v>
      </c>
      <c r="D2081" s="297">
        <v>8559090</v>
      </c>
      <c r="E2081" s="55">
        <v>61</v>
      </c>
      <c r="F2081" s="55">
        <f t="shared" si="12"/>
        <v>65.88</v>
      </c>
      <c r="G2081" s="55">
        <f t="shared" si="13"/>
        <v>65.88</v>
      </c>
      <c r="H2081" s="55">
        <f t="shared" si="14"/>
        <v>863.76</v>
      </c>
      <c r="I2081" s="362">
        <f t="shared" si="15"/>
        <v>732</v>
      </c>
    </row>
    <row r="2082" spans="1:9" x14ac:dyDescent="0.3">
      <c r="A2082" s="55">
        <v>7</v>
      </c>
      <c r="B2082" s="257" t="s">
        <v>479</v>
      </c>
      <c r="C2082" s="20">
        <v>18</v>
      </c>
      <c r="D2082" s="297">
        <v>85369090</v>
      </c>
      <c r="E2082" s="55">
        <v>150</v>
      </c>
      <c r="F2082" s="55">
        <f t="shared" si="12"/>
        <v>243</v>
      </c>
      <c r="G2082" s="55">
        <f t="shared" si="13"/>
        <v>243</v>
      </c>
      <c r="H2082" s="55">
        <f t="shared" si="14"/>
        <v>3186</v>
      </c>
      <c r="I2082" s="362">
        <f t="shared" si="15"/>
        <v>2700</v>
      </c>
    </row>
    <row r="2083" spans="1:9" x14ac:dyDescent="0.3">
      <c r="A2083" s="55">
        <v>8</v>
      </c>
      <c r="B2083" s="257" t="s">
        <v>480</v>
      </c>
      <c r="C2083" s="178">
        <v>8</v>
      </c>
      <c r="D2083" s="297">
        <v>998719</v>
      </c>
      <c r="E2083" s="178">
        <v>400</v>
      </c>
      <c r="F2083" s="55">
        <f t="shared" si="12"/>
        <v>288</v>
      </c>
      <c r="G2083" s="55">
        <f t="shared" si="13"/>
        <v>288</v>
      </c>
      <c r="H2083" s="55">
        <f t="shared" si="14"/>
        <v>3776</v>
      </c>
      <c r="I2083" s="362">
        <f t="shared" si="15"/>
        <v>3200</v>
      </c>
    </row>
    <row r="2084" spans="1:9" x14ac:dyDescent="0.3">
      <c r="A2084" s="55">
        <v>9</v>
      </c>
      <c r="B2084" s="257" t="s">
        <v>509</v>
      </c>
      <c r="C2084" s="258">
        <v>4</v>
      </c>
      <c r="D2084" s="297">
        <v>73269090</v>
      </c>
      <c r="E2084" s="55">
        <v>125</v>
      </c>
      <c r="F2084" s="55">
        <f t="shared" si="12"/>
        <v>45</v>
      </c>
      <c r="G2084" s="55">
        <f t="shared" si="13"/>
        <v>45</v>
      </c>
      <c r="H2084" s="55">
        <f t="shared" si="14"/>
        <v>590</v>
      </c>
      <c r="I2084" s="362">
        <f t="shared" si="15"/>
        <v>500</v>
      </c>
    </row>
    <row r="2085" spans="1:9" x14ac:dyDescent="0.3">
      <c r="A2085" s="55">
        <v>10</v>
      </c>
      <c r="B2085" s="84" t="s">
        <v>481</v>
      </c>
      <c r="C2085" s="55">
        <v>2</v>
      </c>
      <c r="D2085" s="297">
        <v>998719</v>
      </c>
      <c r="E2085" s="55">
        <v>500</v>
      </c>
      <c r="F2085" s="55">
        <f t="shared" si="12"/>
        <v>90</v>
      </c>
      <c r="G2085" s="55">
        <f t="shared" si="13"/>
        <v>90</v>
      </c>
      <c r="H2085" s="55">
        <f t="shared" si="14"/>
        <v>1180</v>
      </c>
      <c r="I2085" s="362">
        <f t="shared" si="15"/>
        <v>1000</v>
      </c>
    </row>
    <row r="2086" spans="1:9" x14ac:dyDescent="0.3">
      <c r="A2086" s="55">
        <v>11</v>
      </c>
      <c r="B2086" s="163" t="s">
        <v>482</v>
      </c>
      <c r="C2086" s="178">
        <v>50</v>
      </c>
      <c r="D2086" s="385">
        <v>85369090</v>
      </c>
      <c r="E2086" s="178">
        <v>30</v>
      </c>
      <c r="F2086" s="55">
        <f t="shared" si="12"/>
        <v>135</v>
      </c>
      <c r="G2086" s="55">
        <f t="shared" si="13"/>
        <v>135</v>
      </c>
      <c r="H2086" s="55">
        <f t="shared" si="14"/>
        <v>1770</v>
      </c>
      <c r="I2086" s="362">
        <f t="shared" si="15"/>
        <v>1500</v>
      </c>
    </row>
    <row r="2087" spans="1:9" x14ac:dyDescent="0.3">
      <c r="A2087" s="55">
        <v>12</v>
      </c>
      <c r="B2087" s="163" t="s">
        <v>483</v>
      </c>
      <c r="C2087" s="55">
        <v>50</v>
      </c>
      <c r="D2087" s="385">
        <v>85369090</v>
      </c>
      <c r="E2087" s="55">
        <v>15</v>
      </c>
      <c r="F2087" s="55">
        <f t="shared" si="12"/>
        <v>67.5</v>
      </c>
      <c r="G2087" s="55">
        <f t="shared" si="13"/>
        <v>67.5</v>
      </c>
      <c r="H2087" s="55">
        <f t="shared" si="14"/>
        <v>885</v>
      </c>
      <c r="I2087" s="362">
        <f t="shared" si="15"/>
        <v>750</v>
      </c>
    </row>
    <row r="2088" spans="1:9" x14ac:dyDescent="0.3">
      <c r="A2088" s="57"/>
      <c r="B2088" s="84"/>
      <c r="C2088" s="85"/>
      <c r="D2088" s="86"/>
      <c r="E2088" s="87"/>
      <c r="F2088" s="47"/>
      <c r="G2088" s="47"/>
      <c r="H2088" s="47"/>
    </row>
    <row r="2089" spans="1:9" x14ac:dyDescent="0.3">
      <c r="A2089" s="57"/>
      <c r="B2089" s="84"/>
      <c r="C2089" s="85"/>
      <c r="D2089" s="86"/>
      <c r="E2089" s="47"/>
      <c r="F2089" s="47"/>
      <c r="G2089" s="47"/>
      <c r="H2089" s="47"/>
    </row>
    <row r="2090" spans="1:9" x14ac:dyDescent="0.3">
      <c r="A2090" s="55"/>
      <c r="B2090" s="84"/>
      <c r="C2090" s="55"/>
      <c r="D2090" s="86"/>
      <c r="E2090" s="47"/>
      <c r="F2090" s="47"/>
      <c r="G2090" s="47"/>
      <c r="H2090" s="47"/>
    </row>
    <row r="2091" spans="1:9" x14ac:dyDescent="0.3">
      <c r="A2091" s="27"/>
      <c r="B2091" s="88"/>
      <c r="C2091" s="24"/>
      <c r="D2091" s="89"/>
      <c r="E2091" s="25"/>
      <c r="F2091" s="25"/>
      <c r="G2091" s="25"/>
      <c r="H2091" s="32"/>
    </row>
    <row r="2092" spans="1:9" x14ac:dyDescent="0.3">
      <c r="A2092" s="27"/>
      <c r="B2092" s="88"/>
      <c r="C2092" s="24"/>
      <c r="D2092" s="89"/>
      <c r="E2092" s="25"/>
      <c r="F2092" s="25"/>
      <c r="G2092" s="25"/>
      <c r="H2092" s="32"/>
    </row>
    <row r="2093" spans="1:9" x14ac:dyDescent="0.3">
      <c r="A2093" s="27"/>
      <c r="B2093" s="88"/>
      <c r="C2093" s="24"/>
      <c r="D2093" s="89"/>
      <c r="E2093" s="25"/>
      <c r="F2093" s="25"/>
      <c r="G2093" s="25"/>
      <c r="H2093" s="32"/>
    </row>
    <row r="2094" spans="1:9" x14ac:dyDescent="0.3">
      <c r="A2094" s="27"/>
      <c r="B2094" s="88"/>
      <c r="C2094" s="24"/>
      <c r="D2094" s="89"/>
      <c r="E2094" s="25"/>
      <c r="F2094" s="25"/>
      <c r="G2094" s="25"/>
      <c r="H2094" s="32"/>
    </row>
    <row r="2095" spans="1:9" x14ac:dyDescent="0.3">
      <c r="A2095" s="27"/>
      <c r="B2095" s="88"/>
      <c r="C2095" s="24"/>
      <c r="D2095" s="89"/>
      <c r="E2095" s="25"/>
      <c r="F2095" s="25"/>
      <c r="G2095" s="25"/>
      <c r="H2095" s="32"/>
    </row>
    <row r="2096" spans="1:9" x14ac:dyDescent="0.3">
      <c r="A2096" s="27"/>
      <c r="B2096" s="88"/>
      <c r="C2096" s="24"/>
      <c r="D2096" s="89"/>
      <c r="E2096" s="25"/>
      <c r="F2096" s="25"/>
      <c r="G2096" s="25"/>
      <c r="H2096" s="32"/>
    </row>
    <row r="2097" spans="1:8" x14ac:dyDescent="0.3">
      <c r="A2097" s="27"/>
      <c r="B2097" s="28"/>
      <c r="C2097" s="24"/>
      <c r="D2097" s="25"/>
      <c r="E2097" s="25"/>
      <c r="F2097" s="28"/>
      <c r="G2097" s="28"/>
      <c r="H2097" s="32"/>
    </row>
    <row r="2098" spans="1:8" ht="15.6" x14ac:dyDescent="0.3">
      <c r="A2098" s="448" t="s">
        <v>45</v>
      </c>
      <c r="B2098" s="449"/>
      <c r="C2098" s="24"/>
      <c r="D2098" s="25"/>
      <c r="E2098" s="25"/>
      <c r="F2098" s="447" t="s">
        <v>46</v>
      </c>
      <c r="G2098" s="447"/>
      <c r="H2098" s="66">
        <v>56790</v>
      </c>
    </row>
    <row r="2099" spans="1:8" ht="15.6" x14ac:dyDescent="0.3">
      <c r="A2099" s="497" t="s">
        <v>510</v>
      </c>
      <c r="B2099" s="498"/>
      <c r="C2099" s="498"/>
      <c r="D2099" s="498"/>
      <c r="E2099" s="498"/>
      <c r="F2099" s="447" t="s">
        <v>47</v>
      </c>
      <c r="G2099" s="447"/>
      <c r="H2099" s="66">
        <f>H2098*9%</f>
        <v>5111.0999999999995</v>
      </c>
    </row>
    <row r="2100" spans="1:8" ht="15.6" x14ac:dyDescent="0.3">
      <c r="A2100" s="27"/>
      <c r="B2100" s="28"/>
      <c r="C2100" s="24"/>
      <c r="D2100" s="25"/>
      <c r="E2100" s="25"/>
      <c r="F2100" s="447" t="s">
        <v>48</v>
      </c>
      <c r="G2100" s="447"/>
      <c r="H2100" s="66">
        <f>H2099</f>
        <v>5111.0999999999995</v>
      </c>
    </row>
    <row r="2101" spans="1:8" ht="15.6" x14ac:dyDescent="0.3">
      <c r="A2101" s="64" t="s">
        <v>49</v>
      </c>
      <c r="B2101" s="65"/>
      <c r="C2101" s="24"/>
      <c r="D2101" s="25"/>
      <c r="E2101" s="25"/>
      <c r="F2101" s="447" t="s">
        <v>50</v>
      </c>
      <c r="G2101" s="447"/>
      <c r="H2101" s="66">
        <f>H2098+H2099+H2100</f>
        <v>67012.2</v>
      </c>
    </row>
    <row r="2102" spans="1:8" ht="27" x14ac:dyDescent="0.3">
      <c r="A2102" s="68" t="s">
        <v>22</v>
      </c>
      <c r="B2102" s="30" t="s">
        <v>51</v>
      </c>
      <c r="C2102" s="70" t="s">
        <v>24</v>
      </c>
      <c r="D2102" s="31" t="s">
        <v>25</v>
      </c>
      <c r="E2102" s="450" t="s">
        <v>52</v>
      </c>
      <c r="F2102" s="450"/>
      <c r="G2102" s="28"/>
      <c r="H2102" s="32"/>
    </row>
    <row r="2103" spans="1:8" x14ac:dyDescent="0.3">
      <c r="A2103" s="72">
        <v>0.18</v>
      </c>
      <c r="B2103" s="73">
        <f>H2098</f>
        <v>56790</v>
      </c>
      <c r="C2103" s="91">
        <f>H2099</f>
        <v>5111.0999999999995</v>
      </c>
      <c r="D2103" s="91">
        <f>H2099</f>
        <v>5111.0999999999995</v>
      </c>
      <c r="E2103" s="506">
        <f>C2103+D2103</f>
        <v>10222.199999999999</v>
      </c>
      <c r="F2103" s="507"/>
      <c r="G2103" s="74"/>
      <c r="H2103" s="75"/>
    </row>
    <row r="2104" spans="1:8" x14ac:dyDescent="0.3">
      <c r="A2104" s="508" t="s">
        <v>511</v>
      </c>
      <c r="B2104" s="509"/>
      <c r="C2104" s="509"/>
      <c r="D2104" s="509"/>
      <c r="E2104" s="453"/>
      <c r="F2104" s="453"/>
      <c r="G2104" s="453"/>
      <c r="H2104" s="454"/>
    </row>
    <row r="2105" spans="1:8" ht="15.6" x14ac:dyDescent="0.3">
      <c r="A2105" s="455" t="s">
        <v>53</v>
      </c>
      <c r="B2105" s="456"/>
      <c r="C2105" s="456"/>
      <c r="D2105" s="457"/>
      <c r="E2105" s="458" t="s">
        <v>54</v>
      </c>
      <c r="F2105" s="459"/>
      <c r="G2105" s="459"/>
      <c r="H2105" s="460"/>
    </row>
    <row r="2106" spans="1:8" x14ac:dyDescent="0.3">
      <c r="A2106" s="461" t="s">
        <v>55</v>
      </c>
      <c r="B2106" s="462"/>
      <c r="C2106" s="462"/>
      <c r="D2106" s="463"/>
      <c r="E2106" s="39"/>
      <c r="F2106" s="28"/>
      <c r="G2106" s="28"/>
      <c r="H2106" s="32"/>
    </row>
    <row r="2107" spans="1:8" x14ac:dyDescent="0.3">
      <c r="A2107" s="461" t="s">
        <v>56</v>
      </c>
      <c r="B2107" s="462"/>
      <c r="C2107" s="462"/>
      <c r="D2107" s="463"/>
      <c r="E2107" s="39"/>
      <c r="F2107" s="28"/>
      <c r="G2107" s="28"/>
      <c r="H2107" s="32"/>
    </row>
    <row r="2108" spans="1:8" x14ac:dyDescent="0.3">
      <c r="A2108" s="461" t="s">
        <v>57</v>
      </c>
      <c r="B2108" s="462"/>
      <c r="C2108" s="462"/>
      <c r="D2108" s="463"/>
      <c r="E2108" s="39"/>
      <c r="F2108" s="28"/>
      <c r="G2108" s="28"/>
      <c r="H2108" s="32"/>
    </row>
    <row r="2109" spans="1:8" ht="15.6" x14ac:dyDescent="0.3">
      <c r="A2109" s="464" t="s">
        <v>58</v>
      </c>
      <c r="B2109" s="465"/>
      <c r="C2109" s="465"/>
      <c r="D2109" s="465"/>
      <c r="E2109" s="466" t="s">
        <v>59</v>
      </c>
      <c r="F2109" s="467"/>
      <c r="G2109" s="467"/>
      <c r="H2109" s="468"/>
    </row>
    <row r="2112" spans="1:8" ht="44.4" x14ac:dyDescent="0.7">
      <c r="A2112" s="469" t="s">
        <v>0</v>
      </c>
      <c r="B2112" s="470"/>
      <c r="C2112" s="470"/>
      <c r="D2112" s="470"/>
      <c r="E2112" s="471" t="s">
        <v>1</v>
      </c>
      <c r="F2112" s="472"/>
      <c r="G2112" s="472"/>
      <c r="H2112" s="473"/>
    </row>
    <row r="2113" spans="1:8" ht="20.399999999999999" x14ac:dyDescent="0.35">
      <c r="A2113" s="1"/>
      <c r="B2113" s="476" t="s">
        <v>2</v>
      </c>
      <c r="C2113" s="476"/>
      <c r="D2113" s="476"/>
      <c r="E2113" s="474"/>
      <c r="F2113" s="474"/>
      <c r="G2113" s="474"/>
      <c r="H2113" s="475"/>
    </row>
    <row r="2114" spans="1:8" x14ac:dyDescent="0.3">
      <c r="A2114" s="477" t="s">
        <v>3</v>
      </c>
      <c r="B2114" s="478"/>
      <c r="C2114" s="479" t="s">
        <v>4</v>
      </c>
      <c r="D2114" s="479"/>
      <c r="E2114" s="480" t="s">
        <v>5</v>
      </c>
      <c r="F2114" s="480"/>
      <c r="G2114" s="480"/>
      <c r="H2114" s="480"/>
    </row>
    <row r="2115" spans="1:8" ht="15.6" x14ac:dyDescent="0.3">
      <c r="A2115" s="4" t="s">
        <v>6</v>
      </c>
      <c r="B2115" s="5"/>
      <c r="C2115" s="481" t="s">
        <v>7</v>
      </c>
      <c r="D2115" s="481"/>
      <c r="E2115" s="482">
        <v>47</v>
      </c>
      <c r="F2115" s="482"/>
      <c r="G2115" s="7" t="s">
        <v>8</v>
      </c>
      <c r="H2115" s="250" t="s">
        <v>463</v>
      </c>
    </row>
    <row r="2116" spans="1:8" ht="15.6" x14ac:dyDescent="0.3">
      <c r="A2116" s="551" t="s">
        <v>458</v>
      </c>
      <c r="B2116" s="552"/>
      <c r="C2116" s="481" t="s">
        <v>10</v>
      </c>
      <c r="D2116" s="481"/>
      <c r="E2116" s="482">
        <v>119</v>
      </c>
      <c r="F2116" s="482"/>
      <c r="G2116" s="7" t="s">
        <v>8</v>
      </c>
      <c r="H2116" s="251" t="s">
        <v>472</v>
      </c>
    </row>
    <row r="2117" spans="1:8" ht="26.25" customHeight="1" x14ac:dyDescent="0.3">
      <c r="A2117" s="560" t="s">
        <v>459</v>
      </c>
      <c r="B2117" s="561"/>
      <c r="C2117" s="483" t="s">
        <v>12</v>
      </c>
      <c r="D2117" s="484"/>
      <c r="E2117" s="564" t="s">
        <v>466</v>
      </c>
      <c r="F2117" s="593"/>
      <c r="G2117" s="10" t="s">
        <v>8</v>
      </c>
      <c r="H2117" s="252" t="s">
        <v>465</v>
      </c>
    </row>
    <row r="2118" spans="1:8" ht="15.6" x14ac:dyDescent="0.3">
      <c r="A2118" s="253" t="s">
        <v>460</v>
      </c>
      <c r="B2118" s="254"/>
      <c r="C2118" s="481" t="s">
        <v>15</v>
      </c>
      <c r="D2118" s="481"/>
      <c r="E2118" s="489" t="s">
        <v>461</v>
      </c>
      <c r="F2118" s="490"/>
      <c r="G2118" s="490"/>
      <c r="H2118" s="491"/>
    </row>
    <row r="2119" spans="1:8" ht="15.6" x14ac:dyDescent="0.3">
      <c r="A2119" s="255" t="s">
        <v>484</v>
      </c>
      <c r="B2119" s="256"/>
      <c r="C2119" s="489"/>
      <c r="D2119" s="490"/>
      <c r="E2119" s="490"/>
      <c r="F2119" s="490"/>
      <c r="G2119" s="490"/>
      <c r="H2119" s="491"/>
    </row>
    <row r="2120" spans="1:8" ht="15" x14ac:dyDescent="0.3">
      <c r="A2120" s="492" t="s">
        <v>17</v>
      </c>
      <c r="B2120" s="494" t="s">
        <v>18</v>
      </c>
      <c r="C2120" s="494" t="s">
        <v>19</v>
      </c>
      <c r="D2120" s="495" t="s">
        <v>20</v>
      </c>
      <c r="E2120" s="494" t="s">
        <v>21</v>
      </c>
      <c r="F2120" s="494" t="s">
        <v>22</v>
      </c>
      <c r="G2120" s="494"/>
      <c r="H2120" s="492" t="s">
        <v>23</v>
      </c>
    </row>
    <row r="2121" spans="1:8" ht="27.6" x14ac:dyDescent="0.3">
      <c r="A2121" s="492"/>
      <c r="B2121" s="494"/>
      <c r="C2121" s="494"/>
      <c r="D2121" s="505"/>
      <c r="E2121" s="494"/>
      <c r="F2121" s="53" t="s">
        <v>24</v>
      </c>
      <c r="G2121" s="53" t="s">
        <v>25</v>
      </c>
      <c r="H2121" s="492"/>
    </row>
    <row r="2122" spans="1:8" ht="21" customHeight="1" x14ac:dyDescent="0.3">
      <c r="A2122" s="55">
        <v>1</v>
      </c>
      <c r="B2122" s="84" t="s">
        <v>485</v>
      </c>
      <c r="C2122" s="55">
        <v>4</v>
      </c>
      <c r="D2122" s="86">
        <v>998719</v>
      </c>
      <c r="E2122" s="55">
        <v>6000</v>
      </c>
      <c r="F2122" s="55">
        <f>E2122*C2122*9%</f>
        <v>2160</v>
      </c>
      <c r="G2122" s="55">
        <f>F2122</f>
        <v>2160</v>
      </c>
      <c r="H2122" s="55">
        <f>G2122+F2122+E2122*C2122</f>
        <v>28320</v>
      </c>
    </row>
    <row r="2123" spans="1:8" x14ac:dyDescent="0.3">
      <c r="A2123" s="55"/>
      <c r="B2123" s="257"/>
      <c r="C2123" s="55"/>
      <c r="D2123" s="86"/>
      <c r="E2123" s="55"/>
      <c r="F2123" s="55"/>
      <c r="G2123" s="55"/>
      <c r="H2123" s="55"/>
    </row>
    <row r="2124" spans="1:8" x14ac:dyDescent="0.3">
      <c r="A2124" s="55"/>
      <c r="B2124" s="257"/>
      <c r="C2124" s="55"/>
      <c r="D2124" s="55"/>
      <c r="E2124" s="55"/>
      <c r="F2124" s="55"/>
      <c r="G2124" s="55"/>
      <c r="H2124" s="55"/>
    </row>
    <row r="2125" spans="1:8" x14ac:dyDescent="0.3">
      <c r="A2125" s="55"/>
      <c r="B2125" s="257"/>
      <c r="C2125" s="20"/>
      <c r="D2125" s="86"/>
      <c r="E2125" s="55"/>
      <c r="F2125" s="55"/>
      <c r="G2125" s="55"/>
      <c r="H2125" s="55"/>
    </row>
    <row r="2126" spans="1:8" x14ac:dyDescent="0.3">
      <c r="A2126" s="55"/>
      <c r="B2126" s="257"/>
      <c r="C2126" s="20"/>
      <c r="D2126" s="86"/>
      <c r="E2126" s="55"/>
      <c r="F2126" s="55"/>
      <c r="G2126" s="55"/>
      <c r="H2126" s="55"/>
    </row>
    <row r="2127" spans="1:8" x14ac:dyDescent="0.3">
      <c r="A2127" s="55"/>
      <c r="B2127" s="257"/>
      <c r="C2127" s="20"/>
      <c r="D2127" s="86"/>
      <c r="E2127" s="55"/>
      <c r="F2127" s="55"/>
      <c r="G2127" s="55"/>
      <c r="H2127" s="55"/>
    </row>
    <row r="2128" spans="1:8" x14ac:dyDescent="0.3">
      <c r="A2128" s="55"/>
      <c r="B2128" s="257"/>
      <c r="C2128" s="20"/>
      <c r="D2128" s="86"/>
      <c r="E2128" s="55"/>
      <c r="F2128" s="55"/>
      <c r="G2128" s="55"/>
      <c r="H2128" s="55"/>
    </row>
    <row r="2129" spans="1:8" x14ac:dyDescent="0.3">
      <c r="A2129" s="55"/>
      <c r="B2129" s="257"/>
      <c r="C2129" s="178"/>
      <c r="D2129" s="163"/>
      <c r="E2129" s="163"/>
      <c r="F2129" s="163"/>
      <c r="G2129" s="163"/>
      <c r="H2129" s="163"/>
    </row>
    <row r="2130" spans="1:8" x14ac:dyDescent="0.3">
      <c r="A2130" s="55"/>
      <c r="B2130" s="257"/>
      <c r="C2130" s="258"/>
      <c r="D2130" s="86"/>
      <c r="E2130" s="55"/>
      <c r="F2130" s="259"/>
      <c r="G2130" s="259"/>
      <c r="H2130" s="258"/>
    </row>
    <row r="2131" spans="1:8" x14ac:dyDescent="0.3">
      <c r="A2131" s="55"/>
      <c r="B2131" s="84"/>
      <c r="C2131" s="55"/>
      <c r="D2131" s="55"/>
      <c r="E2131" s="55"/>
      <c r="F2131" s="55"/>
      <c r="G2131" s="55"/>
      <c r="H2131" s="55"/>
    </row>
    <row r="2132" spans="1:8" x14ac:dyDescent="0.3">
      <c r="A2132" s="55"/>
      <c r="B2132" s="163"/>
      <c r="C2132" s="178"/>
      <c r="D2132" s="163"/>
      <c r="E2132" s="163"/>
      <c r="F2132" s="163"/>
      <c r="G2132" s="163"/>
      <c r="H2132" s="163"/>
    </row>
    <row r="2133" spans="1:8" x14ac:dyDescent="0.3">
      <c r="A2133" s="55"/>
      <c r="B2133" s="163"/>
      <c r="C2133" s="55"/>
      <c r="D2133" s="55"/>
      <c r="E2133" s="55"/>
      <c r="F2133" s="55"/>
      <c r="G2133" s="55"/>
      <c r="H2133" s="55"/>
    </row>
    <row r="2134" spans="1:8" x14ac:dyDescent="0.3">
      <c r="A2134" s="57"/>
      <c r="B2134" s="84"/>
      <c r="C2134" s="85"/>
      <c r="D2134" s="86"/>
      <c r="E2134" s="87"/>
      <c r="F2134" s="47"/>
      <c r="G2134" s="47"/>
      <c r="H2134" s="47"/>
    </row>
    <row r="2135" spans="1:8" x14ac:dyDescent="0.3">
      <c r="A2135" s="57"/>
      <c r="B2135" s="84"/>
      <c r="C2135" s="85"/>
      <c r="D2135" s="86"/>
      <c r="E2135" s="47"/>
      <c r="F2135" s="47"/>
      <c r="G2135" s="47"/>
      <c r="H2135" s="47"/>
    </row>
    <row r="2136" spans="1:8" x14ac:dyDescent="0.3">
      <c r="A2136" s="55"/>
      <c r="B2136" s="84"/>
      <c r="C2136" s="55"/>
      <c r="D2136" s="86"/>
      <c r="E2136" s="47"/>
      <c r="F2136" s="47"/>
      <c r="G2136" s="47"/>
      <c r="H2136" s="47"/>
    </row>
    <row r="2137" spans="1:8" x14ac:dyDescent="0.3">
      <c r="A2137" s="27"/>
      <c r="B2137" s="88"/>
      <c r="C2137" s="24"/>
      <c r="D2137" s="89"/>
      <c r="E2137" s="25"/>
      <c r="F2137" s="25"/>
      <c r="G2137" s="25"/>
      <c r="H2137" s="32"/>
    </row>
    <row r="2138" spans="1:8" x14ac:dyDescent="0.3">
      <c r="A2138" s="27"/>
      <c r="B2138" s="88"/>
      <c r="C2138" s="24"/>
      <c r="D2138" s="89"/>
      <c r="E2138" s="25"/>
      <c r="F2138" s="25"/>
      <c r="G2138" s="25"/>
      <c r="H2138" s="32"/>
    </row>
    <row r="2139" spans="1:8" x14ac:dyDescent="0.3">
      <c r="A2139" s="27"/>
      <c r="B2139" s="88"/>
      <c r="C2139" s="24"/>
      <c r="D2139" s="89"/>
      <c r="E2139" s="25"/>
      <c r="F2139" s="25"/>
      <c r="G2139" s="25"/>
      <c r="H2139" s="32"/>
    </row>
    <row r="2140" spans="1:8" x14ac:dyDescent="0.3">
      <c r="A2140" s="27"/>
      <c r="B2140" s="88"/>
      <c r="C2140" s="24"/>
      <c r="D2140" s="89"/>
      <c r="E2140" s="25"/>
      <c r="F2140" s="25"/>
      <c r="G2140" s="25"/>
      <c r="H2140" s="32"/>
    </row>
    <row r="2141" spans="1:8" x14ac:dyDescent="0.3">
      <c r="A2141" s="27"/>
      <c r="B2141" s="88"/>
      <c r="C2141" s="24"/>
      <c r="D2141" s="89"/>
      <c r="E2141" s="25"/>
      <c r="F2141" s="25"/>
      <c r="G2141" s="25"/>
      <c r="H2141" s="32"/>
    </row>
    <row r="2142" spans="1:8" x14ac:dyDescent="0.3">
      <c r="A2142" s="27"/>
      <c r="B2142" s="88"/>
      <c r="C2142" s="24"/>
      <c r="D2142" s="89"/>
      <c r="E2142" s="25"/>
      <c r="F2142" s="25"/>
      <c r="G2142" s="25"/>
      <c r="H2142" s="32"/>
    </row>
    <row r="2143" spans="1:8" x14ac:dyDescent="0.3">
      <c r="A2143" s="27"/>
      <c r="B2143" s="28"/>
      <c r="C2143" s="24"/>
      <c r="D2143" s="25"/>
      <c r="E2143" s="25"/>
      <c r="F2143" s="28"/>
      <c r="G2143" s="28"/>
      <c r="H2143" s="32"/>
    </row>
    <row r="2144" spans="1:8" ht="15.6" x14ac:dyDescent="0.3">
      <c r="A2144" s="448" t="s">
        <v>45</v>
      </c>
      <c r="B2144" s="449"/>
      <c r="C2144" s="24"/>
      <c r="D2144" s="25"/>
      <c r="E2144" s="25"/>
      <c r="F2144" s="447" t="s">
        <v>46</v>
      </c>
      <c r="G2144" s="447"/>
      <c r="H2144" s="66">
        <v>24000</v>
      </c>
    </row>
    <row r="2145" spans="1:8" ht="15.6" x14ac:dyDescent="0.3">
      <c r="A2145" s="497" t="s">
        <v>512</v>
      </c>
      <c r="B2145" s="498"/>
      <c r="C2145" s="498"/>
      <c r="D2145" s="498"/>
      <c r="E2145" s="498"/>
      <c r="F2145" s="447" t="s">
        <v>47</v>
      </c>
      <c r="G2145" s="447"/>
      <c r="H2145" s="66">
        <f>H2144*9%</f>
        <v>2160</v>
      </c>
    </row>
    <row r="2146" spans="1:8" ht="15.6" x14ac:dyDescent="0.3">
      <c r="A2146" s="27"/>
      <c r="B2146" s="28"/>
      <c r="C2146" s="24"/>
      <c r="D2146" s="25"/>
      <c r="E2146" s="25"/>
      <c r="F2146" s="447" t="s">
        <v>48</v>
      </c>
      <c r="G2146" s="447"/>
      <c r="H2146" s="66">
        <f>H2145</f>
        <v>2160</v>
      </c>
    </row>
    <row r="2147" spans="1:8" ht="15.6" x14ac:dyDescent="0.3">
      <c r="A2147" s="64" t="s">
        <v>49</v>
      </c>
      <c r="B2147" s="65"/>
      <c r="C2147" s="24"/>
      <c r="D2147" s="25"/>
      <c r="E2147" s="25"/>
      <c r="F2147" s="447" t="s">
        <v>50</v>
      </c>
      <c r="G2147" s="447"/>
      <c r="H2147" s="66">
        <f>H2144+H2145+H2146</f>
        <v>28320</v>
      </c>
    </row>
    <row r="2148" spans="1:8" ht="27" x14ac:dyDescent="0.3">
      <c r="A2148" s="68" t="s">
        <v>22</v>
      </c>
      <c r="B2148" s="30" t="s">
        <v>51</v>
      </c>
      <c r="C2148" s="70" t="s">
        <v>24</v>
      </c>
      <c r="D2148" s="31" t="s">
        <v>25</v>
      </c>
      <c r="E2148" s="450" t="s">
        <v>52</v>
      </c>
      <c r="F2148" s="450"/>
      <c r="G2148" s="28"/>
      <c r="H2148" s="32"/>
    </row>
    <row r="2149" spans="1:8" x14ac:dyDescent="0.3">
      <c r="A2149" s="72">
        <v>0.18</v>
      </c>
      <c r="B2149" s="73">
        <f>H2144</f>
        <v>24000</v>
      </c>
      <c r="C2149" s="91">
        <f>H2145</f>
        <v>2160</v>
      </c>
      <c r="D2149" s="91">
        <f>H2145</f>
        <v>2160</v>
      </c>
      <c r="E2149" s="506">
        <f>C2149+D2149</f>
        <v>4320</v>
      </c>
      <c r="F2149" s="507"/>
      <c r="G2149" s="74"/>
      <c r="H2149" s="75"/>
    </row>
    <row r="2150" spans="1:8" x14ac:dyDescent="0.3">
      <c r="A2150" s="508" t="s">
        <v>513</v>
      </c>
      <c r="B2150" s="509"/>
      <c r="C2150" s="509"/>
      <c r="D2150" s="509"/>
      <c r="E2150" s="453"/>
      <c r="F2150" s="453"/>
      <c r="G2150" s="453"/>
      <c r="H2150" s="454"/>
    </row>
    <row r="2151" spans="1:8" ht="15.6" x14ac:dyDescent="0.3">
      <c r="A2151" s="455" t="s">
        <v>53</v>
      </c>
      <c r="B2151" s="456"/>
      <c r="C2151" s="456"/>
      <c r="D2151" s="457"/>
      <c r="E2151" s="458" t="s">
        <v>54</v>
      </c>
      <c r="F2151" s="459"/>
      <c r="G2151" s="459"/>
      <c r="H2151" s="460"/>
    </row>
    <row r="2152" spans="1:8" x14ac:dyDescent="0.3">
      <c r="A2152" s="461" t="s">
        <v>55</v>
      </c>
      <c r="B2152" s="462"/>
      <c r="C2152" s="462"/>
      <c r="D2152" s="463"/>
      <c r="E2152" s="39"/>
      <c r="F2152" s="28"/>
      <c r="G2152" s="28"/>
      <c r="H2152" s="32"/>
    </row>
    <row r="2153" spans="1:8" x14ac:dyDescent="0.3">
      <c r="A2153" s="461" t="s">
        <v>56</v>
      </c>
      <c r="B2153" s="462"/>
      <c r="C2153" s="462"/>
      <c r="D2153" s="463"/>
      <c r="E2153" s="39"/>
      <c r="F2153" s="28"/>
      <c r="G2153" s="28"/>
      <c r="H2153" s="32"/>
    </row>
    <row r="2154" spans="1:8" x14ac:dyDescent="0.3">
      <c r="A2154" s="461" t="s">
        <v>57</v>
      </c>
      <c r="B2154" s="462"/>
      <c r="C2154" s="462"/>
      <c r="D2154" s="463"/>
      <c r="E2154" s="39"/>
      <c r="F2154" s="28"/>
      <c r="G2154" s="28"/>
      <c r="H2154" s="32"/>
    </row>
    <row r="2155" spans="1:8" ht="15.6" x14ac:dyDescent="0.3">
      <c r="A2155" s="464" t="s">
        <v>58</v>
      </c>
      <c r="B2155" s="465"/>
      <c r="C2155" s="465"/>
      <c r="D2155" s="465"/>
      <c r="E2155" s="466" t="s">
        <v>59</v>
      </c>
      <c r="F2155" s="467"/>
      <c r="G2155" s="467"/>
      <c r="H2155" s="468"/>
    </row>
    <row r="2158" spans="1:8" ht="44.4" x14ac:dyDescent="0.7">
      <c r="A2158" s="469" t="s">
        <v>0</v>
      </c>
      <c r="B2158" s="470"/>
      <c r="C2158" s="470"/>
      <c r="D2158" s="470"/>
      <c r="E2158" s="471" t="s">
        <v>1</v>
      </c>
      <c r="F2158" s="472"/>
      <c r="G2158" s="472"/>
      <c r="H2158" s="473"/>
    </row>
    <row r="2159" spans="1:8" ht="20.399999999999999" x14ac:dyDescent="0.35">
      <c r="A2159" s="1"/>
      <c r="B2159" s="476" t="s">
        <v>2</v>
      </c>
      <c r="C2159" s="476"/>
      <c r="D2159" s="476"/>
      <c r="E2159" s="474"/>
      <c r="F2159" s="474"/>
      <c r="G2159" s="474"/>
      <c r="H2159" s="475"/>
    </row>
    <row r="2160" spans="1:8" x14ac:dyDescent="0.3">
      <c r="A2160" s="477" t="s">
        <v>3</v>
      </c>
      <c r="B2160" s="478"/>
      <c r="C2160" s="479" t="s">
        <v>4</v>
      </c>
      <c r="D2160" s="479"/>
      <c r="E2160" s="480" t="s">
        <v>5</v>
      </c>
      <c r="F2160" s="480"/>
      <c r="G2160" s="480"/>
      <c r="H2160" s="480"/>
    </row>
    <row r="2161" spans="1:9" ht="15.6" x14ac:dyDescent="0.3">
      <c r="A2161" s="4" t="s">
        <v>6</v>
      </c>
      <c r="B2161" s="5"/>
      <c r="C2161" s="481" t="s">
        <v>7</v>
      </c>
      <c r="D2161" s="481"/>
      <c r="E2161" s="482">
        <v>48</v>
      </c>
      <c r="F2161" s="482"/>
      <c r="G2161" s="7" t="s">
        <v>8</v>
      </c>
      <c r="H2161" s="250" t="s">
        <v>463</v>
      </c>
    </row>
    <row r="2162" spans="1:9" ht="15.6" x14ac:dyDescent="0.3">
      <c r="A2162" s="551" t="s">
        <v>458</v>
      </c>
      <c r="B2162" s="552"/>
      <c r="C2162" s="481" t="s">
        <v>10</v>
      </c>
      <c r="D2162" s="481"/>
      <c r="E2162" s="482">
        <v>118</v>
      </c>
      <c r="F2162" s="482"/>
      <c r="G2162" s="7" t="s">
        <v>8</v>
      </c>
      <c r="H2162" s="251">
        <v>45722</v>
      </c>
    </row>
    <row r="2163" spans="1:9" ht="24" customHeight="1" x14ac:dyDescent="0.3">
      <c r="A2163" s="560" t="s">
        <v>459</v>
      </c>
      <c r="B2163" s="561"/>
      <c r="C2163" s="483" t="s">
        <v>12</v>
      </c>
      <c r="D2163" s="484"/>
      <c r="E2163" s="564" t="s">
        <v>514</v>
      </c>
      <c r="F2163" s="593"/>
      <c r="G2163" s="10" t="s">
        <v>8</v>
      </c>
      <c r="H2163" s="252" t="s">
        <v>515</v>
      </c>
    </row>
    <row r="2164" spans="1:9" ht="15.6" x14ac:dyDescent="0.3">
      <c r="A2164" s="253" t="s">
        <v>460</v>
      </c>
      <c r="B2164" s="254"/>
      <c r="C2164" s="481" t="s">
        <v>15</v>
      </c>
      <c r="D2164" s="481"/>
      <c r="E2164" s="489" t="s">
        <v>461</v>
      </c>
      <c r="F2164" s="490"/>
      <c r="G2164" s="490"/>
      <c r="H2164" s="491"/>
    </row>
    <row r="2165" spans="1:9" ht="15.6" x14ac:dyDescent="0.3">
      <c r="A2165" s="255" t="s">
        <v>484</v>
      </c>
      <c r="B2165" s="256"/>
      <c r="C2165" s="489"/>
      <c r="D2165" s="490"/>
      <c r="E2165" s="490"/>
      <c r="F2165" s="490"/>
      <c r="G2165" s="490"/>
      <c r="H2165" s="491"/>
    </row>
    <row r="2166" spans="1:9" ht="15" x14ac:dyDescent="0.3">
      <c r="A2166" s="492" t="s">
        <v>17</v>
      </c>
      <c r="B2166" s="494" t="s">
        <v>18</v>
      </c>
      <c r="C2166" s="494" t="s">
        <v>19</v>
      </c>
      <c r="D2166" s="495" t="s">
        <v>20</v>
      </c>
      <c r="E2166" s="494" t="s">
        <v>21</v>
      </c>
      <c r="F2166" s="494" t="s">
        <v>22</v>
      </c>
      <c r="G2166" s="494"/>
      <c r="H2166" s="492" t="s">
        <v>23</v>
      </c>
    </row>
    <row r="2167" spans="1:9" ht="27.6" x14ac:dyDescent="0.3">
      <c r="A2167" s="492"/>
      <c r="B2167" s="494"/>
      <c r="C2167" s="494"/>
      <c r="D2167" s="505"/>
      <c r="E2167" s="494"/>
      <c r="F2167" s="53" t="s">
        <v>24</v>
      </c>
      <c r="G2167" s="53" t="s">
        <v>25</v>
      </c>
      <c r="H2167" s="492"/>
    </row>
    <row r="2168" spans="1:9" x14ac:dyDescent="0.3">
      <c r="A2168" s="55">
        <v>1</v>
      </c>
      <c r="B2168" s="84" t="s">
        <v>486</v>
      </c>
      <c r="C2168" s="55">
        <v>209</v>
      </c>
      <c r="D2168" s="86">
        <v>27101985</v>
      </c>
      <c r="E2168" s="55">
        <v>118</v>
      </c>
      <c r="F2168" s="55">
        <f>E2168*C2168*9%</f>
        <v>2219.58</v>
      </c>
      <c r="G2168" s="55">
        <f>F2168</f>
        <v>2219.58</v>
      </c>
      <c r="H2168" s="55">
        <f>G2168+F2168+E2168*C2168</f>
        <v>29101.16</v>
      </c>
      <c r="I2168" s="362">
        <f>E2168*C2168</f>
        <v>24662</v>
      </c>
    </row>
    <row r="2169" spans="1:9" x14ac:dyDescent="0.3">
      <c r="A2169" s="55"/>
      <c r="B2169" s="257"/>
      <c r="C2169" s="55"/>
      <c r="D2169" s="86"/>
      <c r="E2169" s="55"/>
      <c r="F2169" s="55"/>
      <c r="G2169" s="55"/>
      <c r="H2169" s="55"/>
    </row>
    <row r="2170" spans="1:9" x14ac:dyDescent="0.3">
      <c r="A2170" s="55"/>
      <c r="B2170" s="257"/>
      <c r="C2170" s="55"/>
      <c r="D2170" s="55"/>
      <c r="E2170" s="55"/>
      <c r="F2170" s="55"/>
      <c r="G2170" s="55"/>
      <c r="H2170" s="55"/>
    </row>
    <row r="2171" spans="1:9" x14ac:dyDescent="0.3">
      <c r="A2171" s="55"/>
      <c r="B2171" s="257"/>
      <c r="C2171" s="20"/>
      <c r="D2171" s="86"/>
      <c r="E2171" s="55"/>
      <c r="F2171" s="55"/>
      <c r="G2171" s="55"/>
      <c r="H2171" s="55"/>
    </row>
    <row r="2172" spans="1:9" x14ac:dyDescent="0.3">
      <c r="A2172" s="55"/>
      <c r="B2172" s="257"/>
      <c r="C2172" s="20"/>
      <c r="D2172" s="86"/>
      <c r="E2172" s="55"/>
      <c r="F2172" s="55"/>
      <c r="G2172" s="55"/>
      <c r="H2172" s="55"/>
    </row>
    <row r="2173" spans="1:9" x14ac:dyDescent="0.3">
      <c r="A2173" s="55"/>
      <c r="B2173" s="257"/>
      <c r="C2173" s="20"/>
      <c r="D2173" s="86"/>
      <c r="E2173" s="55"/>
      <c r="F2173" s="55"/>
      <c r="G2173" s="55"/>
      <c r="H2173" s="55"/>
    </row>
    <row r="2174" spans="1:9" x14ac:dyDescent="0.3">
      <c r="A2174" s="55"/>
      <c r="B2174" s="257"/>
      <c r="C2174" s="20"/>
      <c r="D2174" s="86"/>
      <c r="E2174" s="55"/>
      <c r="F2174" s="55"/>
      <c r="G2174" s="55"/>
      <c r="H2174" s="55"/>
    </row>
    <row r="2175" spans="1:9" x14ac:dyDescent="0.3">
      <c r="A2175" s="55"/>
      <c r="B2175" s="257"/>
      <c r="C2175" s="178"/>
      <c r="D2175" s="163"/>
      <c r="E2175" s="163"/>
      <c r="F2175" s="163"/>
      <c r="G2175" s="163"/>
      <c r="H2175" s="163"/>
    </row>
    <row r="2176" spans="1:9" x14ac:dyDescent="0.3">
      <c r="A2176" s="55"/>
      <c r="B2176" s="257"/>
      <c r="C2176" s="258"/>
      <c r="D2176" s="86"/>
      <c r="E2176" s="55"/>
      <c r="F2176" s="259"/>
      <c r="G2176" s="259"/>
      <c r="H2176" s="258"/>
    </row>
    <row r="2177" spans="1:8" x14ac:dyDescent="0.3">
      <c r="A2177" s="55"/>
      <c r="B2177" s="84"/>
      <c r="C2177" s="55"/>
      <c r="D2177" s="55"/>
      <c r="E2177" s="55"/>
      <c r="F2177" s="55"/>
      <c r="G2177" s="55"/>
      <c r="H2177" s="55"/>
    </row>
    <row r="2178" spans="1:8" x14ac:dyDescent="0.3">
      <c r="A2178" s="55"/>
      <c r="B2178" s="163"/>
      <c r="C2178" s="178"/>
      <c r="D2178" s="163"/>
      <c r="E2178" s="163"/>
      <c r="F2178" s="163"/>
      <c r="G2178" s="163"/>
      <c r="H2178" s="163"/>
    </row>
    <row r="2179" spans="1:8" x14ac:dyDescent="0.3">
      <c r="A2179" s="55"/>
      <c r="B2179" s="163"/>
      <c r="C2179" s="55"/>
      <c r="D2179" s="55"/>
      <c r="E2179" s="55"/>
      <c r="F2179" s="55"/>
      <c r="G2179" s="55"/>
      <c r="H2179" s="55"/>
    </row>
    <row r="2180" spans="1:8" x14ac:dyDescent="0.3">
      <c r="A2180" s="57"/>
      <c r="B2180" s="84"/>
      <c r="C2180" s="85"/>
      <c r="D2180" s="86"/>
      <c r="E2180" s="87"/>
      <c r="F2180" s="47"/>
      <c r="G2180" s="47"/>
      <c r="H2180" s="47"/>
    </row>
    <row r="2181" spans="1:8" x14ac:dyDescent="0.3">
      <c r="A2181" s="57"/>
      <c r="B2181" s="84"/>
      <c r="C2181" s="85"/>
      <c r="D2181" s="86"/>
      <c r="E2181" s="47"/>
      <c r="F2181" s="47"/>
      <c r="G2181" s="47"/>
      <c r="H2181" s="47"/>
    </row>
    <row r="2182" spans="1:8" x14ac:dyDescent="0.3">
      <c r="A2182" s="55"/>
      <c r="B2182" s="84"/>
      <c r="C2182" s="55"/>
      <c r="D2182" s="86"/>
      <c r="E2182" s="47"/>
      <c r="F2182" s="47"/>
      <c r="G2182" s="47"/>
      <c r="H2182" s="47"/>
    </row>
    <row r="2183" spans="1:8" x14ac:dyDescent="0.3">
      <c r="A2183" s="27"/>
      <c r="B2183" s="88"/>
      <c r="C2183" s="24"/>
      <c r="D2183" s="89"/>
      <c r="E2183" s="25"/>
      <c r="F2183" s="25"/>
      <c r="G2183" s="25"/>
      <c r="H2183" s="32"/>
    </row>
    <row r="2184" spans="1:8" x14ac:dyDescent="0.3">
      <c r="A2184" s="27"/>
      <c r="B2184" s="88"/>
      <c r="C2184" s="24"/>
      <c r="D2184" s="89"/>
      <c r="E2184" s="25"/>
      <c r="F2184" s="25"/>
      <c r="G2184" s="25"/>
      <c r="H2184" s="32"/>
    </row>
    <row r="2185" spans="1:8" x14ac:dyDescent="0.3">
      <c r="A2185" s="27"/>
      <c r="B2185" s="88"/>
      <c r="C2185" s="24"/>
      <c r="D2185" s="89"/>
      <c r="E2185" s="25"/>
      <c r="F2185" s="25"/>
      <c r="G2185" s="25"/>
      <c r="H2185" s="32"/>
    </row>
    <row r="2186" spans="1:8" x14ac:dyDescent="0.3">
      <c r="A2186" s="27"/>
      <c r="B2186" s="88"/>
      <c r="C2186" s="24"/>
      <c r="D2186" s="89"/>
      <c r="E2186" s="25"/>
      <c r="F2186" s="25"/>
      <c r="G2186" s="25"/>
      <c r="H2186" s="32"/>
    </row>
    <row r="2187" spans="1:8" x14ac:dyDescent="0.3">
      <c r="A2187" s="27"/>
      <c r="B2187" s="88"/>
      <c r="C2187" s="24"/>
      <c r="D2187" s="89"/>
      <c r="E2187" s="25"/>
      <c r="F2187" s="25"/>
      <c r="G2187" s="25"/>
      <c r="H2187" s="32"/>
    </row>
    <row r="2188" spans="1:8" x14ac:dyDescent="0.3">
      <c r="A2188" s="27"/>
      <c r="B2188" s="88"/>
      <c r="C2188" s="24"/>
      <c r="D2188" s="89"/>
      <c r="E2188" s="25"/>
      <c r="F2188" s="25"/>
      <c r="G2188" s="25"/>
      <c r="H2188" s="32"/>
    </row>
    <row r="2189" spans="1:8" x14ac:dyDescent="0.3">
      <c r="A2189" s="27"/>
      <c r="B2189" s="28"/>
      <c r="C2189" s="24"/>
      <c r="D2189" s="25"/>
      <c r="E2189" s="25"/>
      <c r="F2189" s="28"/>
      <c r="G2189" s="28"/>
      <c r="H2189" s="32"/>
    </row>
    <row r="2190" spans="1:8" ht="15.6" x14ac:dyDescent="0.3">
      <c r="A2190" s="448" t="s">
        <v>45</v>
      </c>
      <c r="B2190" s="449"/>
      <c r="C2190" s="24"/>
      <c r="D2190" s="25"/>
      <c r="E2190" s="25"/>
      <c r="F2190" s="447" t="s">
        <v>46</v>
      </c>
      <c r="G2190" s="447"/>
      <c r="H2190" s="66">
        <v>24662</v>
      </c>
    </row>
    <row r="2191" spans="1:8" ht="15.6" x14ac:dyDescent="0.3">
      <c r="A2191" s="497" t="s">
        <v>516</v>
      </c>
      <c r="B2191" s="498"/>
      <c r="C2191" s="498"/>
      <c r="D2191" s="498"/>
      <c r="E2191" s="498"/>
      <c r="F2191" s="447" t="s">
        <v>47</v>
      </c>
      <c r="G2191" s="447"/>
      <c r="H2191" s="66">
        <f>H2190*9%</f>
        <v>2219.58</v>
      </c>
    </row>
    <row r="2192" spans="1:8" ht="15.6" x14ac:dyDescent="0.3">
      <c r="A2192" s="27"/>
      <c r="B2192" s="28"/>
      <c r="C2192" s="24"/>
      <c r="D2192" s="25"/>
      <c r="E2192" s="25"/>
      <c r="F2192" s="447" t="s">
        <v>48</v>
      </c>
      <c r="G2192" s="447"/>
      <c r="H2192" s="66">
        <f>H2191</f>
        <v>2219.58</v>
      </c>
    </row>
    <row r="2193" spans="1:8" ht="15.6" x14ac:dyDescent="0.3">
      <c r="A2193" s="64" t="s">
        <v>49</v>
      </c>
      <c r="B2193" s="65"/>
      <c r="C2193" s="24"/>
      <c r="D2193" s="25"/>
      <c r="E2193" s="25"/>
      <c r="F2193" s="447" t="s">
        <v>50</v>
      </c>
      <c r="G2193" s="447"/>
      <c r="H2193" s="66">
        <f>H2190+H2191+H2192</f>
        <v>29101.160000000003</v>
      </c>
    </row>
    <row r="2194" spans="1:8" ht="27" x14ac:dyDescent="0.3">
      <c r="A2194" s="68" t="s">
        <v>22</v>
      </c>
      <c r="B2194" s="30" t="s">
        <v>51</v>
      </c>
      <c r="C2194" s="70" t="s">
        <v>24</v>
      </c>
      <c r="D2194" s="31" t="s">
        <v>25</v>
      </c>
      <c r="E2194" s="450" t="s">
        <v>52</v>
      </c>
      <c r="F2194" s="450"/>
      <c r="G2194" s="28"/>
      <c r="H2194" s="32"/>
    </row>
    <row r="2195" spans="1:8" x14ac:dyDescent="0.3">
      <c r="A2195" s="72">
        <v>0.18</v>
      </c>
      <c r="B2195" s="73">
        <f>H2190</f>
        <v>24662</v>
      </c>
      <c r="C2195" s="91">
        <f>H2191</f>
        <v>2219.58</v>
      </c>
      <c r="D2195" s="91">
        <f>H2191</f>
        <v>2219.58</v>
      </c>
      <c r="E2195" s="506">
        <f>C2195+D2195</f>
        <v>4439.16</v>
      </c>
      <c r="F2195" s="507"/>
      <c r="G2195" s="74"/>
      <c r="H2195" s="75"/>
    </row>
    <row r="2196" spans="1:8" x14ac:dyDescent="0.3">
      <c r="A2196" s="508" t="s">
        <v>517</v>
      </c>
      <c r="B2196" s="509"/>
      <c r="C2196" s="509"/>
      <c r="D2196" s="509"/>
      <c r="E2196" s="453"/>
      <c r="F2196" s="453"/>
      <c r="G2196" s="453"/>
      <c r="H2196" s="454"/>
    </row>
    <row r="2197" spans="1:8" ht="15.6" x14ac:dyDescent="0.3">
      <c r="A2197" s="455" t="s">
        <v>53</v>
      </c>
      <c r="B2197" s="456"/>
      <c r="C2197" s="456"/>
      <c r="D2197" s="457"/>
      <c r="E2197" s="458" t="s">
        <v>54</v>
      </c>
      <c r="F2197" s="459"/>
      <c r="G2197" s="459"/>
      <c r="H2197" s="460"/>
    </row>
    <row r="2198" spans="1:8" x14ac:dyDescent="0.3">
      <c r="A2198" s="461" t="s">
        <v>55</v>
      </c>
      <c r="B2198" s="462"/>
      <c r="C2198" s="462"/>
      <c r="D2198" s="463"/>
      <c r="E2198" s="39"/>
      <c r="F2198" s="28"/>
      <c r="G2198" s="28"/>
      <c r="H2198" s="32"/>
    </row>
    <row r="2199" spans="1:8" x14ac:dyDescent="0.3">
      <c r="A2199" s="461" t="s">
        <v>56</v>
      </c>
      <c r="B2199" s="462"/>
      <c r="C2199" s="462"/>
      <c r="D2199" s="463"/>
      <c r="E2199" s="39"/>
      <c r="F2199" s="28"/>
      <c r="G2199" s="28"/>
      <c r="H2199" s="32"/>
    </row>
    <row r="2200" spans="1:8" x14ac:dyDescent="0.3">
      <c r="A2200" s="461" t="s">
        <v>57</v>
      </c>
      <c r="B2200" s="462"/>
      <c r="C2200" s="462"/>
      <c r="D2200" s="463"/>
      <c r="E2200" s="39"/>
      <c r="F2200" s="28"/>
      <c r="G2200" s="28"/>
      <c r="H2200" s="32"/>
    </row>
    <row r="2201" spans="1:8" ht="15.6" x14ac:dyDescent="0.3">
      <c r="A2201" s="464" t="s">
        <v>58</v>
      </c>
      <c r="B2201" s="465"/>
      <c r="C2201" s="465"/>
      <c r="D2201" s="465"/>
      <c r="E2201" s="466" t="s">
        <v>59</v>
      </c>
      <c r="F2201" s="467"/>
      <c r="G2201" s="467"/>
      <c r="H2201" s="468"/>
    </row>
    <row r="2205" spans="1:8" ht="44.4" x14ac:dyDescent="0.7">
      <c r="A2205" s="469" t="s">
        <v>0</v>
      </c>
      <c r="B2205" s="470"/>
      <c r="C2205" s="470"/>
      <c r="D2205" s="470"/>
      <c r="E2205" s="471" t="s">
        <v>1</v>
      </c>
      <c r="F2205" s="472"/>
      <c r="G2205" s="472"/>
      <c r="H2205" s="473"/>
    </row>
    <row r="2206" spans="1:8" ht="20.399999999999999" x14ac:dyDescent="0.35">
      <c r="A2206" s="1"/>
      <c r="B2206" s="476" t="s">
        <v>2</v>
      </c>
      <c r="C2206" s="476"/>
      <c r="D2206" s="476"/>
      <c r="E2206" s="474"/>
      <c r="F2206" s="474"/>
      <c r="G2206" s="474"/>
      <c r="H2206" s="475"/>
    </row>
    <row r="2207" spans="1:8" x14ac:dyDescent="0.3">
      <c r="A2207" s="477" t="s">
        <v>3</v>
      </c>
      <c r="B2207" s="478"/>
      <c r="C2207" s="479" t="s">
        <v>4</v>
      </c>
      <c r="D2207" s="479"/>
      <c r="E2207" s="480" t="s">
        <v>5</v>
      </c>
      <c r="F2207" s="480"/>
      <c r="G2207" s="480"/>
      <c r="H2207" s="480"/>
    </row>
    <row r="2208" spans="1:8" ht="15.6" x14ac:dyDescent="0.3">
      <c r="A2208" s="4" t="s">
        <v>6</v>
      </c>
      <c r="B2208" s="5"/>
      <c r="C2208" s="481" t="s">
        <v>7</v>
      </c>
      <c r="D2208" s="481"/>
      <c r="E2208" s="482">
        <v>49</v>
      </c>
      <c r="F2208" s="482"/>
      <c r="G2208" s="7" t="s">
        <v>8</v>
      </c>
      <c r="H2208" s="250" t="s">
        <v>463</v>
      </c>
    </row>
    <row r="2209" spans="1:8" ht="15.6" x14ac:dyDescent="0.3">
      <c r="A2209" s="551" t="s">
        <v>458</v>
      </c>
      <c r="B2209" s="552"/>
      <c r="C2209" s="481" t="s">
        <v>10</v>
      </c>
      <c r="D2209" s="481"/>
      <c r="E2209" s="482">
        <v>102</v>
      </c>
      <c r="F2209" s="482"/>
      <c r="G2209" s="7" t="s">
        <v>8</v>
      </c>
      <c r="H2209" s="251" t="s">
        <v>176</v>
      </c>
    </row>
    <row r="2210" spans="1:8" ht="27.75" customHeight="1" x14ac:dyDescent="0.3">
      <c r="A2210" s="560" t="s">
        <v>459</v>
      </c>
      <c r="B2210" s="561"/>
      <c r="C2210" s="483" t="s">
        <v>12</v>
      </c>
      <c r="D2210" s="484"/>
      <c r="E2210" s="564" t="s">
        <v>519</v>
      </c>
      <c r="F2210" s="593"/>
      <c r="G2210" s="10" t="s">
        <v>8</v>
      </c>
      <c r="H2210" s="252" t="s">
        <v>518</v>
      </c>
    </row>
    <row r="2211" spans="1:8" ht="15.6" x14ac:dyDescent="0.3">
      <c r="A2211" s="253" t="s">
        <v>460</v>
      </c>
      <c r="B2211" s="254"/>
      <c r="C2211" s="481" t="s">
        <v>15</v>
      </c>
      <c r="D2211" s="481"/>
      <c r="E2211" s="489" t="s">
        <v>461</v>
      </c>
      <c r="F2211" s="490"/>
      <c r="G2211" s="490"/>
      <c r="H2211" s="491"/>
    </row>
    <row r="2212" spans="1:8" ht="15.6" x14ac:dyDescent="0.3">
      <c r="A2212" s="255" t="s">
        <v>520</v>
      </c>
      <c r="B2212" s="256"/>
      <c r="C2212" s="489"/>
      <c r="D2212" s="490"/>
      <c r="E2212" s="490"/>
      <c r="F2212" s="490"/>
      <c r="G2212" s="490"/>
      <c r="H2212" s="491"/>
    </row>
    <row r="2213" spans="1:8" ht="15" x14ac:dyDescent="0.3">
      <c r="A2213" s="492" t="s">
        <v>17</v>
      </c>
      <c r="B2213" s="494" t="s">
        <v>18</v>
      </c>
      <c r="C2213" s="494" t="s">
        <v>19</v>
      </c>
      <c r="D2213" s="495" t="s">
        <v>20</v>
      </c>
      <c r="E2213" s="494" t="s">
        <v>21</v>
      </c>
      <c r="F2213" s="494" t="s">
        <v>22</v>
      </c>
      <c r="G2213" s="494"/>
      <c r="H2213" s="492" t="s">
        <v>23</v>
      </c>
    </row>
    <row r="2214" spans="1:8" ht="27.6" x14ac:dyDescent="0.3">
      <c r="A2214" s="492"/>
      <c r="B2214" s="494"/>
      <c r="C2214" s="494"/>
      <c r="D2214" s="505"/>
      <c r="E2214" s="494"/>
      <c r="F2214" s="53" t="s">
        <v>24</v>
      </c>
      <c r="G2214" s="53" t="s">
        <v>25</v>
      </c>
      <c r="H2214" s="492"/>
    </row>
    <row r="2215" spans="1:8" x14ac:dyDescent="0.3">
      <c r="A2215" s="55">
        <v>1</v>
      </c>
      <c r="B2215" s="84" t="s">
        <v>521</v>
      </c>
      <c r="C2215" s="55">
        <v>2</v>
      </c>
      <c r="D2215" s="86">
        <v>85365010</v>
      </c>
      <c r="E2215" s="55">
        <v>35500</v>
      </c>
      <c r="F2215" s="55">
        <f>E2215*C2215*9%</f>
        <v>6390</v>
      </c>
      <c r="G2215" s="55">
        <f>F2215</f>
        <v>6390</v>
      </c>
      <c r="H2215" s="55">
        <f>G2215+F2215+E2215*C2215</f>
        <v>83780</v>
      </c>
    </row>
    <row r="2216" spans="1:8" x14ac:dyDescent="0.3">
      <c r="A2216" s="55"/>
      <c r="B2216" s="257"/>
      <c r="C2216" s="55"/>
      <c r="D2216" s="86"/>
      <c r="E2216" s="55"/>
      <c r="F2216" s="55"/>
      <c r="G2216" s="55"/>
      <c r="H2216" s="55"/>
    </row>
    <row r="2217" spans="1:8" x14ac:dyDescent="0.3">
      <c r="A2217" s="55"/>
      <c r="B2217" s="257"/>
      <c r="C2217" s="55"/>
      <c r="D2217" s="55"/>
      <c r="E2217" s="55"/>
      <c r="F2217" s="55"/>
      <c r="G2217" s="55"/>
      <c r="H2217" s="55"/>
    </row>
    <row r="2218" spans="1:8" x14ac:dyDescent="0.3">
      <c r="A2218" s="55"/>
      <c r="B2218" s="257"/>
      <c r="C2218" s="20"/>
      <c r="D2218" s="86"/>
      <c r="E2218" s="55"/>
      <c r="F2218" s="55"/>
      <c r="G2218" s="55"/>
      <c r="H2218" s="55"/>
    </row>
    <row r="2219" spans="1:8" x14ac:dyDescent="0.3">
      <c r="A2219" s="55"/>
      <c r="B2219" s="257"/>
      <c r="C2219" s="20"/>
      <c r="D2219" s="86"/>
      <c r="E2219" s="55"/>
      <c r="F2219" s="55"/>
      <c r="G2219" s="55"/>
      <c r="H2219" s="55"/>
    </row>
    <row r="2220" spans="1:8" x14ac:dyDescent="0.3">
      <c r="A2220" s="55"/>
      <c r="B2220" s="257"/>
      <c r="C2220" s="20"/>
      <c r="D2220" s="86"/>
      <c r="E2220" s="55"/>
      <c r="F2220" s="55"/>
      <c r="G2220" s="55"/>
      <c r="H2220" s="55"/>
    </row>
    <row r="2221" spans="1:8" x14ac:dyDescent="0.3">
      <c r="A2221" s="55"/>
      <c r="B2221" s="257"/>
      <c r="C2221" s="20"/>
      <c r="D2221" s="86"/>
      <c r="E2221" s="55"/>
      <c r="F2221" s="55"/>
      <c r="G2221" s="55"/>
      <c r="H2221" s="55"/>
    </row>
    <row r="2222" spans="1:8" x14ac:dyDescent="0.3">
      <c r="A2222" s="55"/>
      <c r="B2222" s="257"/>
      <c r="C2222" s="178"/>
      <c r="D2222" s="163"/>
      <c r="E2222" s="163"/>
      <c r="F2222" s="163"/>
      <c r="G2222" s="163"/>
      <c r="H2222" s="163"/>
    </row>
    <row r="2223" spans="1:8" x14ac:dyDescent="0.3">
      <c r="A2223" s="55"/>
      <c r="B2223" s="257"/>
      <c r="C2223" s="258"/>
      <c r="D2223" s="86"/>
      <c r="E2223" s="55"/>
      <c r="F2223" s="259"/>
      <c r="G2223" s="259"/>
      <c r="H2223" s="258"/>
    </row>
    <row r="2224" spans="1:8" x14ac:dyDescent="0.3">
      <c r="A2224" s="55"/>
      <c r="B2224" s="84"/>
      <c r="C2224" s="55"/>
      <c r="D2224" s="55"/>
      <c r="E2224" s="55"/>
      <c r="F2224" s="55"/>
      <c r="G2224" s="55"/>
      <c r="H2224" s="55"/>
    </row>
    <row r="2225" spans="1:8" x14ac:dyDescent="0.3">
      <c r="A2225" s="55"/>
      <c r="B2225" s="163"/>
      <c r="C2225" s="178"/>
      <c r="D2225" s="163"/>
      <c r="E2225" s="163"/>
      <c r="F2225" s="163"/>
      <c r="G2225" s="163"/>
      <c r="H2225" s="163"/>
    </row>
    <row r="2226" spans="1:8" x14ac:dyDescent="0.3">
      <c r="A2226" s="55"/>
      <c r="B2226" s="163"/>
      <c r="C2226" s="55"/>
      <c r="D2226" s="55"/>
      <c r="E2226" s="55"/>
      <c r="F2226" s="55"/>
      <c r="G2226" s="55"/>
      <c r="H2226" s="55"/>
    </row>
    <row r="2227" spans="1:8" x14ac:dyDescent="0.3">
      <c r="A2227" s="57"/>
      <c r="B2227" s="84"/>
      <c r="C2227" s="85"/>
      <c r="D2227" s="86"/>
      <c r="E2227" s="87"/>
      <c r="F2227" s="47"/>
      <c r="G2227" s="47"/>
      <c r="H2227" s="47"/>
    </row>
    <row r="2228" spans="1:8" x14ac:dyDescent="0.3">
      <c r="A2228" s="57"/>
      <c r="B2228" s="84"/>
      <c r="C2228" s="85"/>
      <c r="D2228" s="86"/>
      <c r="E2228" s="47"/>
      <c r="F2228" s="47"/>
      <c r="G2228" s="47"/>
      <c r="H2228" s="47"/>
    </row>
    <row r="2229" spans="1:8" x14ac:dyDescent="0.3">
      <c r="A2229" s="55"/>
      <c r="B2229" s="84"/>
      <c r="C2229" s="55"/>
      <c r="D2229" s="86"/>
      <c r="E2229" s="47"/>
      <c r="F2229" s="47"/>
      <c r="G2229" s="47"/>
      <c r="H2229" s="47"/>
    </row>
    <row r="2230" spans="1:8" x14ac:dyDescent="0.3">
      <c r="A2230" s="27"/>
      <c r="B2230" s="88"/>
      <c r="C2230" s="24"/>
      <c r="D2230" s="89"/>
      <c r="E2230" s="25"/>
      <c r="F2230" s="25"/>
      <c r="G2230" s="25"/>
      <c r="H2230" s="32"/>
    </row>
    <row r="2231" spans="1:8" x14ac:dyDescent="0.3">
      <c r="A2231" s="27"/>
      <c r="B2231" s="88"/>
      <c r="C2231" s="24"/>
      <c r="D2231" s="89"/>
      <c r="E2231" s="25"/>
      <c r="F2231" s="25"/>
      <c r="G2231" s="25"/>
      <c r="H2231" s="32"/>
    </row>
    <row r="2232" spans="1:8" x14ac:dyDescent="0.3">
      <c r="A2232" s="27"/>
      <c r="B2232" s="88"/>
      <c r="C2232" s="24"/>
      <c r="D2232" s="89"/>
      <c r="E2232" s="25"/>
      <c r="F2232" s="25"/>
      <c r="G2232" s="25"/>
      <c r="H2232" s="32"/>
    </row>
    <row r="2233" spans="1:8" x14ac:dyDescent="0.3">
      <c r="A2233" s="27"/>
      <c r="B2233" s="88"/>
      <c r="C2233" s="24"/>
      <c r="D2233" s="89"/>
      <c r="E2233" s="25"/>
      <c r="F2233" s="25"/>
      <c r="G2233" s="25"/>
      <c r="H2233" s="32"/>
    </row>
    <row r="2234" spans="1:8" x14ac:dyDescent="0.3">
      <c r="A2234" s="27"/>
      <c r="B2234" s="88"/>
      <c r="C2234" s="24"/>
      <c r="D2234" s="89"/>
      <c r="E2234" s="25"/>
      <c r="F2234" s="25"/>
      <c r="G2234" s="25"/>
      <c r="H2234" s="32"/>
    </row>
    <row r="2235" spans="1:8" x14ac:dyDescent="0.3">
      <c r="A2235" s="27"/>
      <c r="B2235" s="88"/>
      <c r="C2235" s="24"/>
      <c r="D2235" s="89"/>
      <c r="E2235" s="25"/>
      <c r="F2235" s="25"/>
      <c r="G2235" s="25"/>
      <c r="H2235" s="32"/>
    </row>
    <row r="2236" spans="1:8" x14ac:dyDescent="0.3">
      <c r="A2236" s="27"/>
      <c r="B2236" s="28"/>
      <c r="C2236" s="24"/>
      <c r="D2236" s="25"/>
      <c r="E2236" s="25"/>
      <c r="F2236" s="28"/>
      <c r="G2236" s="28"/>
      <c r="H2236" s="32"/>
    </row>
    <row r="2237" spans="1:8" ht="15.6" x14ac:dyDescent="0.3">
      <c r="A2237" s="448" t="s">
        <v>45</v>
      </c>
      <c r="B2237" s="449"/>
      <c r="C2237" s="24"/>
      <c r="D2237" s="25"/>
      <c r="E2237" s="25"/>
      <c r="F2237" s="447" t="s">
        <v>46</v>
      </c>
      <c r="G2237" s="447"/>
      <c r="H2237" s="66">
        <v>71000</v>
      </c>
    </row>
    <row r="2238" spans="1:8" ht="15.6" x14ac:dyDescent="0.3">
      <c r="A2238" s="497" t="s">
        <v>522</v>
      </c>
      <c r="B2238" s="498"/>
      <c r="C2238" s="498"/>
      <c r="D2238" s="498"/>
      <c r="E2238" s="498"/>
      <c r="F2238" s="447" t="s">
        <v>47</v>
      </c>
      <c r="G2238" s="447"/>
      <c r="H2238" s="66">
        <f>H2237*9%</f>
        <v>6390</v>
      </c>
    </row>
    <row r="2239" spans="1:8" ht="15.6" x14ac:dyDescent="0.3">
      <c r="A2239" s="27"/>
      <c r="B2239" s="28"/>
      <c r="C2239" s="24"/>
      <c r="D2239" s="25"/>
      <c r="E2239" s="25"/>
      <c r="F2239" s="447" t="s">
        <v>48</v>
      </c>
      <c r="G2239" s="447"/>
      <c r="H2239" s="66">
        <f>H2238</f>
        <v>6390</v>
      </c>
    </row>
    <row r="2240" spans="1:8" ht="15.6" x14ac:dyDescent="0.3">
      <c r="A2240" s="64" t="s">
        <v>49</v>
      </c>
      <c r="B2240" s="65"/>
      <c r="C2240" s="24"/>
      <c r="D2240" s="25"/>
      <c r="E2240" s="25"/>
      <c r="F2240" s="447" t="s">
        <v>50</v>
      </c>
      <c r="G2240" s="447"/>
      <c r="H2240" s="66">
        <f>H2237+H2238+H2239</f>
        <v>83780</v>
      </c>
    </row>
    <row r="2241" spans="1:8" ht="27" x14ac:dyDescent="0.3">
      <c r="A2241" s="68" t="s">
        <v>22</v>
      </c>
      <c r="B2241" s="30" t="s">
        <v>51</v>
      </c>
      <c r="C2241" s="70" t="s">
        <v>24</v>
      </c>
      <c r="D2241" s="31" t="s">
        <v>25</v>
      </c>
      <c r="E2241" s="450" t="s">
        <v>52</v>
      </c>
      <c r="F2241" s="450"/>
      <c r="G2241" s="28"/>
      <c r="H2241" s="32"/>
    </row>
    <row r="2242" spans="1:8" x14ac:dyDescent="0.3">
      <c r="A2242" s="72">
        <v>0.18</v>
      </c>
      <c r="B2242" s="73">
        <f>H2237</f>
        <v>71000</v>
      </c>
      <c r="C2242" s="91">
        <f>H2238</f>
        <v>6390</v>
      </c>
      <c r="D2242" s="91">
        <f>H2238</f>
        <v>6390</v>
      </c>
      <c r="E2242" s="506">
        <f>C2242+D2242</f>
        <v>12780</v>
      </c>
      <c r="F2242" s="507"/>
      <c r="G2242" s="74"/>
      <c r="H2242" s="75"/>
    </row>
    <row r="2243" spans="1:8" x14ac:dyDescent="0.3">
      <c r="A2243" s="508" t="s">
        <v>523</v>
      </c>
      <c r="B2243" s="509"/>
      <c r="C2243" s="509"/>
      <c r="D2243" s="509"/>
      <c r="E2243" s="453"/>
      <c r="F2243" s="453"/>
      <c r="G2243" s="453"/>
      <c r="H2243" s="454"/>
    </row>
    <row r="2244" spans="1:8" ht="15.6" x14ac:dyDescent="0.3">
      <c r="A2244" s="455" t="s">
        <v>53</v>
      </c>
      <c r="B2244" s="456"/>
      <c r="C2244" s="456"/>
      <c r="D2244" s="457"/>
      <c r="E2244" s="458" t="s">
        <v>54</v>
      </c>
      <c r="F2244" s="459"/>
      <c r="G2244" s="459"/>
      <c r="H2244" s="460"/>
    </row>
    <row r="2245" spans="1:8" x14ac:dyDescent="0.3">
      <c r="A2245" s="461" t="s">
        <v>55</v>
      </c>
      <c r="B2245" s="462"/>
      <c r="C2245" s="462"/>
      <c r="D2245" s="463"/>
      <c r="E2245" s="39"/>
      <c r="F2245" s="28"/>
      <c r="G2245" s="28"/>
      <c r="H2245" s="32"/>
    </row>
    <row r="2246" spans="1:8" x14ac:dyDescent="0.3">
      <c r="A2246" s="461" t="s">
        <v>56</v>
      </c>
      <c r="B2246" s="462"/>
      <c r="C2246" s="462"/>
      <c r="D2246" s="463"/>
      <c r="E2246" s="39"/>
      <c r="F2246" s="28"/>
      <c r="G2246" s="28"/>
      <c r="H2246" s="32"/>
    </row>
    <row r="2247" spans="1:8" x14ac:dyDescent="0.3">
      <c r="A2247" s="461" t="s">
        <v>57</v>
      </c>
      <c r="B2247" s="462"/>
      <c r="C2247" s="462"/>
      <c r="D2247" s="463"/>
      <c r="E2247" s="39"/>
      <c r="F2247" s="28"/>
      <c r="G2247" s="28"/>
      <c r="H2247" s="32"/>
    </row>
    <row r="2248" spans="1:8" ht="15.6" x14ac:dyDescent="0.3">
      <c r="A2248" s="464" t="s">
        <v>58</v>
      </c>
      <c r="B2248" s="465"/>
      <c r="C2248" s="465"/>
      <c r="D2248" s="465"/>
      <c r="E2248" s="466" t="s">
        <v>59</v>
      </c>
      <c r="F2248" s="467"/>
      <c r="G2248" s="467"/>
      <c r="H2248" s="468"/>
    </row>
    <row r="2252" spans="1:8" ht="44.4" x14ac:dyDescent="0.7">
      <c r="A2252" s="469" t="s">
        <v>0</v>
      </c>
      <c r="B2252" s="470"/>
      <c r="C2252" s="470"/>
      <c r="D2252" s="470"/>
      <c r="E2252" s="471" t="s">
        <v>1</v>
      </c>
      <c r="F2252" s="472"/>
      <c r="G2252" s="472"/>
      <c r="H2252" s="473"/>
    </row>
    <row r="2253" spans="1:8" ht="20.399999999999999" x14ac:dyDescent="0.35">
      <c r="A2253" s="1"/>
      <c r="B2253" s="476" t="s">
        <v>2</v>
      </c>
      <c r="C2253" s="476"/>
      <c r="D2253" s="476"/>
      <c r="E2253" s="474"/>
      <c r="F2253" s="474"/>
      <c r="G2253" s="474"/>
      <c r="H2253" s="475"/>
    </row>
    <row r="2254" spans="1:8" x14ac:dyDescent="0.3">
      <c r="A2254" s="477" t="s">
        <v>3</v>
      </c>
      <c r="B2254" s="478"/>
      <c r="C2254" s="479" t="s">
        <v>4</v>
      </c>
      <c r="D2254" s="479"/>
      <c r="E2254" s="480" t="s">
        <v>5</v>
      </c>
      <c r="F2254" s="480"/>
      <c r="G2254" s="480"/>
      <c r="H2254" s="480"/>
    </row>
    <row r="2255" spans="1:8" ht="15.6" x14ac:dyDescent="0.3">
      <c r="A2255" s="4" t="s">
        <v>6</v>
      </c>
      <c r="B2255" s="5"/>
      <c r="C2255" s="481" t="s">
        <v>7</v>
      </c>
      <c r="D2255" s="481"/>
      <c r="E2255" s="482">
        <v>50</v>
      </c>
      <c r="F2255" s="482"/>
      <c r="G2255" s="7" t="s">
        <v>8</v>
      </c>
      <c r="H2255" s="250" t="s">
        <v>487</v>
      </c>
    </row>
    <row r="2256" spans="1:8" ht="15.6" x14ac:dyDescent="0.3">
      <c r="A2256" s="551" t="s">
        <v>488</v>
      </c>
      <c r="B2256" s="552"/>
      <c r="C2256" s="481" t="s">
        <v>10</v>
      </c>
      <c r="D2256" s="481"/>
      <c r="E2256" s="482"/>
      <c r="F2256" s="482"/>
      <c r="G2256" s="7" t="s">
        <v>8</v>
      </c>
      <c r="H2256" s="251"/>
    </row>
    <row r="2257" spans="1:8" ht="29.25" customHeight="1" x14ac:dyDescent="0.3">
      <c r="A2257" s="560" t="s">
        <v>489</v>
      </c>
      <c r="B2257" s="561"/>
      <c r="C2257" s="483" t="s">
        <v>12</v>
      </c>
      <c r="D2257" s="484"/>
      <c r="E2257" s="564" t="s">
        <v>494</v>
      </c>
      <c r="F2257" s="593"/>
      <c r="G2257" s="10" t="s">
        <v>8</v>
      </c>
      <c r="H2257" s="252">
        <v>45693</v>
      </c>
    </row>
    <row r="2258" spans="1:8" ht="15.6" x14ac:dyDescent="0.3">
      <c r="A2258" s="253" t="s">
        <v>490</v>
      </c>
      <c r="B2258" s="254"/>
      <c r="C2258" s="481" t="s">
        <v>15</v>
      </c>
      <c r="D2258" s="481"/>
      <c r="E2258" s="489" t="s">
        <v>495</v>
      </c>
      <c r="F2258" s="490"/>
      <c r="G2258" s="490"/>
      <c r="H2258" s="491"/>
    </row>
    <row r="2259" spans="1:8" ht="15.6" x14ac:dyDescent="0.3">
      <c r="A2259" s="255" t="s">
        <v>182</v>
      </c>
      <c r="B2259" s="256"/>
      <c r="C2259" s="489"/>
      <c r="D2259" s="490"/>
      <c r="E2259" s="490"/>
      <c r="F2259" s="490"/>
      <c r="G2259" s="490"/>
      <c r="H2259" s="491"/>
    </row>
    <row r="2260" spans="1:8" ht="15" x14ac:dyDescent="0.3">
      <c r="A2260" s="492" t="s">
        <v>17</v>
      </c>
      <c r="B2260" s="494" t="s">
        <v>18</v>
      </c>
      <c r="C2260" s="494" t="s">
        <v>19</v>
      </c>
      <c r="D2260" s="495" t="s">
        <v>20</v>
      </c>
      <c r="E2260" s="494" t="s">
        <v>21</v>
      </c>
      <c r="F2260" s="494" t="s">
        <v>22</v>
      </c>
      <c r="G2260" s="494"/>
      <c r="H2260" s="492" t="s">
        <v>23</v>
      </c>
    </row>
    <row r="2261" spans="1:8" ht="27.6" x14ac:dyDescent="0.3">
      <c r="A2261" s="492"/>
      <c r="B2261" s="494"/>
      <c r="C2261" s="494"/>
      <c r="D2261" s="505"/>
      <c r="E2261" s="494"/>
      <c r="F2261" s="53" t="s">
        <v>24</v>
      </c>
      <c r="G2261" s="53" t="s">
        <v>25</v>
      </c>
      <c r="H2261" s="492"/>
    </row>
    <row r="2262" spans="1:8" ht="27.6" x14ac:dyDescent="0.3">
      <c r="A2262" s="55">
        <v>1</v>
      </c>
      <c r="B2262" s="257" t="s">
        <v>491</v>
      </c>
      <c r="C2262" s="55">
        <v>3</v>
      </c>
      <c r="D2262" s="86">
        <v>998719</v>
      </c>
      <c r="E2262" s="55">
        <v>10000</v>
      </c>
      <c r="F2262" s="55">
        <f>E2262*C2262*9%</f>
        <v>2700</v>
      </c>
      <c r="G2262" s="55">
        <f>F2262</f>
        <v>2700</v>
      </c>
      <c r="H2262" s="55">
        <f>G2262+F2262+E2262*C2262</f>
        <v>35400</v>
      </c>
    </row>
    <row r="2263" spans="1:8" x14ac:dyDescent="0.3">
      <c r="A2263" s="55"/>
      <c r="B2263" s="257"/>
      <c r="C2263" s="55"/>
      <c r="D2263" s="86"/>
      <c r="E2263" s="55"/>
      <c r="F2263" s="55"/>
      <c r="G2263" s="55"/>
      <c r="H2263" s="55"/>
    </row>
    <row r="2264" spans="1:8" x14ac:dyDescent="0.3">
      <c r="A2264" s="55"/>
      <c r="B2264" s="257"/>
      <c r="C2264" s="55"/>
      <c r="D2264" s="55"/>
      <c r="E2264" s="55"/>
      <c r="F2264" s="55"/>
      <c r="G2264" s="55"/>
      <c r="H2264" s="55"/>
    </row>
    <row r="2265" spans="1:8" x14ac:dyDescent="0.3">
      <c r="A2265" s="55"/>
      <c r="B2265" s="257"/>
      <c r="C2265" s="20"/>
      <c r="D2265" s="86"/>
      <c r="E2265" s="55"/>
      <c r="F2265" s="55"/>
      <c r="G2265" s="55"/>
      <c r="H2265" s="55"/>
    </row>
    <row r="2266" spans="1:8" x14ac:dyDescent="0.3">
      <c r="A2266" s="55"/>
      <c r="B2266" s="257"/>
      <c r="C2266" s="20"/>
      <c r="D2266" s="86"/>
      <c r="E2266" s="55"/>
      <c r="F2266" s="55"/>
      <c r="G2266" s="55"/>
      <c r="H2266" s="55"/>
    </row>
    <row r="2267" spans="1:8" x14ac:dyDescent="0.3">
      <c r="A2267" s="55"/>
      <c r="B2267" s="257"/>
      <c r="C2267" s="20"/>
      <c r="D2267" s="86"/>
      <c r="E2267" s="55"/>
      <c r="F2267" s="55"/>
      <c r="G2267" s="55"/>
      <c r="H2267" s="55"/>
    </row>
    <row r="2268" spans="1:8" x14ac:dyDescent="0.3">
      <c r="A2268" s="55"/>
      <c r="B2268" s="257"/>
      <c r="C2268" s="20"/>
      <c r="D2268" s="86"/>
      <c r="E2268" s="55"/>
      <c r="F2268" s="55"/>
      <c r="G2268" s="55"/>
      <c r="H2268" s="55"/>
    </row>
    <row r="2269" spans="1:8" x14ac:dyDescent="0.3">
      <c r="A2269" s="55"/>
      <c r="B2269" s="257"/>
      <c r="C2269" s="178"/>
      <c r="D2269" s="163"/>
      <c r="E2269" s="163"/>
      <c r="F2269" s="163"/>
      <c r="G2269" s="163"/>
      <c r="H2269" s="163"/>
    </row>
    <row r="2270" spans="1:8" x14ac:dyDescent="0.3">
      <c r="A2270" s="55"/>
      <c r="B2270" s="257"/>
      <c r="C2270" s="258"/>
      <c r="D2270" s="86"/>
      <c r="E2270" s="55"/>
      <c r="F2270" s="259"/>
      <c r="G2270" s="259"/>
      <c r="H2270" s="258"/>
    </row>
    <row r="2271" spans="1:8" x14ac:dyDescent="0.3">
      <c r="A2271" s="55"/>
      <c r="B2271" s="84"/>
      <c r="C2271" s="55"/>
      <c r="D2271" s="55"/>
      <c r="E2271" s="55"/>
      <c r="F2271" s="55"/>
      <c r="G2271" s="55"/>
      <c r="H2271" s="55"/>
    </row>
    <row r="2272" spans="1:8" x14ac:dyDescent="0.3">
      <c r="A2272" s="55"/>
      <c r="B2272" s="163"/>
      <c r="C2272" s="178"/>
      <c r="D2272" s="163"/>
      <c r="E2272" s="163"/>
      <c r="F2272" s="163"/>
      <c r="G2272" s="163"/>
      <c r="H2272" s="163"/>
    </row>
    <row r="2273" spans="1:8" x14ac:dyDescent="0.3">
      <c r="A2273" s="55"/>
      <c r="B2273" s="163"/>
      <c r="C2273" s="55"/>
      <c r="D2273" s="55"/>
      <c r="E2273" s="55"/>
      <c r="F2273" s="55"/>
      <c r="G2273" s="55"/>
      <c r="H2273" s="55"/>
    </row>
    <row r="2274" spans="1:8" x14ac:dyDescent="0.3">
      <c r="A2274" s="57"/>
      <c r="B2274" s="84"/>
      <c r="C2274" s="85"/>
      <c r="D2274" s="86"/>
      <c r="E2274" s="87"/>
      <c r="F2274" s="47"/>
      <c r="G2274" s="47"/>
      <c r="H2274" s="47"/>
    </row>
    <row r="2275" spans="1:8" x14ac:dyDescent="0.3">
      <c r="A2275" s="57"/>
      <c r="B2275" s="84"/>
      <c r="C2275" s="85"/>
      <c r="D2275" s="86"/>
      <c r="E2275" s="47"/>
      <c r="F2275" s="47"/>
      <c r="G2275" s="47"/>
      <c r="H2275" s="47"/>
    </row>
    <row r="2276" spans="1:8" x14ac:dyDescent="0.3">
      <c r="A2276" s="55"/>
      <c r="B2276" s="84"/>
      <c r="C2276" s="55"/>
      <c r="D2276" s="86"/>
      <c r="E2276" s="47"/>
      <c r="F2276" s="47"/>
      <c r="G2276" s="47"/>
      <c r="H2276" s="47"/>
    </row>
    <row r="2277" spans="1:8" x14ac:dyDescent="0.3">
      <c r="A2277" s="27"/>
      <c r="B2277" s="88"/>
      <c r="C2277" s="24"/>
      <c r="D2277" s="89"/>
      <c r="E2277" s="25"/>
      <c r="F2277" s="25"/>
      <c r="G2277" s="25"/>
      <c r="H2277" s="32"/>
    </row>
    <row r="2278" spans="1:8" x14ac:dyDescent="0.3">
      <c r="A2278" s="27"/>
      <c r="B2278" s="88"/>
      <c r="C2278" s="24"/>
      <c r="D2278" s="89"/>
      <c r="E2278" s="25"/>
      <c r="F2278" s="25"/>
      <c r="G2278" s="25"/>
      <c r="H2278" s="32"/>
    </row>
    <row r="2279" spans="1:8" x14ac:dyDescent="0.3">
      <c r="A2279" s="27"/>
      <c r="B2279" s="88"/>
      <c r="C2279" s="24"/>
      <c r="D2279" s="89"/>
      <c r="E2279" s="25"/>
      <c r="F2279" s="25"/>
      <c r="G2279" s="25"/>
      <c r="H2279" s="32"/>
    </row>
    <row r="2280" spans="1:8" x14ac:dyDescent="0.3">
      <c r="A2280" s="27"/>
      <c r="B2280" s="88"/>
      <c r="C2280" s="24"/>
      <c r="D2280" s="89"/>
      <c r="E2280" s="25"/>
      <c r="F2280" s="25"/>
      <c r="G2280" s="25"/>
      <c r="H2280" s="32"/>
    </row>
    <row r="2281" spans="1:8" x14ac:dyDescent="0.3">
      <c r="A2281" s="27"/>
      <c r="B2281" s="88"/>
      <c r="C2281" s="24"/>
      <c r="D2281" s="89"/>
      <c r="E2281" s="25"/>
      <c r="F2281" s="25"/>
      <c r="G2281" s="25"/>
      <c r="H2281" s="32"/>
    </row>
    <row r="2282" spans="1:8" x14ac:dyDescent="0.3">
      <c r="A2282" s="27"/>
      <c r="B2282" s="88"/>
      <c r="C2282" s="24"/>
      <c r="D2282" s="89"/>
      <c r="E2282" s="25"/>
      <c r="F2282" s="25"/>
      <c r="G2282" s="25"/>
      <c r="H2282" s="32"/>
    </row>
    <row r="2283" spans="1:8" x14ac:dyDescent="0.3">
      <c r="A2283" s="27"/>
      <c r="B2283" s="28"/>
      <c r="C2283" s="24"/>
      <c r="D2283" s="25"/>
      <c r="E2283" s="25"/>
      <c r="F2283" s="28"/>
      <c r="G2283" s="28"/>
      <c r="H2283" s="32"/>
    </row>
    <row r="2284" spans="1:8" ht="15.6" x14ac:dyDescent="0.3">
      <c r="A2284" s="448" t="s">
        <v>45</v>
      </c>
      <c r="B2284" s="449"/>
      <c r="C2284" s="24"/>
      <c r="D2284" s="25"/>
      <c r="E2284" s="25"/>
      <c r="F2284" s="447" t="s">
        <v>46</v>
      </c>
      <c r="G2284" s="447"/>
      <c r="H2284" s="66">
        <v>30000</v>
      </c>
    </row>
    <row r="2285" spans="1:8" ht="15.6" x14ac:dyDescent="0.3">
      <c r="A2285" s="497" t="s">
        <v>492</v>
      </c>
      <c r="B2285" s="498"/>
      <c r="C2285" s="498"/>
      <c r="D2285" s="498"/>
      <c r="E2285" s="498"/>
      <c r="F2285" s="447" t="s">
        <v>47</v>
      </c>
      <c r="G2285" s="447"/>
      <c r="H2285" s="66">
        <f>H2284*9%</f>
        <v>2700</v>
      </c>
    </row>
    <row r="2286" spans="1:8" ht="15.6" x14ac:dyDescent="0.3">
      <c r="A2286" s="27"/>
      <c r="B2286" s="28"/>
      <c r="C2286" s="24"/>
      <c r="D2286" s="25"/>
      <c r="E2286" s="25"/>
      <c r="F2286" s="447" t="s">
        <v>48</v>
      </c>
      <c r="G2286" s="447"/>
      <c r="H2286" s="66">
        <f>H2285</f>
        <v>2700</v>
      </c>
    </row>
    <row r="2287" spans="1:8" ht="15.6" x14ac:dyDescent="0.3">
      <c r="A2287" s="64" t="s">
        <v>49</v>
      </c>
      <c r="B2287" s="65"/>
      <c r="C2287" s="24"/>
      <c r="D2287" s="25"/>
      <c r="E2287" s="25"/>
      <c r="F2287" s="447" t="s">
        <v>50</v>
      </c>
      <c r="G2287" s="447"/>
      <c r="H2287" s="66">
        <f>H2284+H2285+H2286</f>
        <v>35400</v>
      </c>
    </row>
    <row r="2288" spans="1:8" ht="27" x14ac:dyDescent="0.3">
      <c r="A2288" s="68" t="s">
        <v>22</v>
      </c>
      <c r="B2288" s="30" t="s">
        <v>51</v>
      </c>
      <c r="C2288" s="70" t="s">
        <v>24</v>
      </c>
      <c r="D2288" s="31" t="s">
        <v>25</v>
      </c>
      <c r="E2288" s="450" t="s">
        <v>52</v>
      </c>
      <c r="F2288" s="450"/>
      <c r="G2288" s="28"/>
      <c r="H2288" s="32"/>
    </row>
    <row r="2289" spans="1:8" x14ac:dyDescent="0.3">
      <c r="A2289" s="72">
        <v>0.18</v>
      </c>
      <c r="B2289" s="73">
        <f>H2284</f>
        <v>30000</v>
      </c>
      <c r="C2289" s="91">
        <f>H2285</f>
        <v>2700</v>
      </c>
      <c r="D2289" s="91">
        <f>H2285</f>
        <v>2700</v>
      </c>
      <c r="E2289" s="506">
        <f>C2289+D2289</f>
        <v>5400</v>
      </c>
      <c r="F2289" s="507"/>
      <c r="G2289" s="74"/>
      <c r="H2289" s="75"/>
    </row>
    <row r="2290" spans="1:8" x14ac:dyDescent="0.3">
      <c r="A2290" s="508" t="s">
        <v>493</v>
      </c>
      <c r="B2290" s="509"/>
      <c r="C2290" s="509"/>
      <c r="D2290" s="509"/>
      <c r="E2290" s="453"/>
      <c r="F2290" s="453"/>
      <c r="G2290" s="453"/>
      <c r="H2290" s="454"/>
    </row>
    <row r="2291" spans="1:8" ht="15.6" x14ac:dyDescent="0.3">
      <c r="A2291" s="455" t="s">
        <v>53</v>
      </c>
      <c r="B2291" s="456"/>
      <c r="C2291" s="456"/>
      <c r="D2291" s="457"/>
      <c r="E2291" s="458" t="s">
        <v>54</v>
      </c>
      <c r="F2291" s="459"/>
      <c r="G2291" s="459"/>
      <c r="H2291" s="460"/>
    </row>
    <row r="2292" spans="1:8" x14ac:dyDescent="0.3">
      <c r="A2292" s="461" t="s">
        <v>55</v>
      </c>
      <c r="B2292" s="462"/>
      <c r="C2292" s="462"/>
      <c r="D2292" s="463"/>
      <c r="E2292" s="39"/>
      <c r="F2292" s="28"/>
      <c r="G2292" s="28"/>
      <c r="H2292" s="32"/>
    </row>
    <row r="2293" spans="1:8" x14ac:dyDescent="0.3">
      <c r="A2293" s="461" t="s">
        <v>56</v>
      </c>
      <c r="B2293" s="462"/>
      <c r="C2293" s="462"/>
      <c r="D2293" s="463"/>
      <c r="E2293" s="39"/>
      <c r="F2293" s="28"/>
      <c r="G2293" s="28"/>
      <c r="H2293" s="32"/>
    </row>
    <row r="2294" spans="1:8" x14ac:dyDescent="0.3">
      <c r="A2294" s="461" t="s">
        <v>57</v>
      </c>
      <c r="B2294" s="462"/>
      <c r="C2294" s="462"/>
      <c r="D2294" s="463"/>
      <c r="E2294" s="39"/>
      <c r="F2294" s="28"/>
      <c r="G2294" s="28"/>
      <c r="H2294" s="32"/>
    </row>
    <row r="2295" spans="1:8" ht="15.6" x14ac:dyDescent="0.3">
      <c r="A2295" s="464" t="s">
        <v>58</v>
      </c>
      <c r="B2295" s="465"/>
      <c r="C2295" s="465"/>
      <c r="D2295" s="465"/>
      <c r="E2295" s="466" t="s">
        <v>59</v>
      </c>
      <c r="F2295" s="467"/>
      <c r="G2295" s="467"/>
      <c r="H2295" s="468"/>
    </row>
    <row r="2299" spans="1:8" ht="44.4" x14ac:dyDescent="0.7">
      <c r="A2299" s="469" t="s">
        <v>0</v>
      </c>
      <c r="B2299" s="470"/>
      <c r="C2299" s="470"/>
      <c r="D2299" s="470"/>
      <c r="E2299" s="471" t="s">
        <v>1</v>
      </c>
      <c r="F2299" s="472"/>
      <c r="G2299" s="472"/>
      <c r="H2299" s="473"/>
    </row>
    <row r="2300" spans="1:8" ht="20.399999999999999" x14ac:dyDescent="0.35">
      <c r="A2300" s="1"/>
      <c r="B2300" s="476" t="s">
        <v>2</v>
      </c>
      <c r="C2300" s="476"/>
      <c r="D2300" s="476"/>
      <c r="E2300" s="474"/>
      <c r="F2300" s="474"/>
      <c r="G2300" s="474"/>
      <c r="H2300" s="475"/>
    </row>
    <row r="2301" spans="1:8" x14ac:dyDescent="0.3">
      <c r="A2301" s="477" t="s">
        <v>3</v>
      </c>
      <c r="B2301" s="478"/>
      <c r="C2301" s="479" t="s">
        <v>4</v>
      </c>
      <c r="D2301" s="479"/>
      <c r="E2301" s="480" t="s">
        <v>5</v>
      </c>
      <c r="F2301" s="480"/>
      <c r="G2301" s="480"/>
      <c r="H2301" s="480"/>
    </row>
    <row r="2302" spans="1:8" ht="15.6" x14ac:dyDescent="0.3">
      <c r="A2302" s="4" t="s">
        <v>6</v>
      </c>
      <c r="B2302" s="5"/>
      <c r="C2302" s="481" t="s">
        <v>7</v>
      </c>
      <c r="D2302" s="481"/>
      <c r="E2302" s="482">
        <v>51</v>
      </c>
      <c r="F2302" s="482"/>
      <c r="G2302" s="7" t="s">
        <v>8</v>
      </c>
      <c r="H2302" s="250" t="s">
        <v>487</v>
      </c>
    </row>
    <row r="2303" spans="1:8" ht="15.6" x14ac:dyDescent="0.3">
      <c r="A2303" s="551" t="s">
        <v>496</v>
      </c>
      <c r="B2303" s="552"/>
      <c r="C2303" s="481" t="s">
        <v>10</v>
      </c>
      <c r="D2303" s="481"/>
      <c r="E2303" s="482"/>
      <c r="F2303" s="482"/>
      <c r="G2303" s="7" t="s">
        <v>8</v>
      </c>
      <c r="H2303" s="251"/>
    </row>
    <row r="2304" spans="1:8" ht="15" x14ac:dyDescent="0.3">
      <c r="A2304" s="560" t="s">
        <v>497</v>
      </c>
      <c r="B2304" s="561"/>
      <c r="C2304" s="483" t="s">
        <v>12</v>
      </c>
      <c r="D2304" s="484"/>
      <c r="E2304" s="564"/>
      <c r="F2304" s="593"/>
      <c r="G2304" s="10" t="s">
        <v>8</v>
      </c>
      <c r="H2304" s="252"/>
    </row>
    <row r="2305" spans="1:9" ht="15.6" x14ac:dyDescent="0.3">
      <c r="A2305" s="253" t="s">
        <v>498</v>
      </c>
      <c r="B2305" s="254"/>
      <c r="C2305" s="481" t="s">
        <v>15</v>
      </c>
      <c r="D2305" s="481"/>
      <c r="E2305" s="489" t="s">
        <v>500</v>
      </c>
      <c r="F2305" s="490"/>
      <c r="G2305" s="490"/>
      <c r="H2305" s="491"/>
    </row>
    <row r="2306" spans="1:9" ht="15.6" x14ac:dyDescent="0.3">
      <c r="A2306" s="255" t="s">
        <v>499</v>
      </c>
      <c r="B2306" s="256"/>
      <c r="C2306" s="489"/>
      <c r="D2306" s="490"/>
      <c r="E2306" s="490"/>
      <c r="F2306" s="490"/>
      <c r="G2306" s="490"/>
      <c r="H2306" s="491"/>
    </row>
    <row r="2307" spans="1:9" ht="15" x14ac:dyDescent="0.3">
      <c r="A2307" s="492" t="s">
        <v>17</v>
      </c>
      <c r="B2307" s="494" t="s">
        <v>18</v>
      </c>
      <c r="C2307" s="494" t="s">
        <v>19</v>
      </c>
      <c r="D2307" s="495" t="s">
        <v>20</v>
      </c>
      <c r="E2307" s="494" t="s">
        <v>21</v>
      </c>
      <c r="F2307" s="494" t="s">
        <v>22</v>
      </c>
      <c r="G2307" s="494"/>
      <c r="H2307" s="492" t="s">
        <v>23</v>
      </c>
    </row>
    <row r="2308" spans="1:9" ht="27.6" x14ac:dyDescent="0.3">
      <c r="A2308" s="492"/>
      <c r="B2308" s="494"/>
      <c r="C2308" s="494"/>
      <c r="D2308" s="505"/>
      <c r="E2308" s="494"/>
      <c r="F2308" s="53" t="s">
        <v>24</v>
      </c>
      <c r="G2308" s="53" t="s">
        <v>25</v>
      </c>
      <c r="H2308" s="492"/>
    </row>
    <row r="2309" spans="1:9" ht="24" customHeight="1" x14ac:dyDescent="0.3">
      <c r="A2309" s="55">
        <v>1</v>
      </c>
      <c r="B2309" s="257" t="s">
        <v>501</v>
      </c>
      <c r="C2309" s="55">
        <v>1</v>
      </c>
      <c r="D2309" s="86">
        <v>998719</v>
      </c>
      <c r="E2309" s="55">
        <v>4500</v>
      </c>
      <c r="F2309" s="55">
        <f>E2309*C2309*9%</f>
        <v>405</v>
      </c>
      <c r="G2309" s="55">
        <f>F2309</f>
        <v>405</v>
      </c>
      <c r="H2309" s="55">
        <f>G2309+F2309+E2309*C2309</f>
        <v>5310</v>
      </c>
      <c r="I2309" s="362">
        <f>E2309*C2309</f>
        <v>4500</v>
      </c>
    </row>
    <row r="2310" spans="1:9" x14ac:dyDescent="0.3">
      <c r="A2310" s="55">
        <v>2</v>
      </c>
      <c r="B2310" s="257" t="s">
        <v>502</v>
      </c>
      <c r="C2310" s="55">
        <v>2</v>
      </c>
      <c r="D2310" s="86">
        <v>998719</v>
      </c>
      <c r="E2310" s="55">
        <v>1500</v>
      </c>
      <c r="F2310" s="55">
        <f>E2310*C2310*9%</f>
        <v>270</v>
      </c>
      <c r="G2310" s="55">
        <f>F2310</f>
        <v>270</v>
      </c>
      <c r="H2310" s="55">
        <f>G2310+F2310+E2310*C2310</f>
        <v>3540</v>
      </c>
      <c r="I2310" s="362">
        <f>E2310*C2310</f>
        <v>3000</v>
      </c>
    </row>
    <row r="2311" spans="1:9" x14ac:dyDescent="0.3">
      <c r="A2311" s="55"/>
      <c r="B2311" s="257"/>
      <c r="C2311" s="55"/>
      <c r="D2311" s="55"/>
      <c r="E2311" s="55"/>
      <c r="F2311" s="55"/>
      <c r="G2311" s="55"/>
      <c r="H2311" s="55"/>
    </row>
    <row r="2312" spans="1:9" x14ac:dyDescent="0.3">
      <c r="A2312" s="55"/>
      <c r="B2312" s="257"/>
      <c r="C2312" s="20"/>
      <c r="D2312" s="86"/>
      <c r="E2312" s="55"/>
      <c r="F2312" s="55"/>
      <c r="G2312" s="55"/>
      <c r="H2312" s="55"/>
    </row>
    <row r="2313" spans="1:9" x14ac:dyDescent="0.3">
      <c r="A2313" s="55"/>
      <c r="B2313" s="257"/>
      <c r="C2313" s="20"/>
      <c r="D2313" s="86"/>
      <c r="E2313" s="55"/>
      <c r="F2313" s="55"/>
      <c r="G2313" s="55"/>
      <c r="H2313" s="55"/>
    </row>
    <row r="2314" spans="1:9" x14ac:dyDescent="0.3">
      <c r="A2314" s="55"/>
      <c r="B2314" s="257"/>
      <c r="C2314" s="20"/>
      <c r="D2314" s="86"/>
      <c r="E2314" s="55"/>
      <c r="F2314" s="55"/>
      <c r="G2314" s="55"/>
      <c r="H2314" s="55"/>
    </row>
    <row r="2315" spans="1:9" x14ac:dyDescent="0.3">
      <c r="A2315" s="55"/>
      <c r="B2315" s="257"/>
      <c r="C2315" s="20"/>
      <c r="D2315" s="86"/>
      <c r="E2315" s="55"/>
      <c r="F2315" s="55"/>
      <c r="G2315" s="55"/>
      <c r="H2315" s="55"/>
    </row>
    <row r="2316" spans="1:9" x14ac:dyDescent="0.3">
      <c r="A2316" s="55"/>
      <c r="B2316" s="257"/>
      <c r="C2316" s="178"/>
      <c r="D2316" s="163"/>
      <c r="E2316" s="163"/>
      <c r="F2316" s="163"/>
      <c r="G2316" s="163"/>
      <c r="H2316" s="163"/>
    </row>
    <row r="2317" spans="1:9" x14ac:dyDescent="0.3">
      <c r="A2317" s="55"/>
      <c r="B2317" s="257"/>
      <c r="C2317" s="258"/>
      <c r="D2317" s="86"/>
      <c r="E2317" s="55"/>
      <c r="F2317" s="259"/>
      <c r="G2317" s="259"/>
      <c r="H2317" s="258"/>
    </row>
    <row r="2318" spans="1:9" x14ac:dyDescent="0.3">
      <c r="A2318" s="55"/>
      <c r="B2318" s="84"/>
      <c r="C2318" s="55"/>
      <c r="D2318" s="55"/>
      <c r="E2318" s="55"/>
      <c r="F2318" s="55"/>
      <c r="G2318" s="55"/>
      <c r="H2318" s="55"/>
    </row>
    <row r="2319" spans="1:9" x14ac:dyDescent="0.3">
      <c r="A2319" s="55"/>
      <c r="B2319" s="163"/>
      <c r="C2319" s="178"/>
      <c r="D2319" s="163"/>
      <c r="E2319" s="163"/>
      <c r="F2319" s="163"/>
      <c r="G2319" s="163"/>
      <c r="H2319" s="163"/>
    </row>
    <row r="2320" spans="1:9" x14ac:dyDescent="0.3">
      <c r="A2320" s="55"/>
      <c r="B2320" s="163"/>
      <c r="C2320" s="55"/>
      <c r="D2320" s="55"/>
      <c r="E2320" s="55"/>
      <c r="F2320" s="55"/>
      <c r="G2320" s="55"/>
      <c r="H2320" s="55"/>
    </row>
    <row r="2321" spans="1:8" x14ac:dyDescent="0.3">
      <c r="A2321" s="57"/>
      <c r="B2321" s="84"/>
      <c r="C2321" s="85"/>
      <c r="D2321" s="86"/>
      <c r="E2321" s="87"/>
      <c r="F2321" s="47"/>
      <c r="G2321" s="47"/>
      <c r="H2321" s="47"/>
    </row>
    <row r="2322" spans="1:8" x14ac:dyDescent="0.3">
      <c r="A2322" s="57"/>
      <c r="B2322" s="84"/>
      <c r="C2322" s="85"/>
      <c r="D2322" s="86"/>
      <c r="E2322" s="47"/>
      <c r="F2322" s="47"/>
      <c r="G2322" s="47"/>
      <c r="H2322" s="47"/>
    </row>
    <row r="2323" spans="1:8" x14ac:dyDescent="0.3">
      <c r="A2323" s="55"/>
      <c r="B2323" s="84"/>
      <c r="C2323" s="55"/>
      <c r="D2323" s="86"/>
      <c r="E2323" s="47"/>
      <c r="F2323" s="47"/>
      <c r="G2323" s="47"/>
      <c r="H2323" s="47"/>
    </row>
    <row r="2324" spans="1:8" x14ac:dyDescent="0.3">
      <c r="A2324" s="27"/>
      <c r="B2324" s="88"/>
      <c r="C2324" s="24"/>
      <c r="D2324" s="89"/>
      <c r="E2324" s="25"/>
      <c r="F2324" s="25"/>
      <c r="G2324" s="25"/>
      <c r="H2324" s="32"/>
    </row>
    <row r="2325" spans="1:8" x14ac:dyDescent="0.3">
      <c r="A2325" s="27"/>
      <c r="B2325" s="88"/>
      <c r="C2325" s="24"/>
      <c r="D2325" s="89"/>
      <c r="E2325" s="25"/>
      <c r="F2325" s="25"/>
      <c r="G2325" s="25"/>
      <c r="H2325" s="32"/>
    </row>
    <row r="2326" spans="1:8" x14ac:dyDescent="0.3">
      <c r="A2326" s="27"/>
      <c r="B2326" s="88"/>
      <c r="C2326" s="24"/>
      <c r="D2326" s="89"/>
      <c r="E2326" s="25"/>
      <c r="F2326" s="25"/>
      <c r="G2326" s="25"/>
      <c r="H2326" s="32"/>
    </row>
    <row r="2327" spans="1:8" x14ac:dyDescent="0.3">
      <c r="A2327" s="27"/>
      <c r="B2327" s="88"/>
      <c r="C2327" s="24"/>
      <c r="D2327" s="89"/>
      <c r="E2327" s="25"/>
      <c r="F2327" s="25"/>
      <c r="G2327" s="25"/>
      <c r="H2327" s="32"/>
    </row>
    <row r="2328" spans="1:8" x14ac:dyDescent="0.3">
      <c r="A2328" s="27"/>
      <c r="B2328" s="88"/>
      <c r="C2328" s="24"/>
      <c r="D2328" s="89"/>
      <c r="E2328" s="25"/>
      <c r="F2328" s="25"/>
      <c r="G2328" s="25"/>
      <c r="H2328" s="32"/>
    </row>
    <row r="2329" spans="1:8" x14ac:dyDescent="0.3">
      <c r="A2329" s="27"/>
      <c r="B2329" s="88"/>
      <c r="C2329" s="24"/>
      <c r="D2329" s="89"/>
      <c r="E2329" s="25"/>
      <c r="F2329" s="25"/>
      <c r="G2329" s="25"/>
      <c r="H2329" s="32"/>
    </row>
    <row r="2330" spans="1:8" x14ac:dyDescent="0.3">
      <c r="A2330" s="27"/>
      <c r="B2330" s="28"/>
      <c r="C2330" s="24"/>
      <c r="D2330" s="25"/>
      <c r="E2330" s="25"/>
      <c r="F2330" s="28"/>
      <c r="G2330" s="28"/>
      <c r="H2330" s="32"/>
    </row>
    <row r="2331" spans="1:8" ht="15.6" x14ac:dyDescent="0.3">
      <c r="A2331" s="448" t="s">
        <v>45</v>
      </c>
      <c r="B2331" s="449"/>
      <c r="C2331" s="24"/>
      <c r="D2331" s="25"/>
      <c r="E2331" s="25"/>
      <c r="F2331" s="447" t="s">
        <v>46</v>
      </c>
      <c r="G2331" s="447"/>
      <c r="H2331" s="66">
        <v>7500</v>
      </c>
    </row>
    <row r="2332" spans="1:8" ht="15.6" x14ac:dyDescent="0.3">
      <c r="A2332" s="497" t="s">
        <v>503</v>
      </c>
      <c r="B2332" s="498"/>
      <c r="C2332" s="498"/>
      <c r="D2332" s="498"/>
      <c r="E2332" s="498"/>
      <c r="F2332" s="447" t="s">
        <v>47</v>
      </c>
      <c r="G2332" s="447"/>
      <c r="H2332" s="66">
        <f>H2331*9%</f>
        <v>675</v>
      </c>
    </row>
    <row r="2333" spans="1:8" ht="15.6" x14ac:dyDescent="0.3">
      <c r="A2333" s="27"/>
      <c r="B2333" s="28"/>
      <c r="C2333" s="24"/>
      <c r="D2333" s="25"/>
      <c r="E2333" s="25"/>
      <c r="F2333" s="447" t="s">
        <v>48</v>
      </c>
      <c r="G2333" s="447"/>
      <c r="H2333" s="66">
        <f>H2332</f>
        <v>675</v>
      </c>
    </row>
    <row r="2334" spans="1:8" ht="15.6" x14ac:dyDescent="0.3">
      <c r="A2334" s="64" t="s">
        <v>49</v>
      </c>
      <c r="B2334" s="65"/>
      <c r="C2334" s="24"/>
      <c r="D2334" s="25"/>
      <c r="E2334" s="25"/>
      <c r="F2334" s="447" t="s">
        <v>50</v>
      </c>
      <c r="G2334" s="447"/>
      <c r="H2334" s="66">
        <f>H2331+H2332+H2333</f>
        <v>8850</v>
      </c>
    </row>
    <row r="2335" spans="1:8" ht="27" x14ac:dyDescent="0.3">
      <c r="A2335" s="68" t="s">
        <v>22</v>
      </c>
      <c r="B2335" s="30" t="s">
        <v>51</v>
      </c>
      <c r="C2335" s="70" t="s">
        <v>24</v>
      </c>
      <c r="D2335" s="31" t="s">
        <v>25</v>
      </c>
      <c r="E2335" s="450" t="s">
        <v>52</v>
      </c>
      <c r="F2335" s="450"/>
      <c r="G2335" s="28"/>
      <c r="H2335" s="32"/>
    </row>
    <row r="2336" spans="1:8" x14ac:dyDescent="0.3">
      <c r="A2336" s="72">
        <v>0.18</v>
      </c>
      <c r="B2336" s="73">
        <f>H2331</f>
        <v>7500</v>
      </c>
      <c r="C2336" s="91">
        <f>H2332</f>
        <v>675</v>
      </c>
      <c r="D2336" s="91">
        <f>H2332</f>
        <v>675</v>
      </c>
      <c r="E2336" s="506">
        <f>C2336+D2336</f>
        <v>1350</v>
      </c>
      <c r="F2336" s="507"/>
      <c r="G2336" s="74"/>
      <c r="H2336" s="75"/>
    </row>
    <row r="2337" spans="1:8" x14ac:dyDescent="0.3">
      <c r="A2337" s="508" t="s">
        <v>504</v>
      </c>
      <c r="B2337" s="509"/>
      <c r="C2337" s="509"/>
      <c r="D2337" s="509"/>
      <c r="E2337" s="453"/>
      <c r="F2337" s="453"/>
      <c r="G2337" s="453"/>
      <c r="H2337" s="454"/>
    </row>
    <row r="2338" spans="1:8" ht="15.6" x14ac:dyDescent="0.3">
      <c r="A2338" s="455" t="s">
        <v>53</v>
      </c>
      <c r="B2338" s="456"/>
      <c r="C2338" s="456"/>
      <c r="D2338" s="457"/>
      <c r="E2338" s="458" t="s">
        <v>54</v>
      </c>
      <c r="F2338" s="459"/>
      <c r="G2338" s="459"/>
      <c r="H2338" s="460"/>
    </row>
    <row r="2339" spans="1:8" x14ac:dyDescent="0.3">
      <c r="A2339" s="461" t="s">
        <v>55</v>
      </c>
      <c r="B2339" s="462"/>
      <c r="C2339" s="462"/>
      <c r="D2339" s="463"/>
      <c r="E2339" s="39"/>
      <c r="F2339" s="28"/>
      <c r="G2339" s="28"/>
      <c r="H2339" s="32"/>
    </row>
    <row r="2340" spans="1:8" x14ac:dyDescent="0.3">
      <c r="A2340" s="461" t="s">
        <v>56</v>
      </c>
      <c r="B2340" s="462"/>
      <c r="C2340" s="462"/>
      <c r="D2340" s="463"/>
      <c r="E2340" s="39"/>
      <c r="F2340" s="28"/>
      <c r="G2340" s="28"/>
      <c r="H2340" s="32"/>
    </row>
    <row r="2341" spans="1:8" x14ac:dyDescent="0.3">
      <c r="A2341" s="461" t="s">
        <v>57</v>
      </c>
      <c r="B2341" s="462"/>
      <c r="C2341" s="462"/>
      <c r="D2341" s="463"/>
      <c r="E2341" s="39"/>
      <c r="F2341" s="28"/>
      <c r="G2341" s="28"/>
      <c r="H2341" s="32"/>
    </row>
    <row r="2342" spans="1:8" ht="15.6" x14ac:dyDescent="0.3">
      <c r="A2342" s="464" t="s">
        <v>58</v>
      </c>
      <c r="B2342" s="465"/>
      <c r="C2342" s="465"/>
      <c r="D2342" s="465"/>
      <c r="E2342" s="466" t="s">
        <v>59</v>
      </c>
      <c r="F2342" s="467"/>
      <c r="G2342" s="467"/>
      <c r="H2342" s="468"/>
    </row>
    <row r="2345" spans="1:8" ht="44.4" x14ac:dyDescent="0.7">
      <c r="A2345" s="469" t="s">
        <v>0</v>
      </c>
      <c r="B2345" s="470"/>
      <c r="C2345" s="470"/>
      <c r="D2345" s="470"/>
      <c r="E2345" s="471" t="s">
        <v>1</v>
      </c>
      <c r="F2345" s="472"/>
      <c r="G2345" s="472"/>
      <c r="H2345" s="473"/>
    </row>
    <row r="2346" spans="1:8" ht="20.399999999999999" x14ac:dyDescent="0.35">
      <c r="A2346" s="1"/>
      <c r="B2346" s="535" t="s">
        <v>2</v>
      </c>
      <c r="C2346" s="535"/>
      <c r="D2346" s="535"/>
      <c r="E2346" s="474"/>
      <c r="F2346" s="474"/>
      <c r="G2346" s="474"/>
      <c r="H2346" s="475"/>
    </row>
    <row r="2347" spans="1:8" x14ac:dyDescent="0.3">
      <c r="A2347" s="477" t="s">
        <v>3</v>
      </c>
      <c r="B2347" s="478"/>
      <c r="C2347" s="136"/>
      <c r="D2347" s="499" t="s">
        <v>4</v>
      </c>
      <c r="E2347" s="499"/>
      <c r="F2347" s="137"/>
      <c r="G2347" s="137" t="s">
        <v>134</v>
      </c>
      <c r="H2347" s="120"/>
    </row>
    <row r="2348" spans="1:8" ht="15.6" x14ac:dyDescent="0.3">
      <c r="A2348" s="138" t="s">
        <v>6</v>
      </c>
      <c r="B2348" s="5"/>
      <c r="C2348" s="536" t="s">
        <v>7</v>
      </c>
      <c r="D2348" s="516"/>
      <c r="E2348" s="489">
        <v>52</v>
      </c>
      <c r="F2348" s="491"/>
      <c r="G2348" s="7" t="s">
        <v>8</v>
      </c>
      <c r="H2348" s="9" t="s">
        <v>487</v>
      </c>
    </row>
    <row r="2349" spans="1:8" ht="16.2" thickBot="1" x14ac:dyDescent="0.35">
      <c r="A2349" s="241" t="s">
        <v>275</v>
      </c>
      <c r="B2349" s="242"/>
      <c r="C2349" s="536" t="s">
        <v>276</v>
      </c>
      <c r="D2349" s="516"/>
      <c r="E2349" s="624">
        <v>4300566233</v>
      </c>
      <c r="F2349" s="625"/>
      <c r="G2349" s="7"/>
      <c r="H2349" s="178"/>
    </row>
    <row r="2350" spans="1:8" ht="15.6" x14ac:dyDescent="0.3">
      <c r="A2350" s="626" t="s">
        <v>277</v>
      </c>
      <c r="B2350" s="627"/>
      <c r="C2350" s="628" t="s">
        <v>265</v>
      </c>
      <c r="D2350" s="484"/>
      <c r="E2350" s="489" t="s">
        <v>266</v>
      </c>
      <c r="F2350" s="491"/>
      <c r="G2350" s="10"/>
      <c r="H2350" s="82"/>
    </row>
    <row r="2351" spans="1:8" ht="15.6" x14ac:dyDescent="0.3">
      <c r="A2351" s="629" t="s">
        <v>278</v>
      </c>
      <c r="B2351" s="630"/>
      <c r="C2351" s="536" t="s">
        <v>15</v>
      </c>
      <c r="D2351" s="516"/>
      <c r="E2351" s="631" t="s">
        <v>279</v>
      </c>
      <c r="F2351" s="632"/>
      <c r="G2351" s="633"/>
      <c r="H2351" s="126"/>
    </row>
    <row r="2352" spans="1:8" ht="15.6" x14ac:dyDescent="0.3">
      <c r="A2352" s="558"/>
      <c r="B2352" s="559"/>
      <c r="C2352" s="489"/>
      <c r="D2352" s="490"/>
      <c r="E2352" s="490"/>
      <c r="F2352" s="490"/>
      <c r="G2352" s="490"/>
      <c r="H2352" s="491"/>
    </row>
    <row r="2353" spans="1:8" ht="15" x14ac:dyDescent="0.3">
      <c r="A2353" s="493" t="s">
        <v>17</v>
      </c>
      <c r="B2353" s="495" t="s">
        <v>18</v>
      </c>
      <c r="C2353" s="495" t="s">
        <v>19</v>
      </c>
      <c r="D2353" s="495" t="s">
        <v>20</v>
      </c>
      <c r="E2353" s="495" t="s">
        <v>21</v>
      </c>
      <c r="F2353" s="541" t="s">
        <v>22</v>
      </c>
      <c r="G2353" s="542"/>
      <c r="H2353" s="493" t="s">
        <v>23</v>
      </c>
    </row>
    <row r="2354" spans="1:8" ht="27.6" x14ac:dyDescent="0.3">
      <c r="A2354" s="527"/>
      <c r="B2354" s="505"/>
      <c r="C2354" s="505"/>
      <c r="D2354" s="505"/>
      <c r="E2354" s="505"/>
      <c r="F2354" s="53" t="s">
        <v>24</v>
      </c>
      <c r="G2354" s="53" t="s">
        <v>25</v>
      </c>
      <c r="H2354" s="527"/>
    </row>
    <row r="2355" spans="1:8" x14ac:dyDescent="0.3">
      <c r="A2355" s="15">
        <v>1</v>
      </c>
      <c r="B2355" s="190" t="s">
        <v>524</v>
      </c>
      <c r="C2355" s="191">
        <v>1</v>
      </c>
      <c r="D2355" s="192">
        <v>998715</v>
      </c>
      <c r="E2355" s="192">
        <v>11360</v>
      </c>
      <c r="F2355" s="193">
        <f>E2355*C2355*9%</f>
        <v>1022.4</v>
      </c>
      <c r="G2355" s="58">
        <f>F2355</f>
        <v>1022.4</v>
      </c>
      <c r="H2355" s="59">
        <f>G2355+F2355+E2355</f>
        <v>13404.8</v>
      </c>
    </row>
    <row r="2356" spans="1:8" x14ac:dyDescent="0.3">
      <c r="A2356" s="20"/>
      <c r="B2356" s="60"/>
      <c r="C2356" s="55"/>
      <c r="D2356" s="55"/>
      <c r="E2356" s="55"/>
      <c r="F2356" s="93"/>
      <c r="G2356" s="93"/>
      <c r="H2356" s="62"/>
    </row>
    <row r="2357" spans="1:8" x14ac:dyDescent="0.3">
      <c r="A2357" s="20"/>
      <c r="B2357" s="60"/>
      <c r="C2357" s="55"/>
      <c r="D2357" s="55"/>
      <c r="E2357" s="55"/>
      <c r="F2357" s="93"/>
      <c r="G2357" s="93"/>
      <c r="H2357" s="62"/>
    </row>
    <row r="2358" spans="1:8" x14ac:dyDescent="0.3">
      <c r="A2358" s="20"/>
      <c r="B2358" s="63"/>
      <c r="C2358" s="129"/>
      <c r="D2358" s="55"/>
      <c r="E2358" s="55"/>
      <c r="F2358" s="93"/>
      <c r="G2358" s="93"/>
      <c r="H2358" s="62"/>
    </row>
    <row r="2359" spans="1:8" x14ac:dyDescent="0.3">
      <c r="A2359" s="20"/>
      <c r="B2359" s="63"/>
      <c r="C2359" s="129"/>
      <c r="D2359" s="55"/>
      <c r="E2359" s="55"/>
      <c r="F2359" s="93"/>
      <c r="G2359" s="93"/>
      <c r="H2359" s="62"/>
    </row>
    <row r="2360" spans="1:8" x14ac:dyDescent="0.3">
      <c r="A2360" s="20"/>
      <c r="B2360" s="130"/>
      <c r="C2360" s="129"/>
      <c r="D2360" s="55"/>
      <c r="E2360" s="55"/>
      <c r="F2360" s="93"/>
      <c r="G2360" s="93"/>
      <c r="H2360" s="62"/>
    </row>
    <row r="2361" spans="1:8" x14ac:dyDescent="0.3">
      <c r="A2361" s="20"/>
      <c r="B2361" s="63"/>
      <c r="C2361" s="129"/>
      <c r="D2361" s="55"/>
      <c r="E2361" s="55"/>
      <c r="F2361" s="93"/>
      <c r="G2361" s="93"/>
      <c r="H2361" s="62"/>
    </row>
    <row r="2362" spans="1:8" x14ac:dyDescent="0.3">
      <c r="A2362" s="20"/>
      <c r="B2362" s="63"/>
      <c r="C2362" s="55"/>
      <c r="D2362" s="55"/>
      <c r="E2362" s="55"/>
      <c r="F2362" s="93"/>
      <c r="G2362" s="93"/>
      <c r="H2362" s="62"/>
    </row>
    <row r="2363" spans="1:8" x14ac:dyDescent="0.3">
      <c r="A2363" s="27"/>
      <c r="B2363" s="28"/>
      <c r="C2363" s="24"/>
      <c r="D2363" s="25"/>
      <c r="E2363" s="25"/>
      <c r="F2363" s="28"/>
      <c r="G2363" s="28"/>
      <c r="H2363" s="32"/>
    </row>
    <row r="2364" spans="1:8" x14ac:dyDescent="0.3">
      <c r="A2364" s="618" t="s">
        <v>267</v>
      </c>
      <c r="B2364" s="619"/>
      <c r="C2364" s="618" t="s">
        <v>268</v>
      </c>
      <c r="D2364" s="620"/>
      <c r="E2364" s="619"/>
      <c r="F2364" s="28"/>
      <c r="G2364" s="28"/>
      <c r="H2364" s="32"/>
    </row>
    <row r="2365" spans="1:8" x14ac:dyDescent="0.3">
      <c r="A2365" s="178" t="s">
        <v>269</v>
      </c>
      <c r="B2365" s="163"/>
      <c r="C2365" s="621">
        <v>10142001000604</v>
      </c>
      <c r="D2365" s="622"/>
      <c r="E2365" s="623"/>
      <c r="F2365" s="28"/>
      <c r="G2365" s="28"/>
      <c r="H2365" s="32"/>
    </row>
    <row r="2366" spans="1:8" x14ac:dyDescent="0.3">
      <c r="A2366" s="178" t="s">
        <v>270</v>
      </c>
      <c r="B2366" s="163"/>
      <c r="C2366" s="618" t="s">
        <v>271</v>
      </c>
      <c r="D2366" s="620"/>
      <c r="E2366" s="619"/>
      <c r="F2366" s="28"/>
      <c r="G2366" s="28"/>
      <c r="H2366" s="32"/>
    </row>
    <row r="2367" spans="1:8" x14ac:dyDescent="0.3">
      <c r="A2367" s="618" t="s">
        <v>272</v>
      </c>
      <c r="B2367" s="619"/>
      <c r="C2367" s="618" t="s">
        <v>273</v>
      </c>
      <c r="D2367" s="620"/>
      <c r="E2367" s="619"/>
      <c r="F2367" s="28"/>
      <c r="G2367" s="28"/>
      <c r="H2367" s="32"/>
    </row>
    <row r="2368" spans="1:8" x14ac:dyDescent="0.3">
      <c r="A2368" s="27"/>
      <c r="B2368" s="28"/>
      <c r="C2368" s="24"/>
      <c r="D2368" s="25"/>
      <c r="E2368" s="25"/>
      <c r="F2368" s="28"/>
      <c r="G2368" s="28"/>
      <c r="H2368" s="32"/>
    </row>
    <row r="2369" spans="1:8" x14ac:dyDescent="0.3">
      <c r="A2369" s="27"/>
      <c r="B2369" s="28"/>
      <c r="C2369" s="24"/>
      <c r="D2369" s="25"/>
      <c r="E2369" s="25"/>
      <c r="F2369" s="28"/>
      <c r="G2369" s="28"/>
      <c r="H2369" s="32"/>
    </row>
    <row r="2370" spans="1:8" x14ac:dyDescent="0.3">
      <c r="A2370" s="27"/>
      <c r="B2370" s="28"/>
      <c r="C2370" s="24"/>
      <c r="D2370" s="25"/>
      <c r="E2370" s="25"/>
      <c r="F2370" s="28"/>
      <c r="G2370" s="28"/>
      <c r="H2370" s="32"/>
    </row>
    <row r="2371" spans="1:8" ht="15.6" x14ac:dyDescent="0.3">
      <c r="A2371" s="448" t="s">
        <v>45</v>
      </c>
      <c r="B2371" s="449"/>
      <c r="C2371" s="24"/>
      <c r="D2371" s="25"/>
      <c r="E2371" s="25"/>
      <c r="F2371" s="447" t="s">
        <v>46</v>
      </c>
      <c r="G2371" s="447"/>
      <c r="H2371" s="66">
        <v>11360</v>
      </c>
    </row>
    <row r="2372" spans="1:8" ht="15.6" x14ac:dyDescent="0.3">
      <c r="A2372" s="497" t="s">
        <v>525</v>
      </c>
      <c r="B2372" s="498"/>
      <c r="C2372" s="498"/>
      <c r="D2372" s="498"/>
      <c r="E2372" s="498"/>
      <c r="F2372" s="447" t="s">
        <v>47</v>
      </c>
      <c r="G2372" s="447"/>
      <c r="H2372" s="66">
        <v>1022.4</v>
      </c>
    </row>
    <row r="2373" spans="1:8" ht="15.6" x14ac:dyDescent="0.3">
      <c r="A2373" s="27"/>
      <c r="B2373" s="28"/>
      <c r="C2373" s="24"/>
      <c r="D2373" s="25"/>
      <c r="E2373" s="25"/>
      <c r="F2373" s="447" t="s">
        <v>48</v>
      </c>
      <c r="G2373" s="447"/>
      <c r="H2373" s="66">
        <v>1022.4</v>
      </c>
    </row>
    <row r="2374" spans="1:8" ht="15.6" x14ac:dyDescent="0.3">
      <c r="A2374" s="90" t="s">
        <v>49</v>
      </c>
      <c r="B2374" s="28"/>
      <c r="C2374" s="24"/>
      <c r="D2374" s="25"/>
      <c r="E2374" s="25"/>
      <c r="F2374" s="447" t="s">
        <v>50</v>
      </c>
      <c r="G2374" s="447"/>
      <c r="H2374" s="66">
        <v>13405</v>
      </c>
    </row>
    <row r="2375" spans="1:8" ht="27" x14ac:dyDescent="0.3">
      <c r="A2375" s="68" t="s">
        <v>22</v>
      </c>
      <c r="B2375" s="30" t="s">
        <v>51</v>
      </c>
      <c r="C2375" s="70" t="s">
        <v>24</v>
      </c>
      <c r="D2375" s="31" t="s">
        <v>25</v>
      </c>
      <c r="E2375" s="543" t="s">
        <v>52</v>
      </c>
      <c r="F2375" s="543"/>
      <c r="G2375" s="28"/>
      <c r="H2375" s="32"/>
    </row>
    <row r="2376" spans="1:8" x14ac:dyDescent="0.3">
      <c r="A2376" s="72">
        <v>0.18</v>
      </c>
      <c r="B2376" s="73">
        <f>H2371</f>
        <v>11360</v>
      </c>
      <c r="C2376" s="74">
        <f>H2372</f>
        <v>1022.4</v>
      </c>
      <c r="D2376" s="74">
        <f>H2372</f>
        <v>1022.4</v>
      </c>
      <c r="E2376" s="507">
        <f>C2376+D2376</f>
        <v>2044.8</v>
      </c>
      <c r="F2376" s="507"/>
      <c r="G2376" s="74"/>
      <c r="H2376" s="75"/>
    </row>
    <row r="2377" spans="1:8" x14ac:dyDescent="0.3">
      <c r="A2377" s="508" t="s">
        <v>526</v>
      </c>
      <c r="B2377" s="509"/>
      <c r="C2377" s="509"/>
      <c r="D2377" s="509"/>
      <c r="E2377" s="453"/>
      <c r="F2377" s="453"/>
      <c r="G2377" s="453"/>
      <c r="H2377" s="454"/>
    </row>
    <row r="2378" spans="1:8" ht="15.6" x14ac:dyDescent="0.3">
      <c r="A2378" s="455" t="s">
        <v>53</v>
      </c>
      <c r="B2378" s="456"/>
      <c r="C2378" s="456"/>
      <c r="D2378" s="457"/>
      <c r="E2378" s="458" t="s">
        <v>54</v>
      </c>
      <c r="F2378" s="459"/>
      <c r="G2378" s="459"/>
      <c r="H2378" s="460"/>
    </row>
    <row r="2379" spans="1:8" x14ac:dyDescent="0.3">
      <c r="A2379" s="461" t="s">
        <v>55</v>
      </c>
      <c r="B2379" s="462"/>
      <c r="C2379" s="462"/>
      <c r="D2379" s="463"/>
      <c r="E2379" s="39"/>
      <c r="F2379" s="28"/>
      <c r="G2379" s="28"/>
      <c r="H2379" s="32"/>
    </row>
    <row r="2380" spans="1:8" x14ac:dyDescent="0.3">
      <c r="A2380" s="461" t="s">
        <v>56</v>
      </c>
      <c r="B2380" s="462"/>
      <c r="C2380" s="462"/>
      <c r="D2380" s="463"/>
      <c r="E2380" s="39"/>
      <c r="F2380" s="28"/>
      <c r="G2380" s="28"/>
      <c r="H2380" s="32"/>
    </row>
    <row r="2381" spans="1:8" x14ac:dyDescent="0.3">
      <c r="A2381" s="461" t="s">
        <v>57</v>
      </c>
      <c r="B2381" s="462"/>
      <c r="C2381" s="462"/>
      <c r="D2381" s="463"/>
      <c r="E2381" s="39"/>
      <c r="F2381" s="28"/>
      <c r="G2381" s="28"/>
      <c r="H2381" s="32"/>
    </row>
    <row r="2382" spans="1:8" ht="15.6" x14ac:dyDescent="0.3">
      <c r="A2382" s="464" t="s">
        <v>58</v>
      </c>
      <c r="B2382" s="465"/>
      <c r="C2382" s="465"/>
      <c r="D2382" s="465"/>
      <c r="E2382" s="466" t="s">
        <v>59</v>
      </c>
      <c r="F2382" s="467"/>
      <c r="G2382" s="467"/>
      <c r="H2382" s="468"/>
    </row>
    <row r="2383" spans="1:8" ht="15.6" x14ac:dyDescent="0.3">
      <c r="A2383" s="104"/>
      <c r="B2383" s="104"/>
      <c r="C2383" s="104"/>
      <c r="D2383" s="104"/>
      <c r="E2383" s="105"/>
      <c r="F2383" s="105"/>
      <c r="G2383" s="105"/>
      <c r="H2383" s="105"/>
    </row>
    <row r="2384" spans="1:8" ht="15.6" x14ac:dyDescent="0.3">
      <c r="A2384" s="104"/>
      <c r="B2384" s="104"/>
      <c r="C2384" s="104"/>
      <c r="D2384" s="104"/>
      <c r="E2384" s="105"/>
      <c r="F2384" s="105"/>
      <c r="G2384" s="105"/>
      <c r="H2384" s="105"/>
    </row>
    <row r="2385" spans="1:8" ht="15.6" x14ac:dyDescent="0.3">
      <c r="A2385" s="104"/>
      <c r="B2385" s="104"/>
      <c r="C2385" s="104"/>
      <c r="D2385" s="104"/>
      <c r="E2385" s="105"/>
      <c r="F2385" s="105"/>
      <c r="G2385" s="105"/>
      <c r="H2385" s="105"/>
    </row>
    <row r="2386" spans="1:8" ht="15.6" x14ac:dyDescent="0.3">
      <c r="A2386" s="104"/>
      <c r="B2386" s="104"/>
      <c r="C2386" s="104"/>
      <c r="D2386" s="104"/>
      <c r="E2386" s="105"/>
      <c r="F2386" s="105"/>
      <c r="G2386" s="105"/>
      <c r="H2386" s="105"/>
    </row>
    <row r="2387" spans="1:8" ht="15.6" x14ac:dyDescent="0.3">
      <c r="A2387" s="104"/>
      <c r="B2387" s="104"/>
      <c r="C2387" s="104"/>
      <c r="D2387" s="104"/>
      <c r="E2387" s="105"/>
      <c r="F2387" s="105"/>
      <c r="G2387" s="105"/>
      <c r="H2387" s="105"/>
    </row>
    <row r="2388" spans="1:8" ht="15.6" x14ac:dyDescent="0.3">
      <c r="A2388" s="104"/>
      <c r="B2388" s="104"/>
      <c r="C2388" s="104"/>
      <c r="D2388" s="104"/>
      <c r="E2388" s="105"/>
      <c r="F2388" s="105"/>
      <c r="G2388" s="105"/>
      <c r="H2388" s="105"/>
    </row>
    <row r="2389" spans="1:8" ht="15.6" x14ac:dyDescent="0.3">
      <c r="A2389" s="104"/>
      <c r="B2389" s="104"/>
      <c r="C2389" s="104"/>
      <c r="D2389" s="104"/>
      <c r="E2389" s="105"/>
      <c r="F2389" s="105"/>
      <c r="G2389" s="105"/>
      <c r="H2389" s="105"/>
    </row>
    <row r="2393" spans="1:8" ht="44.4" x14ac:dyDescent="0.7">
      <c r="A2393" s="469" t="s">
        <v>0</v>
      </c>
      <c r="B2393" s="470"/>
      <c r="C2393" s="470"/>
      <c r="D2393" s="470"/>
      <c r="E2393" s="471" t="s">
        <v>1</v>
      </c>
      <c r="F2393" s="472"/>
      <c r="G2393" s="472"/>
      <c r="H2393" s="473"/>
    </row>
    <row r="2394" spans="1:8" ht="20.399999999999999" x14ac:dyDescent="0.35">
      <c r="A2394" s="1"/>
      <c r="B2394" s="476" t="s">
        <v>2</v>
      </c>
      <c r="C2394" s="476"/>
      <c r="D2394" s="476"/>
      <c r="E2394" s="474"/>
      <c r="F2394" s="474"/>
      <c r="G2394" s="474"/>
      <c r="H2394" s="475"/>
    </row>
    <row r="2395" spans="1:8" x14ac:dyDescent="0.3">
      <c r="A2395" s="477" t="s">
        <v>3</v>
      </c>
      <c r="B2395" s="478"/>
      <c r="C2395" s="479" t="s">
        <v>4</v>
      </c>
      <c r="D2395" s="479"/>
      <c r="E2395" s="480" t="s">
        <v>5</v>
      </c>
      <c r="F2395" s="480"/>
      <c r="G2395" s="480"/>
      <c r="H2395" s="480"/>
    </row>
    <row r="2396" spans="1:8" ht="15.6" x14ac:dyDescent="0.3">
      <c r="A2396" s="4" t="s">
        <v>6</v>
      </c>
      <c r="B2396" s="5"/>
      <c r="C2396" s="481" t="s">
        <v>7</v>
      </c>
      <c r="D2396" s="481"/>
      <c r="E2396" s="482">
        <v>53</v>
      </c>
      <c r="F2396" s="482"/>
      <c r="G2396" s="7" t="s">
        <v>8</v>
      </c>
      <c r="H2396" s="250">
        <v>45664</v>
      </c>
    </row>
    <row r="2397" spans="1:8" ht="15.6" x14ac:dyDescent="0.3">
      <c r="A2397" s="551" t="s">
        <v>488</v>
      </c>
      <c r="B2397" s="552"/>
      <c r="C2397" s="481" t="s">
        <v>10</v>
      </c>
      <c r="D2397" s="481"/>
      <c r="E2397" s="482"/>
      <c r="F2397" s="482"/>
      <c r="G2397" s="7" t="s">
        <v>8</v>
      </c>
      <c r="H2397" s="251"/>
    </row>
    <row r="2398" spans="1:8" ht="23.25" customHeight="1" x14ac:dyDescent="0.3">
      <c r="A2398" s="560" t="s">
        <v>489</v>
      </c>
      <c r="B2398" s="561"/>
      <c r="C2398" s="483" t="s">
        <v>12</v>
      </c>
      <c r="D2398" s="484"/>
      <c r="E2398" s="564" t="s">
        <v>529</v>
      </c>
      <c r="F2398" s="593"/>
      <c r="G2398" s="10" t="s">
        <v>8</v>
      </c>
      <c r="H2398" s="252" t="s">
        <v>527</v>
      </c>
    </row>
    <row r="2399" spans="1:8" ht="15.6" x14ac:dyDescent="0.3">
      <c r="A2399" s="253" t="s">
        <v>490</v>
      </c>
      <c r="B2399" s="254"/>
      <c r="C2399" s="481" t="s">
        <v>15</v>
      </c>
      <c r="D2399" s="481"/>
      <c r="E2399" s="489" t="s">
        <v>495</v>
      </c>
      <c r="F2399" s="490"/>
      <c r="G2399" s="490"/>
      <c r="H2399" s="491"/>
    </row>
    <row r="2400" spans="1:8" ht="15.6" x14ac:dyDescent="0.3">
      <c r="A2400" s="255" t="s">
        <v>182</v>
      </c>
      <c r="B2400" s="256"/>
      <c r="C2400" s="489"/>
      <c r="D2400" s="490"/>
      <c r="E2400" s="490"/>
      <c r="F2400" s="490"/>
      <c r="G2400" s="490"/>
      <c r="H2400" s="491"/>
    </row>
    <row r="2401" spans="1:8" ht="15" x14ac:dyDescent="0.3">
      <c r="A2401" s="492" t="s">
        <v>17</v>
      </c>
      <c r="B2401" s="494" t="s">
        <v>18</v>
      </c>
      <c r="C2401" s="494" t="s">
        <v>19</v>
      </c>
      <c r="D2401" s="495" t="s">
        <v>20</v>
      </c>
      <c r="E2401" s="494" t="s">
        <v>21</v>
      </c>
      <c r="F2401" s="494" t="s">
        <v>22</v>
      </c>
      <c r="G2401" s="494"/>
      <c r="H2401" s="492" t="s">
        <v>23</v>
      </c>
    </row>
    <row r="2402" spans="1:8" ht="27.6" x14ac:dyDescent="0.3">
      <c r="A2402" s="492"/>
      <c r="B2402" s="494"/>
      <c r="C2402" s="494"/>
      <c r="D2402" s="505"/>
      <c r="E2402" s="494"/>
      <c r="F2402" s="53" t="s">
        <v>24</v>
      </c>
      <c r="G2402" s="53" t="s">
        <v>25</v>
      </c>
      <c r="H2402" s="492"/>
    </row>
    <row r="2403" spans="1:8" ht="27.6" x14ac:dyDescent="0.3">
      <c r="A2403" s="55">
        <v>1</v>
      </c>
      <c r="B2403" s="257" t="s">
        <v>528</v>
      </c>
      <c r="C2403" s="55">
        <v>1</v>
      </c>
      <c r="D2403" s="86">
        <v>854690</v>
      </c>
      <c r="E2403" s="55">
        <v>13800</v>
      </c>
      <c r="F2403" s="55">
        <f>E2403*C2403*9%</f>
        <v>1242</v>
      </c>
      <c r="G2403" s="55">
        <f>F2403</f>
        <v>1242</v>
      </c>
      <c r="H2403" s="55">
        <f>G2403+F2403+E2403*C2403</f>
        <v>16284</v>
      </c>
    </row>
    <row r="2404" spans="1:8" x14ac:dyDescent="0.3">
      <c r="A2404" s="55"/>
      <c r="B2404" s="257"/>
      <c r="C2404" s="55"/>
      <c r="D2404" s="86"/>
      <c r="E2404" s="55"/>
      <c r="F2404" s="55"/>
      <c r="G2404" s="55"/>
      <c r="H2404" s="55"/>
    </row>
    <row r="2405" spans="1:8" x14ac:dyDescent="0.3">
      <c r="A2405" s="55"/>
      <c r="B2405" s="257"/>
      <c r="C2405" s="55"/>
      <c r="D2405" s="55"/>
      <c r="E2405" s="55"/>
      <c r="F2405" s="55"/>
      <c r="G2405" s="55"/>
      <c r="H2405" s="55"/>
    </row>
    <row r="2406" spans="1:8" x14ac:dyDescent="0.3">
      <c r="A2406" s="55"/>
      <c r="B2406" s="257"/>
      <c r="C2406" s="20"/>
      <c r="D2406" s="86"/>
      <c r="E2406" s="55"/>
      <c r="F2406" s="55"/>
      <c r="G2406" s="55"/>
      <c r="H2406" s="55"/>
    </row>
    <row r="2407" spans="1:8" x14ac:dyDescent="0.3">
      <c r="A2407" s="55"/>
      <c r="B2407" s="257"/>
      <c r="C2407" s="20"/>
      <c r="D2407" s="86"/>
      <c r="E2407" s="55"/>
      <c r="F2407" s="55"/>
      <c r="G2407" s="55"/>
      <c r="H2407" s="55"/>
    </row>
    <row r="2408" spans="1:8" x14ac:dyDescent="0.3">
      <c r="A2408" s="55"/>
      <c r="B2408" s="257"/>
      <c r="C2408" s="20"/>
      <c r="D2408" s="86"/>
      <c r="E2408" s="55"/>
      <c r="F2408" s="55"/>
      <c r="G2408" s="55"/>
      <c r="H2408" s="55"/>
    </row>
    <row r="2409" spans="1:8" x14ac:dyDescent="0.3">
      <c r="A2409" s="55"/>
      <c r="B2409" s="257"/>
      <c r="C2409" s="20"/>
      <c r="D2409" s="86"/>
      <c r="E2409" s="55"/>
      <c r="F2409" s="55"/>
      <c r="G2409" s="55"/>
      <c r="H2409" s="55"/>
    </row>
    <row r="2410" spans="1:8" x14ac:dyDescent="0.3">
      <c r="A2410" s="55"/>
      <c r="B2410" s="257"/>
      <c r="C2410" s="178"/>
      <c r="D2410" s="163"/>
      <c r="E2410" s="163"/>
      <c r="F2410" s="163"/>
      <c r="G2410" s="163"/>
      <c r="H2410" s="163"/>
    </row>
    <row r="2411" spans="1:8" x14ac:dyDescent="0.3">
      <c r="A2411" s="55"/>
      <c r="B2411" s="257"/>
      <c r="C2411" s="258"/>
      <c r="D2411" s="86"/>
      <c r="E2411" s="55"/>
      <c r="F2411" s="259"/>
      <c r="G2411" s="259"/>
      <c r="H2411" s="258"/>
    </row>
    <row r="2412" spans="1:8" x14ac:dyDescent="0.3">
      <c r="A2412" s="55"/>
      <c r="B2412" s="84"/>
      <c r="C2412" s="55"/>
      <c r="D2412" s="55"/>
      <c r="E2412" s="55"/>
      <c r="F2412" s="55"/>
      <c r="G2412" s="55"/>
      <c r="H2412" s="55"/>
    </row>
    <row r="2413" spans="1:8" x14ac:dyDescent="0.3">
      <c r="A2413" s="55"/>
      <c r="B2413" s="163"/>
      <c r="C2413" s="178"/>
      <c r="D2413" s="163"/>
      <c r="E2413" s="163"/>
      <c r="F2413" s="163"/>
      <c r="G2413" s="163"/>
      <c r="H2413" s="163"/>
    </row>
    <row r="2414" spans="1:8" x14ac:dyDescent="0.3">
      <c r="A2414" s="55"/>
      <c r="B2414" s="163"/>
      <c r="C2414" s="55"/>
      <c r="D2414" s="55"/>
      <c r="E2414" s="55"/>
      <c r="F2414" s="55"/>
      <c r="G2414" s="55"/>
      <c r="H2414" s="55"/>
    </row>
    <row r="2415" spans="1:8" x14ac:dyDescent="0.3">
      <c r="A2415" s="57"/>
      <c r="B2415" s="84"/>
      <c r="C2415" s="85"/>
      <c r="D2415" s="86"/>
      <c r="E2415" s="87"/>
      <c r="F2415" s="47"/>
      <c r="G2415" s="47"/>
      <c r="H2415" s="47"/>
    </row>
    <row r="2416" spans="1:8" x14ac:dyDescent="0.3">
      <c r="A2416" s="57"/>
      <c r="B2416" s="84"/>
      <c r="C2416" s="85"/>
      <c r="D2416" s="86"/>
      <c r="E2416" s="47"/>
      <c r="F2416" s="47"/>
      <c r="G2416" s="47"/>
      <c r="H2416" s="47"/>
    </row>
    <row r="2417" spans="1:8" x14ac:dyDescent="0.3">
      <c r="A2417" s="55"/>
      <c r="B2417" s="84"/>
      <c r="C2417" s="55"/>
      <c r="D2417" s="86"/>
      <c r="E2417" s="47"/>
      <c r="F2417" s="47"/>
      <c r="G2417" s="47"/>
      <c r="H2417" s="47"/>
    </row>
    <row r="2418" spans="1:8" x14ac:dyDescent="0.3">
      <c r="A2418" s="27"/>
      <c r="B2418" s="88"/>
      <c r="C2418" s="24"/>
      <c r="D2418" s="89"/>
      <c r="E2418" s="25"/>
      <c r="F2418" s="25"/>
      <c r="G2418" s="25"/>
      <c r="H2418" s="32"/>
    </row>
    <row r="2419" spans="1:8" x14ac:dyDescent="0.3">
      <c r="A2419" s="27"/>
      <c r="B2419" s="88"/>
      <c r="C2419" s="24"/>
      <c r="D2419" s="89"/>
      <c r="E2419" s="25"/>
      <c r="F2419" s="25"/>
      <c r="G2419" s="25"/>
      <c r="H2419" s="32"/>
    </row>
    <row r="2420" spans="1:8" x14ac:dyDescent="0.3">
      <c r="A2420" s="27"/>
      <c r="B2420" s="88"/>
      <c r="C2420" s="24"/>
      <c r="D2420" s="89"/>
      <c r="E2420" s="25"/>
      <c r="F2420" s="25"/>
      <c r="G2420" s="25"/>
      <c r="H2420" s="32"/>
    </row>
    <row r="2421" spans="1:8" x14ac:dyDescent="0.3">
      <c r="A2421" s="27"/>
      <c r="B2421" s="88"/>
      <c r="C2421" s="24"/>
      <c r="D2421" s="89"/>
      <c r="E2421" s="25"/>
      <c r="F2421" s="25"/>
      <c r="G2421" s="25"/>
      <c r="H2421" s="32"/>
    </row>
    <row r="2422" spans="1:8" x14ac:dyDescent="0.3">
      <c r="A2422" s="27"/>
      <c r="B2422" s="88"/>
      <c r="C2422" s="24"/>
      <c r="D2422" s="89"/>
      <c r="E2422" s="25"/>
      <c r="F2422" s="25"/>
      <c r="G2422" s="25"/>
      <c r="H2422" s="32"/>
    </row>
    <row r="2423" spans="1:8" x14ac:dyDescent="0.3">
      <c r="A2423" s="27"/>
      <c r="B2423" s="88"/>
      <c r="C2423" s="24"/>
      <c r="D2423" s="89"/>
      <c r="E2423" s="25"/>
      <c r="F2423" s="25"/>
      <c r="G2423" s="25"/>
      <c r="H2423" s="32"/>
    </row>
    <row r="2424" spans="1:8" x14ac:dyDescent="0.3">
      <c r="A2424" s="27"/>
      <c r="B2424" s="28"/>
      <c r="C2424" s="24"/>
      <c r="D2424" s="25"/>
      <c r="E2424" s="25"/>
      <c r="F2424" s="28"/>
      <c r="G2424" s="28"/>
      <c r="H2424" s="32"/>
    </row>
    <row r="2425" spans="1:8" ht="15.6" x14ac:dyDescent="0.3">
      <c r="A2425" s="448" t="s">
        <v>45</v>
      </c>
      <c r="B2425" s="449"/>
      <c r="C2425" s="24"/>
      <c r="D2425" s="25"/>
      <c r="E2425" s="25"/>
      <c r="F2425" s="447" t="s">
        <v>46</v>
      </c>
      <c r="G2425" s="447"/>
      <c r="H2425" s="66">
        <v>13800</v>
      </c>
    </row>
    <row r="2426" spans="1:8" ht="15.6" x14ac:dyDescent="0.3">
      <c r="A2426" s="497" t="s">
        <v>530</v>
      </c>
      <c r="B2426" s="498"/>
      <c r="C2426" s="498"/>
      <c r="D2426" s="498"/>
      <c r="E2426" s="498"/>
      <c r="F2426" s="447" t="s">
        <v>47</v>
      </c>
      <c r="G2426" s="447"/>
      <c r="H2426" s="66">
        <f>H2425*9%</f>
        <v>1242</v>
      </c>
    </row>
    <row r="2427" spans="1:8" ht="15.6" x14ac:dyDescent="0.3">
      <c r="A2427" s="27"/>
      <c r="B2427" s="28"/>
      <c r="C2427" s="24"/>
      <c r="D2427" s="25"/>
      <c r="E2427" s="25"/>
      <c r="F2427" s="447" t="s">
        <v>48</v>
      </c>
      <c r="G2427" s="447"/>
      <c r="H2427" s="66">
        <f>H2426</f>
        <v>1242</v>
      </c>
    </row>
    <row r="2428" spans="1:8" ht="15.6" x14ac:dyDescent="0.3">
      <c r="A2428" s="64" t="s">
        <v>49</v>
      </c>
      <c r="B2428" s="65"/>
      <c r="C2428" s="24"/>
      <c r="D2428" s="25"/>
      <c r="E2428" s="25"/>
      <c r="F2428" s="447" t="s">
        <v>50</v>
      </c>
      <c r="G2428" s="447"/>
      <c r="H2428" s="66">
        <f>H2425+H2426+H2427</f>
        <v>16284</v>
      </c>
    </row>
    <row r="2429" spans="1:8" ht="27" x14ac:dyDescent="0.3">
      <c r="A2429" s="68" t="s">
        <v>22</v>
      </c>
      <c r="B2429" s="30" t="s">
        <v>51</v>
      </c>
      <c r="C2429" s="70" t="s">
        <v>24</v>
      </c>
      <c r="D2429" s="31" t="s">
        <v>25</v>
      </c>
      <c r="E2429" s="450" t="s">
        <v>52</v>
      </c>
      <c r="F2429" s="450"/>
      <c r="G2429" s="28"/>
      <c r="H2429" s="32"/>
    </row>
    <row r="2430" spans="1:8" x14ac:dyDescent="0.3">
      <c r="A2430" s="72">
        <v>0.18</v>
      </c>
      <c r="B2430" s="73">
        <f>H2425</f>
        <v>13800</v>
      </c>
      <c r="C2430" s="91">
        <f>H2426</f>
        <v>1242</v>
      </c>
      <c r="D2430" s="91">
        <f>H2426</f>
        <v>1242</v>
      </c>
      <c r="E2430" s="506">
        <f>C2430+D2430</f>
        <v>2484</v>
      </c>
      <c r="F2430" s="507"/>
      <c r="G2430" s="74"/>
      <c r="H2430" s="75"/>
    </row>
    <row r="2431" spans="1:8" x14ac:dyDescent="0.3">
      <c r="A2431" s="508" t="s">
        <v>531</v>
      </c>
      <c r="B2431" s="509"/>
      <c r="C2431" s="509"/>
      <c r="D2431" s="509"/>
      <c r="E2431" s="453"/>
      <c r="F2431" s="453"/>
      <c r="G2431" s="453"/>
      <c r="H2431" s="454"/>
    </row>
    <row r="2432" spans="1:8" ht="15.6" x14ac:dyDescent="0.3">
      <c r="A2432" s="455" t="s">
        <v>53</v>
      </c>
      <c r="B2432" s="456"/>
      <c r="C2432" s="456"/>
      <c r="D2432" s="457"/>
      <c r="E2432" s="458" t="s">
        <v>54</v>
      </c>
      <c r="F2432" s="459"/>
      <c r="G2432" s="459"/>
      <c r="H2432" s="460"/>
    </row>
    <row r="2433" spans="1:8" x14ac:dyDescent="0.3">
      <c r="A2433" s="461" t="s">
        <v>55</v>
      </c>
      <c r="B2433" s="462"/>
      <c r="C2433" s="462"/>
      <c r="D2433" s="463"/>
      <c r="E2433" s="39"/>
      <c r="F2433" s="28"/>
      <c r="G2433" s="28"/>
      <c r="H2433" s="32"/>
    </row>
    <row r="2434" spans="1:8" x14ac:dyDescent="0.3">
      <c r="A2434" s="461" t="s">
        <v>56</v>
      </c>
      <c r="B2434" s="462"/>
      <c r="C2434" s="462"/>
      <c r="D2434" s="463"/>
      <c r="E2434" s="39"/>
      <c r="F2434" s="28"/>
      <c r="G2434" s="28"/>
      <c r="H2434" s="32"/>
    </row>
    <row r="2435" spans="1:8" x14ac:dyDescent="0.3">
      <c r="A2435" s="461" t="s">
        <v>57</v>
      </c>
      <c r="B2435" s="462"/>
      <c r="C2435" s="462"/>
      <c r="D2435" s="463"/>
      <c r="E2435" s="39"/>
      <c r="F2435" s="28"/>
      <c r="G2435" s="28"/>
      <c r="H2435" s="32"/>
    </row>
    <row r="2436" spans="1:8" ht="15.6" x14ac:dyDescent="0.3">
      <c r="A2436" s="464" t="s">
        <v>58</v>
      </c>
      <c r="B2436" s="465"/>
      <c r="C2436" s="465"/>
      <c r="D2436" s="465"/>
      <c r="E2436" s="466" t="s">
        <v>59</v>
      </c>
      <c r="F2436" s="467"/>
      <c r="G2436" s="467"/>
      <c r="H2436" s="468"/>
    </row>
    <row r="2440" spans="1:8" ht="44.4" x14ac:dyDescent="0.7">
      <c r="A2440" s="469" t="s">
        <v>0</v>
      </c>
      <c r="B2440" s="470"/>
      <c r="C2440" s="470"/>
      <c r="D2440" s="470"/>
      <c r="E2440" s="471" t="s">
        <v>1</v>
      </c>
      <c r="F2440" s="472"/>
      <c r="G2440" s="472"/>
      <c r="H2440" s="473"/>
    </row>
    <row r="2441" spans="1:8" ht="20.399999999999999" x14ac:dyDescent="0.35">
      <c r="A2441" s="1"/>
      <c r="B2441" s="476" t="s">
        <v>2</v>
      </c>
      <c r="C2441" s="476"/>
      <c r="D2441" s="476"/>
      <c r="E2441" s="474"/>
      <c r="F2441" s="474"/>
      <c r="G2441" s="474"/>
      <c r="H2441" s="475"/>
    </row>
    <row r="2442" spans="1:8" x14ac:dyDescent="0.3">
      <c r="A2442" s="477" t="s">
        <v>3</v>
      </c>
      <c r="B2442" s="478"/>
      <c r="C2442" s="479" t="s">
        <v>4</v>
      </c>
      <c r="D2442" s="479"/>
      <c r="E2442" s="480" t="s">
        <v>5</v>
      </c>
      <c r="F2442" s="480"/>
      <c r="G2442" s="480"/>
      <c r="H2442" s="480"/>
    </row>
    <row r="2443" spans="1:8" ht="15.6" x14ac:dyDescent="0.3">
      <c r="A2443" s="4" t="s">
        <v>6</v>
      </c>
      <c r="B2443" s="5"/>
      <c r="C2443" s="481" t="s">
        <v>7</v>
      </c>
      <c r="D2443" s="481"/>
      <c r="E2443" s="482">
        <v>54</v>
      </c>
      <c r="F2443" s="482"/>
      <c r="G2443" s="7" t="s">
        <v>8</v>
      </c>
      <c r="H2443" s="250">
        <v>45664</v>
      </c>
    </row>
    <row r="2444" spans="1:8" ht="15.6" x14ac:dyDescent="0.3">
      <c r="A2444" s="551" t="s">
        <v>488</v>
      </c>
      <c r="B2444" s="552"/>
      <c r="C2444" s="481" t="s">
        <v>10</v>
      </c>
      <c r="D2444" s="481"/>
      <c r="E2444" s="482"/>
      <c r="F2444" s="482"/>
      <c r="G2444" s="7" t="s">
        <v>8</v>
      </c>
      <c r="H2444" s="251"/>
    </row>
    <row r="2445" spans="1:8" ht="27.75" customHeight="1" x14ac:dyDescent="0.3">
      <c r="A2445" s="560" t="s">
        <v>489</v>
      </c>
      <c r="B2445" s="561"/>
      <c r="C2445" s="483" t="s">
        <v>12</v>
      </c>
      <c r="D2445" s="484"/>
      <c r="E2445" s="564" t="s">
        <v>532</v>
      </c>
      <c r="F2445" s="593"/>
      <c r="G2445" s="10" t="s">
        <v>8</v>
      </c>
      <c r="H2445" s="252" t="s">
        <v>527</v>
      </c>
    </row>
    <row r="2446" spans="1:8" ht="15.6" x14ac:dyDescent="0.3">
      <c r="A2446" s="253" t="s">
        <v>490</v>
      </c>
      <c r="B2446" s="254"/>
      <c r="C2446" s="481" t="s">
        <v>15</v>
      </c>
      <c r="D2446" s="481"/>
      <c r="E2446" s="489" t="s">
        <v>495</v>
      </c>
      <c r="F2446" s="490"/>
      <c r="G2446" s="490"/>
      <c r="H2446" s="491"/>
    </row>
    <row r="2447" spans="1:8" ht="15.6" x14ac:dyDescent="0.3">
      <c r="A2447" s="255" t="s">
        <v>182</v>
      </c>
      <c r="B2447" s="256"/>
      <c r="C2447" s="489"/>
      <c r="D2447" s="490"/>
      <c r="E2447" s="490"/>
      <c r="F2447" s="490"/>
      <c r="G2447" s="490"/>
      <c r="H2447" s="491"/>
    </row>
    <row r="2448" spans="1:8" ht="15" x14ac:dyDescent="0.3">
      <c r="A2448" s="492" t="s">
        <v>17</v>
      </c>
      <c r="B2448" s="494" t="s">
        <v>18</v>
      </c>
      <c r="C2448" s="494" t="s">
        <v>19</v>
      </c>
      <c r="D2448" s="495" t="s">
        <v>20</v>
      </c>
      <c r="E2448" s="494" t="s">
        <v>21</v>
      </c>
      <c r="F2448" s="494" t="s">
        <v>22</v>
      </c>
      <c r="G2448" s="494"/>
      <c r="H2448" s="492" t="s">
        <v>23</v>
      </c>
    </row>
    <row r="2449" spans="1:8" ht="27.6" x14ac:dyDescent="0.3">
      <c r="A2449" s="492"/>
      <c r="B2449" s="494"/>
      <c r="C2449" s="494"/>
      <c r="D2449" s="505"/>
      <c r="E2449" s="494"/>
      <c r="F2449" s="53" t="s">
        <v>24</v>
      </c>
      <c r="G2449" s="53" t="s">
        <v>25</v>
      </c>
      <c r="H2449" s="492"/>
    </row>
    <row r="2450" spans="1:8" ht="27.6" x14ac:dyDescent="0.3">
      <c r="A2450" s="55">
        <v>1</v>
      </c>
      <c r="B2450" s="257" t="s">
        <v>528</v>
      </c>
      <c r="C2450" s="55">
        <v>1</v>
      </c>
      <c r="D2450" s="86">
        <v>854690</v>
      </c>
      <c r="E2450" s="55">
        <v>13800</v>
      </c>
      <c r="F2450" s="55">
        <f>E2450*C2450*9%</f>
        <v>1242</v>
      </c>
      <c r="G2450" s="55">
        <f>F2450</f>
        <v>1242</v>
      </c>
      <c r="H2450" s="55">
        <f>G2450+F2450+E2450*C2450</f>
        <v>16284</v>
      </c>
    </row>
    <row r="2451" spans="1:8" x14ac:dyDescent="0.3">
      <c r="A2451" s="55"/>
      <c r="B2451" s="257"/>
      <c r="C2451" s="55"/>
      <c r="D2451" s="86"/>
      <c r="E2451" s="55"/>
      <c r="F2451" s="55"/>
      <c r="G2451" s="55"/>
      <c r="H2451" s="55"/>
    </row>
    <row r="2452" spans="1:8" x14ac:dyDescent="0.3">
      <c r="A2452" s="55"/>
      <c r="B2452" s="257"/>
      <c r="C2452" s="55"/>
      <c r="D2452" s="55"/>
      <c r="E2452" s="55"/>
      <c r="F2452" s="55"/>
      <c r="G2452" s="55"/>
      <c r="H2452" s="55"/>
    </row>
    <row r="2453" spans="1:8" x14ac:dyDescent="0.3">
      <c r="A2453" s="55"/>
      <c r="B2453" s="257"/>
      <c r="C2453" s="20"/>
      <c r="D2453" s="86"/>
      <c r="E2453" s="55"/>
      <c r="F2453" s="55"/>
      <c r="G2453" s="55"/>
      <c r="H2453" s="55"/>
    </row>
    <row r="2454" spans="1:8" x14ac:dyDescent="0.3">
      <c r="A2454" s="55"/>
      <c r="B2454" s="257"/>
      <c r="C2454" s="20"/>
      <c r="D2454" s="86"/>
      <c r="E2454" s="55"/>
      <c r="F2454" s="55"/>
      <c r="G2454" s="55"/>
      <c r="H2454" s="55"/>
    </row>
    <row r="2455" spans="1:8" x14ac:dyDescent="0.3">
      <c r="A2455" s="55"/>
      <c r="B2455" s="257"/>
      <c r="C2455" s="20"/>
      <c r="D2455" s="86"/>
      <c r="E2455" s="55"/>
      <c r="F2455" s="55"/>
      <c r="G2455" s="55"/>
      <c r="H2455" s="55"/>
    </row>
    <row r="2456" spans="1:8" x14ac:dyDescent="0.3">
      <c r="A2456" s="55"/>
      <c r="B2456" s="257"/>
      <c r="C2456" s="20"/>
      <c r="D2456" s="86"/>
      <c r="E2456" s="55"/>
      <c r="F2456" s="55"/>
      <c r="G2456" s="55"/>
      <c r="H2456" s="55"/>
    </row>
    <row r="2457" spans="1:8" x14ac:dyDescent="0.3">
      <c r="A2457" s="55"/>
      <c r="B2457" s="257"/>
      <c r="C2457" s="178"/>
      <c r="D2457" s="163"/>
      <c r="E2457" s="163"/>
      <c r="F2457" s="163"/>
      <c r="G2457" s="163"/>
      <c r="H2457" s="163"/>
    </row>
    <row r="2458" spans="1:8" x14ac:dyDescent="0.3">
      <c r="A2458" s="55"/>
      <c r="B2458" s="257"/>
      <c r="C2458" s="258"/>
      <c r="D2458" s="86"/>
      <c r="E2458" s="55"/>
      <c r="F2458" s="259"/>
      <c r="G2458" s="259"/>
      <c r="H2458" s="258"/>
    </row>
    <row r="2459" spans="1:8" x14ac:dyDescent="0.3">
      <c r="A2459" s="55"/>
      <c r="B2459" s="84"/>
      <c r="C2459" s="55"/>
      <c r="D2459" s="55"/>
      <c r="E2459" s="55"/>
      <c r="F2459" s="55"/>
      <c r="G2459" s="55"/>
      <c r="H2459" s="55"/>
    </row>
    <row r="2460" spans="1:8" x14ac:dyDescent="0.3">
      <c r="A2460" s="55"/>
      <c r="B2460" s="163"/>
      <c r="C2460" s="178"/>
      <c r="D2460" s="163"/>
      <c r="E2460" s="163"/>
      <c r="F2460" s="163"/>
      <c r="G2460" s="163"/>
      <c r="H2460" s="163"/>
    </row>
    <row r="2461" spans="1:8" x14ac:dyDescent="0.3">
      <c r="A2461" s="55"/>
      <c r="B2461" s="163"/>
      <c r="C2461" s="55"/>
      <c r="D2461" s="55"/>
      <c r="E2461" s="55"/>
      <c r="F2461" s="55"/>
      <c r="G2461" s="55"/>
      <c r="H2461" s="55"/>
    </row>
    <row r="2462" spans="1:8" x14ac:dyDescent="0.3">
      <c r="A2462" s="57"/>
      <c r="B2462" s="84"/>
      <c r="C2462" s="85"/>
      <c r="D2462" s="86"/>
      <c r="E2462" s="87"/>
      <c r="F2462" s="47"/>
      <c r="G2462" s="47"/>
      <c r="H2462" s="47"/>
    </row>
    <row r="2463" spans="1:8" x14ac:dyDescent="0.3">
      <c r="A2463" s="57"/>
      <c r="B2463" s="84"/>
      <c r="C2463" s="85"/>
      <c r="D2463" s="86"/>
      <c r="E2463" s="47"/>
      <c r="F2463" s="47"/>
      <c r="G2463" s="47"/>
      <c r="H2463" s="47"/>
    </row>
    <row r="2464" spans="1:8" x14ac:dyDescent="0.3">
      <c r="A2464" s="55"/>
      <c r="B2464" s="84"/>
      <c r="C2464" s="55"/>
      <c r="D2464" s="86"/>
      <c r="E2464" s="47"/>
      <c r="F2464" s="47"/>
      <c r="G2464" s="47"/>
      <c r="H2464" s="47"/>
    </row>
    <row r="2465" spans="1:8" x14ac:dyDescent="0.3">
      <c r="A2465" s="27"/>
      <c r="B2465" s="88"/>
      <c r="C2465" s="24"/>
      <c r="D2465" s="89"/>
      <c r="E2465" s="25"/>
      <c r="F2465" s="25"/>
      <c r="G2465" s="25"/>
      <c r="H2465" s="32"/>
    </row>
    <row r="2466" spans="1:8" x14ac:dyDescent="0.3">
      <c r="A2466" s="27"/>
      <c r="B2466" s="88"/>
      <c r="C2466" s="24"/>
      <c r="D2466" s="89"/>
      <c r="E2466" s="25"/>
      <c r="F2466" s="25"/>
      <c r="G2466" s="25"/>
      <c r="H2466" s="32"/>
    </row>
    <row r="2467" spans="1:8" x14ac:dyDescent="0.3">
      <c r="A2467" s="27"/>
      <c r="B2467" s="88"/>
      <c r="C2467" s="24"/>
      <c r="D2467" s="89"/>
      <c r="E2467" s="25"/>
      <c r="F2467" s="25"/>
      <c r="G2467" s="25"/>
      <c r="H2467" s="32"/>
    </row>
    <row r="2468" spans="1:8" x14ac:dyDescent="0.3">
      <c r="A2468" s="27"/>
      <c r="B2468" s="88"/>
      <c r="C2468" s="24"/>
      <c r="D2468" s="89"/>
      <c r="E2468" s="25"/>
      <c r="F2468" s="25"/>
      <c r="G2468" s="25"/>
      <c r="H2468" s="32"/>
    </row>
    <row r="2469" spans="1:8" x14ac:dyDescent="0.3">
      <c r="A2469" s="27"/>
      <c r="B2469" s="88"/>
      <c r="C2469" s="24"/>
      <c r="D2469" s="89"/>
      <c r="E2469" s="25"/>
      <c r="F2469" s="25"/>
      <c r="G2469" s="25"/>
      <c r="H2469" s="32"/>
    </row>
    <row r="2470" spans="1:8" x14ac:dyDescent="0.3">
      <c r="A2470" s="27"/>
      <c r="B2470" s="88"/>
      <c r="C2470" s="24"/>
      <c r="D2470" s="89"/>
      <c r="E2470" s="25"/>
      <c r="F2470" s="25"/>
      <c r="G2470" s="25"/>
      <c r="H2470" s="32"/>
    </row>
    <row r="2471" spans="1:8" x14ac:dyDescent="0.3">
      <c r="A2471" s="27"/>
      <c r="B2471" s="28"/>
      <c r="C2471" s="24"/>
      <c r="D2471" s="25"/>
      <c r="E2471" s="25"/>
      <c r="F2471" s="28"/>
      <c r="G2471" s="28"/>
      <c r="H2471" s="32"/>
    </row>
    <row r="2472" spans="1:8" ht="15.6" x14ac:dyDescent="0.3">
      <c r="A2472" s="448" t="s">
        <v>45</v>
      </c>
      <c r="B2472" s="449"/>
      <c r="C2472" s="24"/>
      <c r="D2472" s="25"/>
      <c r="E2472" s="25"/>
      <c r="F2472" s="447" t="s">
        <v>46</v>
      </c>
      <c r="G2472" s="447"/>
      <c r="H2472" s="66">
        <v>13800</v>
      </c>
    </row>
    <row r="2473" spans="1:8" ht="15.6" x14ac:dyDescent="0.3">
      <c r="A2473" s="497" t="s">
        <v>530</v>
      </c>
      <c r="B2473" s="498"/>
      <c r="C2473" s="498"/>
      <c r="D2473" s="498"/>
      <c r="E2473" s="498"/>
      <c r="F2473" s="447" t="s">
        <v>47</v>
      </c>
      <c r="G2473" s="447"/>
      <c r="H2473" s="66">
        <f>H2472*9%</f>
        <v>1242</v>
      </c>
    </row>
    <row r="2474" spans="1:8" ht="15.6" x14ac:dyDescent="0.3">
      <c r="A2474" s="27"/>
      <c r="B2474" s="28"/>
      <c r="C2474" s="24"/>
      <c r="D2474" s="25"/>
      <c r="E2474" s="25"/>
      <c r="F2474" s="447" t="s">
        <v>48</v>
      </c>
      <c r="G2474" s="447"/>
      <c r="H2474" s="66">
        <f>H2473</f>
        <v>1242</v>
      </c>
    </row>
    <row r="2475" spans="1:8" ht="15.6" x14ac:dyDescent="0.3">
      <c r="A2475" s="64" t="s">
        <v>49</v>
      </c>
      <c r="B2475" s="65"/>
      <c r="C2475" s="24"/>
      <c r="D2475" s="25"/>
      <c r="E2475" s="25"/>
      <c r="F2475" s="447" t="s">
        <v>50</v>
      </c>
      <c r="G2475" s="447"/>
      <c r="H2475" s="66">
        <f>H2472+H2473+H2474</f>
        <v>16284</v>
      </c>
    </row>
    <row r="2476" spans="1:8" ht="27" x14ac:dyDescent="0.3">
      <c r="A2476" s="68" t="s">
        <v>22</v>
      </c>
      <c r="B2476" s="30" t="s">
        <v>51</v>
      </c>
      <c r="C2476" s="70" t="s">
        <v>24</v>
      </c>
      <c r="D2476" s="31" t="s">
        <v>25</v>
      </c>
      <c r="E2476" s="450" t="s">
        <v>52</v>
      </c>
      <c r="F2476" s="450"/>
      <c r="G2476" s="28"/>
      <c r="H2476" s="32"/>
    </row>
    <row r="2477" spans="1:8" x14ac:dyDescent="0.3">
      <c r="A2477" s="72">
        <v>0.18</v>
      </c>
      <c r="B2477" s="73">
        <f>H2472</f>
        <v>13800</v>
      </c>
      <c r="C2477" s="91">
        <f>H2473</f>
        <v>1242</v>
      </c>
      <c r="D2477" s="91">
        <f>H2473</f>
        <v>1242</v>
      </c>
      <c r="E2477" s="506">
        <f>C2477+D2477</f>
        <v>2484</v>
      </c>
      <c r="F2477" s="507"/>
      <c r="G2477" s="74"/>
      <c r="H2477" s="75"/>
    </row>
    <row r="2478" spans="1:8" x14ac:dyDescent="0.3">
      <c r="A2478" s="508" t="s">
        <v>531</v>
      </c>
      <c r="B2478" s="509"/>
      <c r="C2478" s="509"/>
      <c r="D2478" s="509"/>
      <c r="E2478" s="453"/>
      <c r="F2478" s="453"/>
      <c r="G2478" s="453"/>
      <c r="H2478" s="454"/>
    </row>
    <row r="2479" spans="1:8" ht="15.6" x14ac:dyDescent="0.3">
      <c r="A2479" s="455" t="s">
        <v>53</v>
      </c>
      <c r="B2479" s="456"/>
      <c r="C2479" s="456"/>
      <c r="D2479" s="457"/>
      <c r="E2479" s="458" t="s">
        <v>54</v>
      </c>
      <c r="F2479" s="459"/>
      <c r="G2479" s="459"/>
      <c r="H2479" s="460"/>
    </row>
    <row r="2480" spans="1:8" x14ac:dyDescent="0.3">
      <c r="A2480" s="461" t="s">
        <v>55</v>
      </c>
      <c r="B2480" s="462"/>
      <c r="C2480" s="462"/>
      <c r="D2480" s="463"/>
      <c r="E2480" s="39"/>
      <c r="F2480" s="28"/>
      <c r="G2480" s="28"/>
      <c r="H2480" s="32"/>
    </row>
    <row r="2481" spans="1:8" x14ac:dyDescent="0.3">
      <c r="A2481" s="461" t="s">
        <v>56</v>
      </c>
      <c r="B2481" s="462"/>
      <c r="C2481" s="462"/>
      <c r="D2481" s="463"/>
      <c r="E2481" s="39"/>
      <c r="F2481" s="28"/>
      <c r="G2481" s="28"/>
      <c r="H2481" s="32"/>
    </row>
    <row r="2482" spans="1:8" x14ac:dyDescent="0.3">
      <c r="A2482" s="461" t="s">
        <v>57</v>
      </c>
      <c r="B2482" s="462"/>
      <c r="C2482" s="462"/>
      <c r="D2482" s="463"/>
      <c r="E2482" s="39"/>
      <c r="F2482" s="28"/>
      <c r="G2482" s="28"/>
      <c r="H2482" s="32"/>
    </row>
    <row r="2483" spans="1:8" ht="15.6" x14ac:dyDescent="0.3">
      <c r="A2483" s="464" t="s">
        <v>58</v>
      </c>
      <c r="B2483" s="465"/>
      <c r="C2483" s="465"/>
      <c r="D2483" s="465"/>
      <c r="E2483" s="466" t="s">
        <v>59</v>
      </c>
      <c r="F2483" s="467"/>
      <c r="G2483" s="467"/>
      <c r="H2483" s="468"/>
    </row>
    <row r="2486" spans="1:8" ht="44.4" x14ac:dyDescent="0.7">
      <c r="A2486" s="469" t="s">
        <v>0</v>
      </c>
      <c r="B2486" s="470"/>
      <c r="C2486" s="470"/>
      <c r="D2486" s="470"/>
      <c r="E2486" s="471" t="s">
        <v>92</v>
      </c>
      <c r="F2486" s="472"/>
      <c r="G2486" s="472"/>
      <c r="H2486" s="473"/>
    </row>
    <row r="2487" spans="1:8" ht="20.399999999999999" x14ac:dyDescent="0.35">
      <c r="A2487" s="1"/>
      <c r="B2487" s="476" t="s">
        <v>2</v>
      </c>
      <c r="C2487" s="476"/>
      <c r="D2487" s="476"/>
      <c r="E2487" s="474"/>
      <c r="F2487" s="474"/>
      <c r="G2487" s="474"/>
      <c r="H2487" s="475"/>
    </row>
    <row r="2488" spans="1:8" x14ac:dyDescent="0.3">
      <c r="A2488" s="477" t="s">
        <v>3</v>
      </c>
      <c r="B2488" s="478"/>
      <c r="C2488" s="479" t="s">
        <v>4</v>
      </c>
      <c r="D2488" s="479"/>
      <c r="E2488" s="480" t="s">
        <v>5</v>
      </c>
      <c r="F2488" s="480"/>
      <c r="G2488" s="480"/>
      <c r="H2488" s="480"/>
    </row>
    <row r="2489" spans="1:8" ht="15.6" x14ac:dyDescent="0.3">
      <c r="A2489" s="138" t="s">
        <v>6</v>
      </c>
      <c r="B2489" s="5"/>
      <c r="C2489" s="481" t="s">
        <v>7</v>
      </c>
      <c r="D2489" s="481"/>
      <c r="E2489" s="482">
        <v>55</v>
      </c>
      <c r="F2489" s="482"/>
      <c r="G2489" s="7" t="s">
        <v>8</v>
      </c>
      <c r="H2489" s="8">
        <v>45845</v>
      </c>
    </row>
    <row r="2490" spans="1:8" ht="15.6" x14ac:dyDescent="0.3">
      <c r="A2490" s="514" t="s">
        <v>231</v>
      </c>
      <c r="B2490" s="515"/>
      <c r="C2490" s="481" t="s">
        <v>10</v>
      </c>
      <c r="D2490" s="481"/>
      <c r="E2490" s="482"/>
      <c r="F2490" s="482"/>
      <c r="G2490" s="7" t="s">
        <v>8</v>
      </c>
      <c r="H2490" s="6"/>
    </row>
    <row r="2491" spans="1:8" ht="15" x14ac:dyDescent="0.3">
      <c r="A2491" s="517" t="s">
        <v>232</v>
      </c>
      <c r="B2491" s="518"/>
      <c r="C2491" s="519" t="s">
        <v>12</v>
      </c>
      <c r="D2491" s="519"/>
      <c r="E2491" s="564"/>
      <c r="F2491" s="565"/>
      <c r="G2491" s="10" t="s">
        <v>8</v>
      </c>
      <c r="H2491" s="109"/>
    </row>
    <row r="2492" spans="1:8" ht="15.6" x14ac:dyDescent="0.3">
      <c r="A2492" s="517" t="s">
        <v>233</v>
      </c>
      <c r="B2492" s="518"/>
      <c r="C2492" s="481" t="s">
        <v>15</v>
      </c>
      <c r="D2492" s="481"/>
      <c r="E2492" s="566" t="s">
        <v>234</v>
      </c>
      <c r="F2492" s="567"/>
      <c r="G2492" s="567"/>
      <c r="H2492" s="568"/>
    </row>
    <row r="2493" spans="1:8" ht="15.6" x14ac:dyDescent="0.3">
      <c r="A2493" s="12" t="s">
        <v>13</v>
      </c>
      <c r="B2493" s="13" t="s">
        <v>196</v>
      </c>
      <c r="C2493" s="569"/>
      <c r="D2493" s="570"/>
      <c r="E2493" s="570"/>
      <c r="F2493" s="570"/>
      <c r="G2493" s="570"/>
      <c r="H2493" s="571"/>
    </row>
    <row r="2494" spans="1:8" ht="15" x14ac:dyDescent="0.3">
      <c r="A2494" s="492" t="s">
        <v>17</v>
      </c>
      <c r="B2494" s="494" t="s">
        <v>18</v>
      </c>
      <c r="C2494" s="494" t="s">
        <v>19</v>
      </c>
      <c r="D2494" s="494" t="s">
        <v>20</v>
      </c>
      <c r="E2494" s="494" t="s">
        <v>21</v>
      </c>
      <c r="F2494" s="494" t="s">
        <v>22</v>
      </c>
      <c r="G2494" s="494"/>
      <c r="H2494" s="492" t="s">
        <v>23</v>
      </c>
    </row>
    <row r="2495" spans="1:8" ht="27.6" x14ac:dyDescent="0.3">
      <c r="A2495" s="492"/>
      <c r="B2495" s="494"/>
      <c r="C2495" s="494"/>
      <c r="D2495" s="494"/>
      <c r="E2495" s="494"/>
      <c r="F2495" s="53" t="s">
        <v>24</v>
      </c>
      <c r="G2495" s="53" t="s">
        <v>25</v>
      </c>
      <c r="H2495" s="492"/>
    </row>
    <row r="2496" spans="1:8" x14ac:dyDescent="0.3">
      <c r="A2496" s="57">
        <v>1</v>
      </c>
      <c r="B2496" s="113" t="s">
        <v>236</v>
      </c>
      <c r="C2496" s="57">
        <v>5</v>
      </c>
      <c r="D2496" s="163">
        <v>38249025</v>
      </c>
      <c r="E2496" s="57">
        <v>380</v>
      </c>
      <c r="F2496" s="58">
        <f>C2496*E2496*9%</f>
        <v>171</v>
      </c>
      <c r="G2496" s="58">
        <f>C2496*E2496*9%</f>
        <v>171</v>
      </c>
      <c r="H2496" s="59">
        <f>C2496*E2496+F2496+G2496</f>
        <v>2242</v>
      </c>
    </row>
    <row r="2497" spans="1:8" x14ac:dyDescent="0.3">
      <c r="A2497" s="57"/>
      <c r="B2497" s="60"/>
      <c r="C2497" s="57"/>
      <c r="D2497" s="56"/>
      <c r="E2497" s="57"/>
      <c r="F2497" s="58"/>
      <c r="G2497" s="58"/>
      <c r="H2497" s="59"/>
    </row>
    <row r="2498" spans="1:8" x14ac:dyDescent="0.3">
      <c r="A2498" s="55"/>
      <c r="B2498" s="63"/>
      <c r="C2498" s="55"/>
      <c r="D2498" s="56"/>
      <c r="E2498" s="55"/>
      <c r="F2498" s="58"/>
      <c r="G2498" s="58"/>
      <c r="H2498" s="59"/>
    </row>
    <row r="2499" spans="1:8" x14ac:dyDescent="0.3">
      <c r="A2499" s="90"/>
      <c r="B2499" s="132"/>
      <c r="C2499" s="24"/>
      <c r="D2499" s="164"/>
      <c r="E2499" s="24"/>
      <c r="F2499" s="165"/>
      <c r="G2499" s="165"/>
      <c r="H2499" s="166"/>
    </row>
    <row r="2500" spans="1:8" x14ac:dyDescent="0.3">
      <c r="A2500" s="90"/>
      <c r="B2500" s="132"/>
      <c r="C2500" s="24"/>
      <c r="D2500" s="164"/>
      <c r="E2500" s="24"/>
      <c r="F2500" s="165"/>
      <c r="G2500" s="165"/>
      <c r="H2500" s="166"/>
    </row>
    <row r="2501" spans="1:8" x14ac:dyDescent="0.3">
      <c r="A2501" s="90"/>
      <c r="B2501" s="132"/>
      <c r="C2501" s="24"/>
      <c r="D2501" s="164"/>
      <c r="E2501" s="24"/>
      <c r="F2501" s="165"/>
      <c r="G2501" s="165"/>
      <c r="H2501" s="166"/>
    </row>
    <row r="2502" spans="1:8" x14ac:dyDescent="0.3">
      <c r="A2502" s="27"/>
      <c r="B2502" s="132"/>
      <c r="C2502" s="24"/>
      <c r="D2502" s="25"/>
      <c r="E2502" s="25"/>
      <c r="F2502" s="165"/>
      <c r="G2502" s="165"/>
      <c r="H2502" s="166"/>
    </row>
    <row r="2503" spans="1:8" x14ac:dyDescent="0.3">
      <c r="A2503" s="27"/>
      <c r="B2503" s="28"/>
      <c r="C2503" s="24"/>
      <c r="D2503" s="25"/>
      <c r="E2503" s="25"/>
      <c r="F2503" s="165"/>
      <c r="G2503" s="165"/>
      <c r="H2503" s="166"/>
    </row>
    <row r="2504" spans="1:8" x14ac:dyDescent="0.3">
      <c r="A2504" s="27"/>
      <c r="B2504" s="28"/>
      <c r="C2504" s="24"/>
      <c r="D2504" s="25"/>
      <c r="E2504" s="25"/>
      <c r="F2504" s="165"/>
      <c r="G2504" s="165"/>
      <c r="H2504" s="166"/>
    </row>
    <row r="2505" spans="1:8" x14ac:dyDescent="0.3">
      <c r="A2505" s="27"/>
      <c r="B2505" s="28"/>
      <c r="C2505" s="24"/>
      <c r="D2505" s="25"/>
      <c r="E2505" s="25"/>
      <c r="F2505" s="165"/>
      <c r="G2505" s="165"/>
      <c r="H2505" s="166"/>
    </row>
    <row r="2506" spans="1:8" x14ac:dyDescent="0.3">
      <c r="A2506" s="27"/>
      <c r="B2506" s="28"/>
      <c r="C2506" s="24"/>
      <c r="D2506" s="25"/>
      <c r="E2506" s="25"/>
      <c r="F2506" s="165"/>
      <c r="G2506" s="165"/>
      <c r="H2506" s="166"/>
    </row>
    <row r="2507" spans="1:8" x14ac:dyDescent="0.3">
      <c r="A2507" s="27"/>
      <c r="B2507" s="28"/>
      <c r="C2507" s="24"/>
      <c r="D2507" s="25"/>
      <c r="E2507" s="25"/>
      <c r="F2507" s="165"/>
      <c r="G2507" s="165"/>
      <c r="H2507" s="166"/>
    </row>
    <row r="2508" spans="1:8" x14ac:dyDescent="0.3">
      <c r="A2508" s="27"/>
      <c r="B2508" s="28"/>
      <c r="C2508" s="24"/>
      <c r="D2508" s="25"/>
      <c r="E2508" s="25"/>
      <c r="F2508" s="28"/>
      <c r="G2508" s="28"/>
      <c r="H2508" s="32"/>
    </row>
    <row r="2509" spans="1:8" x14ac:dyDescent="0.3">
      <c r="A2509" s="27"/>
      <c r="B2509" s="28"/>
      <c r="C2509" s="24"/>
      <c r="D2509" s="25"/>
      <c r="E2509" s="25"/>
      <c r="F2509" s="28"/>
      <c r="G2509" s="28"/>
      <c r="H2509" s="32"/>
    </row>
    <row r="2510" spans="1:8" x14ac:dyDescent="0.3">
      <c r="A2510" s="27"/>
      <c r="B2510" s="28"/>
      <c r="C2510" s="24"/>
      <c r="D2510" s="25"/>
      <c r="E2510" s="25"/>
      <c r="F2510" s="28"/>
      <c r="G2510" s="28"/>
      <c r="H2510" s="32"/>
    </row>
    <row r="2511" spans="1:8" x14ac:dyDescent="0.3">
      <c r="A2511" s="27"/>
      <c r="B2511" s="28"/>
      <c r="C2511" s="24"/>
      <c r="D2511" s="25"/>
      <c r="E2511" s="25"/>
      <c r="F2511" s="28"/>
      <c r="G2511" s="28"/>
      <c r="H2511" s="32"/>
    </row>
    <row r="2512" spans="1:8" x14ac:dyDescent="0.3">
      <c r="A2512" s="27"/>
      <c r="B2512" s="28"/>
      <c r="C2512" s="24"/>
      <c r="D2512" s="25"/>
      <c r="E2512" s="25"/>
      <c r="F2512" s="28"/>
      <c r="G2512" s="28"/>
      <c r="H2512" s="32"/>
    </row>
    <row r="2513" spans="1:8" x14ac:dyDescent="0.3">
      <c r="A2513" s="27"/>
      <c r="B2513" s="28"/>
      <c r="C2513" s="24"/>
      <c r="D2513" s="25"/>
      <c r="E2513" s="25"/>
      <c r="F2513" s="28"/>
      <c r="G2513" s="28"/>
      <c r="H2513" s="32"/>
    </row>
    <row r="2514" spans="1:8" x14ac:dyDescent="0.3">
      <c r="A2514" s="27"/>
      <c r="B2514" s="28"/>
      <c r="C2514" s="24"/>
      <c r="D2514" s="25"/>
      <c r="E2514" s="25"/>
      <c r="F2514" s="28"/>
      <c r="G2514" s="28"/>
      <c r="H2514" s="32"/>
    </row>
    <row r="2515" spans="1:8" x14ac:dyDescent="0.3">
      <c r="A2515" s="27"/>
      <c r="B2515" s="28"/>
      <c r="C2515" s="24"/>
      <c r="D2515" s="25"/>
      <c r="E2515" s="25"/>
      <c r="F2515" s="28"/>
      <c r="G2515" s="28"/>
      <c r="H2515" s="32"/>
    </row>
    <row r="2516" spans="1:8" x14ac:dyDescent="0.3">
      <c r="A2516" s="27"/>
      <c r="B2516" s="28"/>
      <c r="C2516" s="24"/>
      <c r="D2516" s="25"/>
      <c r="E2516" s="25"/>
      <c r="F2516" s="28"/>
      <c r="G2516" s="28"/>
      <c r="H2516" s="32"/>
    </row>
    <row r="2517" spans="1:8" x14ac:dyDescent="0.3">
      <c r="A2517" s="27"/>
      <c r="B2517" s="28"/>
      <c r="C2517" s="24"/>
      <c r="D2517" s="25"/>
      <c r="E2517" s="25"/>
      <c r="F2517" s="28"/>
      <c r="G2517" s="28"/>
      <c r="H2517" s="32"/>
    </row>
    <row r="2518" spans="1:8" x14ac:dyDescent="0.3">
      <c r="A2518" s="27"/>
      <c r="B2518" s="28"/>
      <c r="C2518" s="24"/>
      <c r="D2518" s="25"/>
      <c r="E2518" s="25"/>
      <c r="F2518" s="28"/>
      <c r="G2518" s="28"/>
      <c r="H2518" s="32"/>
    </row>
    <row r="2519" spans="1:8" ht="15.6" x14ac:dyDescent="0.3">
      <c r="A2519" s="448" t="s">
        <v>45</v>
      </c>
      <c r="B2519" s="449"/>
      <c r="C2519" s="449"/>
      <c r="D2519" s="25"/>
      <c r="E2519" s="25"/>
      <c r="F2519" s="447" t="s">
        <v>46</v>
      </c>
      <c r="G2519" s="447"/>
      <c r="H2519" s="66">
        <f>(C2496*E2496)+(C2497*E2497)+(C2498*E2498)</f>
        <v>1900</v>
      </c>
    </row>
    <row r="2520" spans="1:8" ht="15.6" x14ac:dyDescent="0.3">
      <c r="A2520" s="497" t="s">
        <v>536</v>
      </c>
      <c r="B2520" s="498"/>
      <c r="C2520" s="498"/>
      <c r="D2520" s="498"/>
      <c r="E2520" s="498"/>
      <c r="F2520" s="447" t="s">
        <v>47</v>
      </c>
      <c r="G2520" s="447"/>
      <c r="H2520" s="66">
        <f>H2519*9%</f>
        <v>171</v>
      </c>
    </row>
    <row r="2521" spans="1:8" ht="15.6" x14ac:dyDescent="0.3">
      <c r="A2521" s="27"/>
      <c r="B2521" s="28"/>
      <c r="C2521" s="24"/>
      <c r="D2521" s="25"/>
      <c r="E2521" s="25"/>
      <c r="F2521" s="447" t="s">
        <v>48</v>
      </c>
      <c r="G2521" s="447"/>
      <c r="H2521" s="66">
        <f>H2519*9%</f>
        <v>171</v>
      </c>
    </row>
    <row r="2522" spans="1:8" ht="15.6" x14ac:dyDescent="0.3">
      <c r="A2522" s="448" t="s">
        <v>49</v>
      </c>
      <c r="B2522" s="449"/>
      <c r="C2522" s="449"/>
      <c r="D2522" s="449"/>
      <c r="E2522" s="25"/>
      <c r="F2522" s="447" t="s">
        <v>50</v>
      </c>
      <c r="G2522" s="447"/>
      <c r="H2522" s="66">
        <v>2242</v>
      </c>
    </row>
    <row r="2523" spans="1:8" ht="27" x14ac:dyDescent="0.3">
      <c r="A2523" s="68" t="s">
        <v>22</v>
      </c>
      <c r="B2523" s="69" t="s">
        <v>51</v>
      </c>
      <c r="C2523" s="70" t="s">
        <v>24</v>
      </c>
      <c r="D2523" s="31" t="s">
        <v>25</v>
      </c>
      <c r="E2523" s="450" t="s">
        <v>52</v>
      </c>
      <c r="F2523" s="450"/>
      <c r="G2523" s="28"/>
      <c r="H2523" s="32"/>
    </row>
    <row r="2524" spans="1:8" x14ac:dyDescent="0.3">
      <c r="A2524" s="72">
        <v>0.18</v>
      </c>
      <c r="B2524" s="73">
        <f>H2519</f>
        <v>1900</v>
      </c>
      <c r="C2524" s="74">
        <f>H2520</f>
        <v>171</v>
      </c>
      <c r="D2524" s="74">
        <f>H2521</f>
        <v>171</v>
      </c>
      <c r="E2524" s="507">
        <f>C2524+D2524</f>
        <v>342</v>
      </c>
      <c r="F2524" s="507"/>
      <c r="G2524" s="74"/>
      <c r="H2524" s="75"/>
    </row>
    <row r="2525" spans="1:8" x14ac:dyDescent="0.3">
      <c r="A2525" s="452" t="s">
        <v>535</v>
      </c>
      <c r="B2525" s="453"/>
      <c r="C2525" s="453"/>
      <c r="D2525" s="453"/>
      <c r="E2525" s="453"/>
      <c r="F2525" s="453"/>
      <c r="G2525" s="453"/>
      <c r="H2525" s="454"/>
    </row>
    <row r="2526" spans="1:8" ht="15.6" x14ac:dyDescent="0.3">
      <c r="A2526" s="455" t="s">
        <v>53</v>
      </c>
      <c r="B2526" s="456"/>
      <c r="C2526" s="456"/>
      <c r="D2526" s="457"/>
      <c r="E2526" s="458" t="s">
        <v>54</v>
      </c>
      <c r="F2526" s="459"/>
      <c r="G2526" s="459"/>
      <c r="H2526" s="460"/>
    </row>
    <row r="2527" spans="1:8" x14ac:dyDescent="0.3">
      <c r="A2527" s="461" t="s">
        <v>55</v>
      </c>
      <c r="B2527" s="462"/>
      <c r="C2527" s="462"/>
      <c r="D2527" s="463"/>
      <c r="E2527" s="39"/>
      <c r="F2527" s="28"/>
      <c r="G2527" s="28"/>
      <c r="H2527" s="32"/>
    </row>
    <row r="2528" spans="1:8" x14ac:dyDescent="0.3">
      <c r="A2528" s="461" t="s">
        <v>56</v>
      </c>
      <c r="B2528" s="462"/>
      <c r="C2528" s="462"/>
      <c r="D2528" s="463"/>
      <c r="E2528" s="39"/>
      <c r="F2528" s="28"/>
      <c r="G2528" s="28"/>
      <c r="H2528" s="32"/>
    </row>
    <row r="2529" spans="1:8" x14ac:dyDescent="0.3">
      <c r="A2529" s="461" t="s">
        <v>57</v>
      </c>
      <c r="B2529" s="462"/>
      <c r="C2529" s="462"/>
      <c r="D2529" s="463"/>
      <c r="E2529" s="167"/>
      <c r="H2529" s="168"/>
    </row>
    <row r="2530" spans="1:8" ht="15.6" x14ac:dyDescent="0.3">
      <c r="A2530" s="464" t="s">
        <v>58</v>
      </c>
      <c r="B2530" s="465"/>
      <c r="C2530" s="465"/>
      <c r="D2530" s="510"/>
      <c r="E2530" s="466" t="s">
        <v>59</v>
      </c>
      <c r="F2530" s="467"/>
      <c r="G2530" s="467"/>
      <c r="H2530" s="468"/>
    </row>
    <row r="2533" spans="1:8" ht="44.4" x14ac:dyDescent="0.7">
      <c r="A2533" s="469" t="s">
        <v>0</v>
      </c>
      <c r="B2533" s="470"/>
      <c r="C2533" s="470"/>
      <c r="D2533" s="470"/>
      <c r="E2533" s="471" t="s">
        <v>92</v>
      </c>
      <c r="F2533" s="472"/>
      <c r="G2533" s="472"/>
      <c r="H2533" s="473"/>
    </row>
    <row r="2534" spans="1:8" ht="20.399999999999999" x14ac:dyDescent="0.35">
      <c r="A2534" s="1"/>
      <c r="B2534" s="476" t="s">
        <v>2</v>
      </c>
      <c r="C2534" s="476"/>
      <c r="D2534" s="476"/>
      <c r="E2534" s="474"/>
      <c r="F2534" s="474"/>
      <c r="G2534" s="474"/>
      <c r="H2534" s="475"/>
    </row>
    <row r="2535" spans="1:8" x14ac:dyDescent="0.3">
      <c r="A2535" s="477" t="s">
        <v>3</v>
      </c>
      <c r="B2535" s="478"/>
      <c r="C2535" s="479" t="s">
        <v>4</v>
      </c>
      <c r="D2535" s="479"/>
      <c r="E2535" s="480" t="s">
        <v>5</v>
      </c>
      <c r="F2535" s="480"/>
      <c r="G2535" s="480"/>
      <c r="H2535" s="480"/>
    </row>
    <row r="2536" spans="1:8" ht="15.6" x14ac:dyDescent="0.3">
      <c r="A2536" s="138" t="s">
        <v>6</v>
      </c>
      <c r="B2536" s="5"/>
      <c r="C2536" s="481" t="s">
        <v>7</v>
      </c>
      <c r="D2536" s="481"/>
      <c r="E2536" s="482">
        <v>56</v>
      </c>
      <c r="F2536" s="482"/>
      <c r="G2536" s="7" t="s">
        <v>8</v>
      </c>
      <c r="H2536" s="8">
        <v>45845</v>
      </c>
    </row>
    <row r="2537" spans="1:8" ht="15.6" x14ac:dyDescent="0.3">
      <c r="A2537" s="514" t="s">
        <v>231</v>
      </c>
      <c r="B2537" s="515"/>
      <c r="C2537" s="481" t="s">
        <v>10</v>
      </c>
      <c r="D2537" s="481"/>
      <c r="E2537" s="482"/>
      <c r="F2537" s="482"/>
      <c r="G2537" s="7" t="s">
        <v>8</v>
      </c>
      <c r="H2537" s="6"/>
    </row>
    <row r="2538" spans="1:8" ht="15" x14ac:dyDescent="0.3">
      <c r="A2538" s="517" t="s">
        <v>232</v>
      </c>
      <c r="B2538" s="518"/>
      <c r="C2538" s="519" t="s">
        <v>12</v>
      </c>
      <c r="D2538" s="519"/>
      <c r="E2538" s="564"/>
      <c r="F2538" s="565"/>
      <c r="G2538" s="10" t="s">
        <v>8</v>
      </c>
      <c r="H2538" s="109"/>
    </row>
    <row r="2539" spans="1:8" ht="15.6" x14ac:dyDescent="0.3">
      <c r="A2539" s="517" t="s">
        <v>233</v>
      </c>
      <c r="B2539" s="518"/>
      <c r="C2539" s="481" t="s">
        <v>15</v>
      </c>
      <c r="D2539" s="481"/>
      <c r="E2539" s="566" t="s">
        <v>234</v>
      </c>
      <c r="F2539" s="567"/>
      <c r="G2539" s="567"/>
      <c r="H2539" s="568"/>
    </row>
    <row r="2540" spans="1:8" ht="15.6" x14ac:dyDescent="0.3">
      <c r="A2540" s="12" t="s">
        <v>13</v>
      </c>
      <c r="B2540" s="13" t="s">
        <v>196</v>
      </c>
      <c r="C2540" s="569"/>
      <c r="D2540" s="570"/>
      <c r="E2540" s="570"/>
      <c r="F2540" s="570"/>
      <c r="G2540" s="570"/>
      <c r="H2540" s="571"/>
    </row>
    <row r="2541" spans="1:8" ht="15" x14ac:dyDescent="0.3">
      <c r="A2541" s="492" t="s">
        <v>17</v>
      </c>
      <c r="B2541" s="494" t="s">
        <v>18</v>
      </c>
      <c r="C2541" s="494" t="s">
        <v>19</v>
      </c>
      <c r="D2541" s="494" t="s">
        <v>20</v>
      </c>
      <c r="E2541" s="494" t="s">
        <v>21</v>
      </c>
      <c r="F2541" s="494" t="s">
        <v>22</v>
      </c>
      <c r="G2541" s="494"/>
      <c r="H2541" s="492" t="s">
        <v>23</v>
      </c>
    </row>
    <row r="2542" spans="1:8" ht="27.6" x14ac:dyDescent="0.3">
      <c r="A2542" s="492"/>
      <c r="B2542" s="494"/>
      <c r="C2542" s="494"/>
      <c r="D2542" s="494"/>
      <c r="E2542" s="494"/>
      <c r="F2542" s="53" t="s">
        <v>24</v>
      </c>
      <c r="G2542" s="53" t="s">
        <v>25</v>
      </c>
      <c r="H2542" s="492"/>
    </row>
    <row r="2543" spans="1:8" ht="28.8" x14ac:dyDescent="0.3">
      <c r="A2543" s="57">
        <v>1</v>
      </c>
      <c r="B2543" s="113" t="s">
        <v>537</v>
      </c>
      <c r="C2543" s="57">
        <v>1</v>
      </c>
      <c r="D2543" s="169">
        <v>998719</v>
      </c>
      <c r="E2543" s="57">
        <v>5000</v>
      </c>
      <c r="F2543" s="58">
        <f>C2543*E2543*9%</f>
        <v>450</v>
      </c>
      <c r="G2543" s="58">
        <f>C2543*E2543*9%</f>
        <v>450</v>
      </c>
      <c r="H2543" s="59">
        <f>C2543*E2543+F2543+G2543</f>
        <v>5900</v>
      </c>
    </row>
    <row r="2544" spans="1:8" x14ac:dyDescent="0.3">
      <c r="A2544" s="57"/>
      <c r="B2544" s="60"/>
      <c r="C2544" s="57"/>
      <c r="D2544" s="56"/>
      <c r="E2544" s="57"/>
      <c r="F2544" s="58"/>
      <c r="G2544" s="58"/>
      <c r="H2544" s="59"/>
    </row>
    <row r="2545" spans="1:8" x14ac:dyDescent="0.3">
      <c r="A2545" s="55"/>
      <c r="B2545" s="63"/>
      <c r="C2545" s="55"/>
      <c r="D2545" s="56"/>
      <c r="E2545" s="55"/>
      <c r="F2545" s="58"/>
      <c r="G2545" s="58"/>
      <c r="H2545" s="59"/>
    </row>
    <row r="2546" spans="1:8" x14ac:dyDescent="0.3">
      <c r="A2546" s="90"/>
      <c r="B2546" s="132"/>
      <c r="C2546" s="24"/>
      <c r="D2546" s="164"/>
      <c r="E2546" s="24"/>
      <c r="F2546" s="165"/>
      <c r="G2546" s="165"/>
      <c r="H2546" s="166"/>
    </row>
    <row r="2547" spans="1:8" x14ac:dyDescent="0.3">
      <c r="A2547" s="90"/>
      <c r="B2547" s="132"/>
      <c r="C2547" s="24"/>
      <c r="D2547" s="164"/>
      <c r="E2547" s="24"/>
      <c r="F2547" s="165"/>
      <c r="G2547" s="165"/>
      <c r="H2547" s="166"/>
    </row>
    <row r="2548" spans="1:8" x14ac:dyDescent="0.3">
      <c r="A2548" s="90"/>
      <c r="B2548" s="132"/>
      <c r="C2548" s="24"/>
      <c r="D2548" s="164"/>
      <c r="E2548" s="24"/>
      <c r="F2548" s="165"/>
      <c r="G2548" s="165"/>
      <c r="H2548" s="166"/>
    </row>
    <row r="2549" spans="1:8" x14ac:dyDescent="0.3">
      <c r="A2549" s="27"/>
      <c r="B2549" s="132"/>
      <c r="C2549" s="24"/>
      <c r="D2549" s="25"/>
      <c r="E2549" s="25"/>
      <c r="F2549" s="165"/>
      <c r="G2549" s="165"/>
      <c r="H2549" s="166"/>
    </row>
    <row r="2550" spans="1:8" x14ac:dyDescent="0.3">
      <c r="A2550" s="27"/>
      <c r="B2550" s="28"/>
      <c r="C2550" s="24"/>
      <c r="D2550" s="25"/>
      <c r="E2550" s="25"/>
      <c r="F2550" s="165"/>
      <c r="G2550" s="165"/>
      <c r="H2550" s="166"/>
    </row>
    <row r="2551" spans="1:8" x14ac:dyDescent="0.3">
      <c r="A2551" s="27"/>
      <c r="B2551" s="28"/>
      <c r="C2551" s="24"/>
      <c r="D2551" s="25"/>
      <c r="E2551" s="25"/>
      <c r="F2551" s="165"/>
      <c r="G2551" s="165"/>
      <c r="H2551" s="166"/>
    </row>
    <row r="2552" spans="1:8" x14ac:dyDescent="0.3">
      <c r="A2552" s="27"/>
      <c r="B2552" s="28"/>
      <c r="C2552" s="24"/>
      <c r="D2552" s="25"/>
      <c r="E2552" s="25"/>
      <c r="F2552" s="165"/>
      <c r="G2552" s="165"/>
      <c r="H2552" s="166"/>
    </row>
    <row r="2553" spans="1:8" x14ac:dyDescent="0.3">
      <c r="A2553" s="27"/>
      <c r="B2553" s="28"/>
      <c r="C2553" s="24"/>
      <c r="D2553" s="25"/>
      <c r="E2553" s="25"/>
      <c r="F2553" s="165"/>
      <c r="G2553" s="165"/>
      <c r="H2553" s="166"/>
    </row>
    <row r="2554" spans="1:8" x14ac:dyDescent="0.3">
      <c r="A2554" s="27"/>
      <c r="B2554" s="28"/>
      <c r="C2554" s="24"/>
      <c r="D2554" s="25"/>
      <c r="E2554" s="25"/>
      <c r="F2554" s="165"/>
      <c r="G2554" s="165"/>
      <c r="H2554" s="166"/>
    </row>
    <row r="2555" spans="1:8" x14ac:dyDescent="0.3">
      <c r="A2555" s="27"/>
      <c r="B2555" s="28"/>
      <c r="C2555" s="24"/>
      <c r="D2555" s="25"/>
      <c r="E2555" s="25"/>
      <c r="F2555" s="28"/>
      <c r="G2555" s="28"/>
      <c r="H2555" s="32"/>
    </row>
    <row r="2556" spans="1:8" x14ac:dyDescent="0.3">
      <c r="A2556" s="27"/>
      <c r="B2556" s="28"/>
      <c r="C2556" s="24"/>
      <c r="D2556" s="25"/>
      <c r="E2556" s="25"/>
      <c r="F2556" s="28"/>
      <c r="G2556" s="28"/>
      <c r="H2556" s="32"/>
    </row>
    <row r="2557" spans="1:8" x14ac:dyDescent="0.3">
      <c r="A2557" s="27"/>
      <c r="B2557" s="28"/>
      <c r="C2557" s="24"/>
      <c r="D2557" s="25"/>
      <c r="E2557" s="25"/>
      <c r="F2557" s="28"/>
      <c r="G2557" s="28"/>
      <c r="H2557" s="32"/>
    </row>
    <row r="2558" spans="1:8" x14ac:dyDescent="0.3">
      <c r="A2558" s="27"/>
      <c r="B2558" s="28"/>
      <c r="C2558" s="24"/>
      <c r="D2558" s="25"/>
      <c r="E2558" s="25"/>
      <c r="F2558" s="28"/>
      <c r="G2558" s="28"/>
      <c r="H2558" s="32"/>
    </row>
    <row r="2559" spans="1:8" x14ac:dyDescent="0.3">
      <c r="A2559" s="27"/>
      <c r="B2559" s="28"/>
      <c r="C2559" s="24"/>
      <c r="D2559" s="25"/>
      <c r="E2559" s="25"/>
      <c r="F2559" s="28"/>
      <c r="G2559" s="28"/>
      <c r="H2559" s="32"/>
    </row>
    <row r="2560" spans="1:8" x14ac:dyDescent="0.3">
      <c r="A2560" s="27"/>
      <c r="B2560" s="28"/>
      <c r="C2560" s="24"/>
      <c r="D2560" s="25"/>
      <c r="E2560" s="25"/>
      <c r="F2560" s="28"/>
      <c r="G2560" s="28"/>
      <c r="H2560" s="32"/>
    </row>
    <row r="2561" spans="1:8" x14ac:dyDescent="0.3">
      <c r="A2561" s="27"/>
      <c r="B2561" s="28"/>
      <c r="C2561" s="24"/>
      <c r="D2561" s="25"/>
      <c r="E2561" s="25"/>
      <c r="F2561" s="28"/>
      <c r="G2561" s="28"/>
      <c r="H2561" s="32"/>
    </row>
    <row r="2562" spans="1:8" x14ac:dyDescent="0.3">
      <c r="A2562" s="27"/>
      <c r="B2562" s="28"/>
      <c r="C2562" s="24"/>
      <c r="D2562" s="25"/>
      <c r="E2562" s="25"/>
      <c r="F2562" s="28"/>
      <c r="G2562" s="28"/>
      <c r="H2562" s="32"/>
    </row>
    <row r="2563" spans="1:8" x14ac:dyDescent="0.3">
      <c r="A2563" s="27"/>
      <c r="B2563" s="28"/>
      <c r="C2563" s="24"/>
      <c r="D2563" s="25"/>
      <c r="E2563" s="25"/>
      <c r="F2563" s="28"/>
      <c r="G2563" s="28"/>
      <c r="H2563" s="32"/>
    </row>
    <row r="2564" spans="1:8" x14ac:dyDescent="0.3">
      <c r="A2564" s="27"/>
      <c r="B2564" s="28"/>
      <c r="C2564" s="24"/>
      <c r="D2564" s="25"/>
      <c r="E2564" s="25"/>
      <c r="F2564" s="28"/>
      <c r="G2564" s="28"/>
      <c r="H2564" s="32"/>
    </row>
    <row r="2565" spans="1:8" x14ac:dyDescent="0.3">
      <c r="A2565" s="27"/>
      <c r="B2565" s="28"/>
      <c r="C2565" s="24"/>
      <c r="D2565" s="25"/>
      <c r="E2565" s="25"/>
      <c r="F2565" s="28"/>
      <c r="G2565" s="28"/>
      <c r="H2565" s="32"/>
    </row>
    <row r="2566" spans="1:8" ht="15.6" x14ac:dyDescent="0.3">
      <c r="A2566" s="448" t="s">
        <v>45</v>
      </c>
      <c r="B2566" s="449"/>
      <c r="C2566" s="449"/>
      <c r="D2566" s="25"/>
      <c r="E2566" s="25"/>
      <c r="F2566" s="447" t="s">
        <v>46</v>
      </c>
      <c r="G2566" s="447"/>
      <c r="H2566" s="66">
        <f>(C2543*E2543)+(C2544*E2544)+(C2545*E2545)</f>
        <v>5000</v>
      </c>
    </row>
    <row r="2567" spans="1:8" ht="15.6" x14ac:dyDescent="0.3">
      <c r="A2567" s="497" t="s">
        <v>538</v>
      </c>
      <c r="B2567" s="498"/>
      <c r="C2567" s="498"/>
      <c r="D2567" s="498"/>
      <c r="E2567" s="498"/>
      <c r="F2567" s="447" t="s">
        <v>47</v>
      </c>
      <c r="G2567" s="447"/>
      <c r="H2567" s="66">
        <f>H2566*9%</f>
        <v>450</v>
      </c>
    </row>
    <row r="2568" spans="1:8" ht="15.6" x14ac:dyDescent="0.3">
      <c r="A2568" s="27"/>
      <c r="B2568" s="28"/>
      <c r="C2568" s="24"/>
      <c r="D2568" s="25"/>
      <c r="E2568" s="25"/>
      <c r="F2568" s="447" t="s">
        <v>48</v>
      </c>
      <c r="G2568" s="447"/>
      <c r="H2568" s="66">
        <f>H2566*9%</f>
        <v>450</v>
      </c>
    </row>
    <row r="2569" spans="1:8" ht="15.6" x14ac:dyDescent="0.3">
      <c r="A2569" s="448" t="s">
        <v>49</v>
      </c>
      <c r="B2569" s="449"/>
      <c r="C2569" s="449"/>
      <c r="D2569" s="449"/>
      <c r="E2569" s="25"/>
      <c r="F2569" s="447" t="s">
        <v>50</v>
      </c>
      <c r="G2569" s="447"/>
      <c r="H2569" s="66">
        <v>5900</v>
      </c>
    </row>
    <row r="2570" spans="1:8" ht="27" x14ac:dyDescent="0.3">
      <c r="A2570" s="68" t="s">
        <v>22</v>
      </c>
      <c r="B2570" s="69" t="s">
        <v>51</v>
      </c>
      <c r="C2570" s="70" t="s">
        <v>24</v>
      </c>
      <c r="D2570" s="31" t="s">
        <v>25</v>
      </c>
      <c r="E2570" s="450" t="s">
        <v>52</v>
      </c>
      <c r="F2570" s="450"/>
      <c r="G2570" s="28"/>
      <c r="H2570" s="32"/>
    </row>
    <row r="2571" spans="1:8" x14ac:dyDescent="0.3">
      <c r="A2571" s="72">
        <v>0.18</v>
      </c>
      <c r="B2571" s="73">
        <f>H2566</f>
        <v>5000</v>
      </c>
      <c r="C2571" s="74">
        <f>H2567</f>
        <v>450</v>
      </c>
      <c r="D2571" s="74">
        <f>H2568</f>
        <v>450</v>
      </c>
      <c r="E2571" s="507">
        <f>C2571+D2571</f>
        <v>900</v>
      </c>
      <c r="F2571" s="507"/>
      <c r="G2571" s="74"/>
      <c r="H2571" s="75"/>
    </row>
    <row r="2572" spans="1:8" x14ac:dyDescent="0.3">
      <c r="A2572" s="452" t="s">
        <v>539</v>
      </c>
      <c r="B2572" s="453"/>
      <c r="C2572" s="453"/>
      <c r="D2572" s="453"/>
      <c r="E2572" s="453"/>
      <c r="F2572" s="453"/>
      <c r="G2572" s="453"/>
      <c r="H2572" s="454"/>
    </row>
    <row r="2573" spans="1:8" ht="15.6" x14ac:dyDescent="0.3">
      <c r="A2573" s="455" t="s">
        <v>53</v>
      </c>
      <c r="B2573" s="456"/>
      <c r="C2573" s="456"/>
      <c r="D2573" s="457"/>
      <c r="E2573" s="458" t="s">
        <v>54</v>
      </c>
      <c r="F2573" s="459"/>
      <c r="G2573" s="459"/>
      <c r="H2573" s="460"/>
    </row>
    <row r="2574" spans="1:8" x14ac:dyDescent="0.3">
      <c r="A2574" s="461" t="s">
        <v>55</v>
      </c>
      <c r="B2574" s="462"/>
      <c r="C2574" s="462"/>
      <c r="D2574" s="463"/>
      <c r="E2574" s="39"/>
      <c r="F2574" s="28"/>
      <c r="G2574" s="28"/>
      <c r="H2574" s="32"/>
    </row>
    <row r="2575" spans="1:8" x14ac:dyDescent="0.3">
      <c r="A2575" s="461" t="s">
        <v>56</v>
      </c>
      <c r="B2575" s="462"/>
      <c r="C2575" s="462"/>
      <c r="D2575" s="463"/>
      <c r="E2575" s="39"/>
      <c r="F2575" s="28"/>
      <c r="G2575" s="28"/>
      <c r="H2575" s="32"/>
    </row>
    <row r="2576" spans="1:8" x14ac:dyDescent="0.3">
      <c r="A2576" s="461" t="s">
        <v>57</v>
      </c>
      <c r="B2576" s="462"/>
      <c r="C2576" s="462"/>
      <c r="D2576" s="463"/>
      <c r="E2576" s="167"/>
      <c r="H2576" s="168"/>
    </row>
    <row r="2577" spans="1:9" ht="15.6" x14ac:dyDescent="0.3">
      <c r="A2577" s="464" t="s">
        <v>58</v>
      </c>
      <c r="B2577" s="465"/>
      <c r="C2577" s="465"/>
      <c r="D2577" s="510"/>
      <c r="E2577" s="466" t="s">
        <v>59</v>
      </c>
      <c r="F2577" s="467"/>
      <c r="G2577" s="467"/>
      <c r="H2577" s="468"/>
    </row>
    <row r="2579" spans="1:9" ht="44.4" x14ac:dyDescent="0.7">
      <c r="A2579" s="469" t="s">
        <v>0</v>
      </c>
      <c r="B2579" s="470"/>
      <c r="C2579" s="470"/>
      <c r="D2579" s="470"/>
      <c r="E2579" s="471" t="s">
        <v>1</v>
      </c>
      <c r="F2579" s="472"/>
      <c r="G2579" s="472"/>
      <c r="H2579" s="473"/>
    </row>
    <row r="2580" spans="1:9" ht="20.399999999999999" x14ac:dyDescent="0.35">
      <c r="A2580" s="1"/>
      <c r="B2580" s="476" t="s">
        <v>2</v>
      </c>
      <c r="C2580" s="476"/>
      <c r="D2580" s="476"/>
      <c r="E2580" s="474"/>
      <c r="F2580" s="474"/>
      <c r="G2580" s="474"/>
      <c r="H2580" s="475"/>
    </row>
    <row r="2581" spans="1:9" x14ac:dyDescent="0.3">
      <c r="A2581" s="477" t="s">
        <v>3</v>
      </c>
      <c r="B2581" s="511"/>
      <c r="C2581" s="136"/>
      <c r="D2581" s="499" t="s">
        <v>4</v>
      </c>
      <c r="E2581" s="499"/>
      <c r="F2581" s="235"/>
      <c r="G2581" s="137" t="s">
        <v>134</v>
      </c>
      <c r="H2581" s="120"/>
    </row>
    <row r="2582" spans="1:9" ht="15.6" x14ac:dyDescent="0.3">
      <c r="A2582" s="4" t="s">
        <v>6</v>
      </c>
      <c r="B2582" s="5"/>
      <c r="C2582" s="512" t="s">
        <v>7</v>
      </c>
      <c r="D2582" s="513"/>
      <c r="E2582" s="482">
        <v>57</v>
      </c>
      <c r="F2582" s="482"/>
      <c r="G2582" s="7" t="s">
        <v>8</v>
      </c>
      <c r="H2582" s="9">
        <v>45815</v>
      </c>
    </row>
    <row r="2583" spans="1:9" ht="15.6" x14ac:dyDescent="0.3">
      <c r="A2583" s="514" t="s">
        <v>540</v>
      </c>
      <c r="B2583" s="515"/>
      <c r="C2583" s="516" t="s">
        <v>10</v>
      </c>
      <c r="D2583" s="481"/>
      <c r="E2583" s="482"/>
      <c r="F2583" s="482"/>
      <c r="G2583" s="7" t="s">
        <v>8</v>
      </c>
      <c r="H2583" s="9"/>
    </row>
    <row r="2584" spans="1:9" ht="15" x14ac:dyDescent="0.3">
      <c r="A2584" s="517" t="s">
        <v>541</v>
      </c>
      <c r="B2584" s="518"/>
      <c r="C2584" s="484" t="s">
        <v>12</v>
      </c>
      <c r="D2584" s="519"/>
      <c r="E2584" s="520"/>
      <c r="F2584" s="520"/>
      <c r="G2584" s="10" t="s">
        <v>8</v>
      </c>
      <c r="H2584" s="11"/>
    </row>
    <row r="2585" spans="1:9" ht="15.6" x14ac:dyDescent="0.3">
      <c r="A2585" s="517"/>
      <c r="B2585" s="518"/>
      <c r="C2585" s="521" t="s">
        <v>15</v>
      </c>
      <c r="D2585" s="522"/>
      <c r="E2585" s="523" t="s">
        <v>542</v>
      </c>
      <c r="F2585" s="524"/>
      <c r="G2585" s="524"/>
      <c r="H2585" s="6"/>
    </row>
    <row r="2586" spans="1:9" ht="15.6" x14ac:dyDescent="0.3">
      <c r="A2586" s="12" t="s">
        <v>13</v>
      </c>
      <c r="B2586" s="13" t="s">
        <v>14</v>
      </c>
      <c r="C2586" s="230"/>
      <c r="D2586" s="231"/>
      <c r="E2586" s="232"/>
      <c r="F2586" s="233"/>
      <c r="G2586" s="233"/>
      <c r="H2586" s="231"/>
    </row>
    <row r="2587" spans="1:9" ht="15" x14ac:dyDescent="0.3">
      <c r="A2587" s="527" t="s">
        <v>17</v>
      </c>
      <c r="B2587" s="505" t="s">
        <v>18</v>
      </c>
      <c r="C2587" s="494" t="s">
        <v>19</v>
      </c>
      <c r="D2587" s="494" t="s">
        <v>20</v>
      </c>
      <c r="E2587" s="494" t="s">
        <v>21</v>
      </c>
      <c r="F2587" s="494" t="s">
        <v>22</v>
      </c>
      <c r="G2587" s="494"/>
      <c r="H2587" s="492" t="s">
        <v>23</v>
      </c>
    </row>
    <row r="2588" spans="1:9" ht="27.6" x14ac:dyDescent="0.3">
      <c r="A2588" s="492"/>
      <c r="B2588" s="494"/>
      <c r="C2588" s="494"/>
      <c r="D2588" s="494"/>
      <c r="E2588" s="494"/>
      <c r="F2588" s="53" t="s">
        <v>24</v>
      </c>
      <c r="G2588" s="53" t="s">
        <v>25</v>
      </c>
      <c r="H2588" s="492"/>
    </row>
    <row r="2589" spans="1:9" x14ac:dyDescent="0.3">
      <c r="A2589" s="57">
        <v>1</v>
      </c>
      <c r="B2589" s="60" t="s">
        <v>547</v>
      </c>
      <c r="C2589" s="57">
        <v>3</v>
      </c>
      <c r="D2589" s="56">
        <v>854690</v>
      </c>
      <c r="E2589" s="57">
        <v>4000</v>
      </c>
      <c r="F2589" s="93">
        <f>E2589*C2589*9%</f>
        <v>1080</v>
      </c>
      <c r="G2589" s="93">
        <f>F2589</f>
        <v>1080</v>
      </c>
      <c r="H2589" s="62">
        <f>G2589+F2589+E2589*C2589</f>
        <v>14160</v>
      </c>
      <c r="I2589" s="362">
        <f>E2589*C2589</f>
        <v>12000</v>
      </c>
    </row>
    <row r="2590" spans="1:9" x14ac:dyDescent="0.3">
      <c r="A2590" s="57">
        <v>2</v>
      </c>
      <c r="B2590" s="60" t="s">
        <v>550</v>
      </c>
      <c r="C2590" s="57">
        <v>1</v>
      </c>
      <c r="D2590" s="56">
        <v>998719</v>
      </c>
      <c r="E2590" s="185">
        <v>1500</v>
      </c>
      <c r="F2590" s="93">
        <f>E2590*C2590*9%</f>
        <v>135</v>
      </c>
      <c r="G2590" s="93">
        <f>F2590</f>
        <v>135</v>
      </c>
      <c r="H2590" s="62">
        <f>G2590+F2590+E2590*C2590</f>
        <v>1770</v>
      </c>
      <c r="I2590" s="362">
        <f>E2590*C2590</f>
        <v>1500</v>
      </c>
    </row>
    <row r="2591" spans="1:9" x14ac:dyDescent="0.3">
      <c r="A2591" s="57">
        <v>3</v>
      </c>
      <c r="B2591" s="237" t="s">
        <v>548</v>
      </c>
      <c r="C2591" s="188">
        <v>1</v>
      </c>
      <c r="D2591" s="56">
        <v>998719</v>
      </c>
      <c r="E2591" s="57">
        <v>1500</v>
      </c>
      <c r="F2591" s="93">
        <f>E2591*C2591*9%</f>
        <v>135</v>
      </c>
      <c r="G2591" s="93">
        <f>F2591</f>
        <v>135</v>
      </c>
      <c r="H2591" s="62">
        <f>G2591+F2591+E2591*C2591</f>
        <v>1770</v>
      </c>
      <c r="I2591" s="362">
        <f>E2591*C2591</f>
        <v>1500</v>
      </c>
    </row>
    <row r="2592" spans="1:9" x14ac:dyDescent="0.3">
      <c r="A2592" s="57">
        <v>4</v>
      </c>
      <c r="B2592" s="237" t="s">
        <v>549</v>
      </c>
      <c r="C2592" s="57">
        <v>2</v>
      </c>
      <c r="D2592" s="56">
        <v>998719</v>
      </c>
      <c r="E2592" s="57">
        <v>2000</v>
      </c>
      <c r="F2592" s="93">
        <f>E2592*C2592*9%</f>
        <v>360</v>
      </c>
      <c r="G2592" s="93">
        <f>F2592</f>
        <v>360</v>
      </c>
      <c r="H2592" s="62">
        <f>G2592+F2592+E2592*C2592</f>
        <v>4720</v>
      </c>
      <c r="I2592" s="362">
        <f>E2592*C2592</f>
        <v>4000</v>
      </c>
    </row>
    <row r="2593" spans="1:8" x14ac:dyDescent="0.3">
      <c r="A2593" s="57"/>
      <c r="B2593" s="238"/>
      <c r="C2593" s="57"/>
      <c r="D2593" s="56"/>
      <c r="E2593" s="57"/>
      <c r="F2593" s="58"/>
      <c r="G2593" s="58"/>
      <c r="H2593" s="59"/>
    </row>
    <row r="2594" spans="1:8" x14ac:dyDescent="0.3">
      <c r="A2594" s="57"/>
      <c r="B2594" s="60"/>
      <c r="C2594" s="239"/>
      <c r="D2594" s="56"/>
      <c r="E2594" s="57"/>
      <c r="F2594" s="58"/>
      <c r="G2594" s="58"/>
      <c r="H2594" s="59"/>
    </row>
    <row r="2595" spans="1:8" x14ac:dyDescent="0.3">
      <c r="A2595" s="173"/>
      <c r="B2595" s="174"/>
      <c r="C2595" s="264"/>
      <c r="D2595" s="152"/>
      <c r="E2595" s="175"/>
      <c r="F2595" s="165"/>
      <c r="G2595" s="165"/>
      <c r="H2595" s="166"/>
    </row>
    <row r="2596" spans="1:8" x14ac:dyDescent="0.3">
      <c r="A2596" s="173"/>
      <c r="B2596" s="174"/>
      <c r="C2596" s="264"/>
      <c r="D2596" s="152"/>
      <c r="E2596" s="175"/>
      <c r="F2596" s="165"/>
      <c r="G2596" s="165"/>
      <c r="H2596" s="166"/>
    </row>
    <row r="2597" spans="1:8" x14ac:dyDescent="0.3">
      <c r="A2597" s="173"/>
      <c r="B2597" s="174"/>
      <c r="C2597" s="264"/>
      <c r="D2597" s="152"/>
      <c r="E2597" s="175"/>
      <c r="F2597" s="165"/>
      <c r="G2597" s="165"/>
      <c r="H2597" s="166"/>
    </row>
    <row r="2598" spans="1:8" x14ac:dyDescent="0.3">
      <c r="A2598" s="173"/>
      <c r="B2598" s="174"/>
      <c r="C2598" s="264"/>
      <c r="D2598" s="152"/>
      <c r="E2598" s="175"/>
      <c r="F2598" s="165"/>
      <c r="G2598" s="165"/>
      <c r="H2598" s="166"/>
    </row>
    <row r="2599" spans="1:8" x14ac:dyDescent="0.3">
      <c r="A2599" s="173"/>
      <c r="B2599" s="174"/>
      <c r="C2599" s="264"/>
      <c r="D2599" s="152"/>
      <c r="E2599" s="175"/>
      <c r="F2599" s="165"/>
      <c r="G2599" s="165"/>
      <c r="H2599" s="166"/>
    </row>
    <row r="2600" spans="1:8" x14ac:dyDescent="0.3">
      <c r="A2600" s="173"/>
      <c r="B2600" s="174"/>
      <c r="C2600" s="264"/>
      <c r="D2600" s="152"/>
      <c r="E2600" s="175"/>
      <c r="F2600" s="165"/>
      <c r="G2600" s="165"/>
      <c r="H2600" s="166"/>
    </row>
    <row r="2601" spans="1:8" x14ac:dyDescent="0.3">
      <c r="A2601" s="173"/>
      <c r="B2601" s="174"/>
      <c r="C2601" s="264"/>
      <c r="D2601" s="152"/>
      <c r="E2601" s="175"/>
      <c r="F2601" s="165"/>
      <c r="G2601" s="165"/>
      <c r="H2601" s="166"/>
    </row>
    <row r="2602" spans="1:8" x14ac:dyDescent="0.3">
      <c r="A2602" s="173"/>
      <c r="B2602" s="174"/>
      <c r="C2602" s="264"/>
      <c r="D2602" s="152"/>
      <c r="E2602" s="175"/>
      <c r="F2602" s="165"/>
      <c r="G2602" s="165"/>
      <c r="H2602" s="166"/>
    </row>
    <row r="2603" spans="1:8" x14ac:dyDescent="0.3">
      <c r="A2603" s="173"/>
      <c r="B2603" s="174"/>
      <c r="C2603" s="264"/>
      <c r="D2603" s="152"/>
      <c r="E2603" s="175"/>
      <c r="F2603" s="165"/>
      <c r="G2603" s="165"/>
      <c r="H2603" s="166"/>
    </row>
    <row r="2604" spans="1:8" x14ac:dyDescent="0.3">
      <c r="A2604" s="173"/>
      <c r="B2604" s="174"/>
      <c r="C2604" s="175"/>
      <c r="D2604" s="152"/>
      <c r="E2604" s="175"/>
      <c r="F2604" s="165"/>
      <c r="G2604" s="165"/>
      <c r="H2604" s="166"/>
    </row>
    <row r="2605" spans="1:8" x14ac:dyDescent="0.3">
      <c r="A2605" s="173"/>
      <c r="B2605" s="174"/>
      <c r="C2605" s="175"/>
      <c r="D2605" s="152"/>
      <c r="E2605" s="175"/>
      <c r="F2605" s="165"/>
      <c r="G2605" s="165"/>
      <c r="H2605" s="166"/>
    </row>
    <row r="2606" spans="1:8" x14ac:dyDescent="0.3">
      <c r="A2606" s="27"/>
      <c r="B2606" s="174"/>
      <c r="C2606" s="24"/>
      <c r="D2606" s="152"/>
      <c r="E2606" s="175"/>
      <c r="F2606" s="175"/>
      <c r="G2606" s="162"/>
      <c r="H2606" s="154"/>
    </row>
    <row r="2607" spans="1:8" x14ac:dyDescent="0.3">
      <c r="A2607" s="27"/>
      <c r="B2607" s="174"/>
      <c r="C2607" s="24"/>
      <c r="D2607" s="152"/>
      <c r="E2607" s="25"/>
      <c r="F2607" s="175"/>
      <c r="G2607" s="162"/>
      <c r="H2607" s="154"/>
    </row>
    <row r="2608" spans="1:8" x14ac:dyDescent="0.3">
      <c r="A2608" s="27"/>
      <c r="B2608" s="28"/>
      <c r="C2608" s="24"/>
      <c r="D2608" s="152"/>
      <c r="E2608" s="25"/>
      <c r="F2608" s="175"/>
      <c r="G2608" s="162"/>
      <c r="H2608" s="154"/>
    </row>
    <row r="2609" spans="1:8" x14ac:dyDescent="0.3">
      <c r="A2609" s="27"/>
      <c r="B2609" s="28"/>
      <c r="C2609" s="24"/>
      <c r="D2609" s="25"/>
      <c r="E2609" s="25"/>
      <c r="F2609" s="25"/>
      <c r="G2609" s="28"/>
      <c r="H2609" s="32"/>
    </row>
    <row r="2610" spans="1:8" ht="15.6" x14ac:dyDescent="0.3">
      <c r="A2610" s="448" t="s">
        <v>45</v>
      </c>
      <c r="B2610" s="449"/>
      <c r="C2610" s="24"/>
      <c r="D2610" s="25"/>
      <c r="E2610" s="25"/>
      <c r="F2610" s="447" t="s">
        <v>46</v>
      </c>
      <c r="G2610" s="447"/>
      <c r="H2610" s="66">
        <v>19000</v>
      </c>
    </row>
    <row r="2611" spans="1:8" ht="15.6" x14ac:dyDescent="0.3">
      <c r="A2611" s="497" t="s">
        <v>551</v>
      </c>
      <c r="B2611" s="498"/>
      <c r="C2611" s="498"/>
      <c r="D2611" s="498"/>
      <c r="E2611" s="498"/>
      <c r="F2611" s="447" t="s">
        <v>47</v>
      </c>
      <c r="G2611" s="447"/>
      <c r="H2611" s="66">
        <f>H2610*9%</f>
        <v>1710</v>
      </c>
    </row>
    <row r="2612" spans="1:8" ht="15.6" x14ac:dyDescent="0.3">
      <c r="A2612" s="27"/>
      <c r="B2612" s="28"/>
      <c r="C2612" s="24"/>
      <c r="D2612" s="25"/>
      <c r="E2612" s="25"/>
      <c r="F2612" s="447" t="s">
        <v>48</v>
      </c>
      <c r="G2612" s="447"/>
      <c r="H2612" s="66">
        <f>H2611</f>
        <v>1710</v>
      </c>
    </row>
    <row r="2613" spans="1:8" ht="15.6" x14ac:dyDescent="0.3">
      <c r="A2613" s="448" t="s">
        <v>49</v>
      </c>
      <c r="B2613" s="449"/>
      <c r="C2613" s="24"/>
      <c r="D2613" s="25"/>
      <c r="E2613" s="25"/>
      <c r="F2613" s="447" t="s">
        <v>50</v>
      </c>
      <c r="G2613" s="447"/>
      <c r="H2613" s="66">
        <v>22420</v>
      </c>
    </row>
    <row r="2614" spans="1:8" ht="15.6" x14ac:dyDescent="0.3">
      <c r="A2614" s="260"/>
      <c r="B2614" s="177"/>
      <c r="C2614" s="24"/>
      <c r="D2614" s="25"/>
      <c r="E2614" s="25"/>
      <c r="F2614" s="26"/>
      <c r="G2614" s="26"/>
      <c r="H2614" s="66"/>
    </row>
    <row r="2615" spans="1:8" ht="27" x14ac:dyDescent="0.3">
      <c r="A2615" s="29" t="s">
        <v>22</v>
      </c>
      <c r="B2615" s="30" t="s">
        <v>51</v>
      </c>
      <c r="C2615" s="31" t="s">
        <v>24</v>
      </c>
      <c r="D2615" s="31" t="s">
        <v>25</v>
      </c>
      <c r="E2615" s="528" t="s">
        <v>52</v>
      </c>
      <c r="F2615" s="528"/>
      <c r="G2615" s="28"/>
      <c r="H2615" s="32"/>
    </row>
    <row r="2616" spans="1:8" x14ac:dyDescent="0.3">
      <c r="A2616" s="33">
        <v>0.18</v>
      </c>
      <c r="B2616" s="34">
        <f>H2610</f>
        <v>19000</v>
      </c>
      <c r="C2616" s="240">
        <f>H2611</f>
        <v>1710</v>
      </c>
      <c r="D2616" s="240">
        <f>H2612</f>
        <v>1710</v>
      </c>
      <c r="E2616" s="529">
        <f>C2616+D2616</f>
        <v>3420</v>
      </c>
      <c r="F2616" s="530"/>
      <c r="G2616" s="28"/>
      <c r="H2616" s="32"/>
    </row>
    <row r="2617" spans="1:8" x14ac:dyDescent="0.3">
      <c r="A2617" s="452" t="s">
        <v>552</v>
      </c>
      <c r="B2617" s="453"/>
      <c r="C2617" s="453"/>
      <c r="D2617" s="453"/>
      <c r="E2617" s="453"/>
      <c r="F2617" s="453"/>
      <c r="G2617" s="453"/>
      <c r="H2617" s="454"/>
    </row>
    <row r="2618" spans="1:8" ht="15.6" x14ac:dyDescent="0.3">
      <c r="A2618" s="715" t="s">
        <v>543</v>
      </c>
      <c r="B2618" s="716"/>
      <c r="C2618" s="716"/>
      <c r="D2618" s="717"/>
      <c r="E2618" s="458" t="s">
        <v>54</v>
      </c>
      <c r="F2618" s="459"/>
      <c r="G2618" s="459"/>
      <c r="H2618" s="460"/>
    </row>
    <row r="2619" spans="1:8" x14ac:dyDescent="0.3">
      <c r="A2619" s="461" t="s">
        <v>544</v>
      </c>
      <c r="B2619" s="462"/>
      <c r="C2619" s="462"/>
      <c r="D2619" s="463"/>
      <c r="E2619" s="39"/>
      <c r="F2619" s="25"/>
      <c r="G2619" s="28"/>
      <c r="H2619" s="32"/>
    </row>
    <row r="2620" spans="1:8" x14ac:dyDescent="0.3">
      <c r="A2620" s="718" t="s">
        <v>545</v>
      </c>
      <c r="B2620" s="719"/>
      <c r="C2620" s="719"/>
      <c r="D2620" s="720"/>
      <c r="E2620" s="39"/>
      <c r="F2620" s="25"/>
      <c r="G2620" s="28"/>
      <c r="H2620" s="32"/>
    </row>
    <row r="2621" spans="1:8" x14ac:dyDescent="0.3">
      <c r="A2621" s="27"/>
      <c r="B2621" s="28"/>
      <c r="C2621" s="24" t="s">
        <v>546</v>
      </c>
      <c r="D2621" s="32"/>
      <c r="E2621" s="25"/>
      <c r="F2621" s="25"/>
      <c r="G2621" s="28"/>
      <c r="H2621" s="32"/>
    </row>
    <row r="2622" spans="1:8" ht="15.6" x14ac:dyDescent="0.3">
      <c r="A2622" s="261"/>
      <c r="B2622" s="262"/>
      <c r="C2622" s="74"/>
      <c r="D2622" s="263"/>
      <c r="E2622" s="466" t="s">
        <v>59</v>
      </c>
      <c r="F2622" s="467"/>
      <c r="G2622" s="467"/>
      <c r="H2622" s="468"/>
    </row>
    <row r="2625" spans="1:8" ht="44.4" x14ac:dyDescent="0.7">
      <c r="A2625" s="469" t="s">
        <v>0</v>
      </c>
      <c r="B2625" s="470"/>
      <c r="C2625" s="470"/>
      <c r="D2625" s="470"/>
      <c r="E2625" s="471" t="s">
        <v>1</v>
      </c>
      <c r="F2625" s="472"/>
      <c r="G2625" s="472"/>
      <c r="H2625" s="473"/>
    </row>
    <row r="2626" spans="1:8" ht="20.399999999999999" x14ac:dyDescent="0.35">
      <c r="A2626" s="1"/>
      <c r="B2626" s="476" t="s">
        <v>2</v>
      </c>
      <c r="C2626" s="476"/>
      <c r="D2626" s="476"/>
      <c r="E2626" s="474"/>
      <c r="F2626" s="474"/>
      <c r="G2626" s="474"/>
      <c r="H2626" s="475"/>
    </row>
    <row r="2627" spans="1:8" x14ac:dyDescent="0.3">
      <c r="A2627" s="477" t="s">
        <v>3</v>
      </c>
      <c r="B2627" s="478"/>
      <c r="C2627" s="479" t="s">
        <v>4</v>
      </c>
      <c r="D2627" s="479"/>
      <c r="E2627" s="480" t="s">
        <v>5</v>
      </c>
      <c r="F2627" s="480"/>
      <c r="G2627" s="480"/>
      <c r="H2627" s="480"/>
    </row>
    <row r="2628" spans="1:8" ht="15.6" x14ac:dyDescent="0.3">
      <c r="A2628" s="4" t="s">
        <v>6</v>
      </c>
      <c r="B2628" s="5"/>
      <c r="C2628" s="512" t="s">
        <v>7</v>
      </c>
      <c r="D2628" s="513"/>
      <c r="E2628" s="482">
        <v>58</v>
      </c>
      <c r="F2628" s="482"/>
      <c r="G2628" s="7" t="s">
        <v>8</v>
      </c>
      <c r="H2628" s="9">
        <v>45845</v>
      </c>
    </row>
    <row r="2629" spans="1:8" ht="15.75" customHeight="1" x14ac:dyDescent="0.3">
      <c r="A2629" s="680" t="s">
        <v>554</v>
      </c>
      <c r="B2629" s="681"/>
      <c r="C2629" s="516" t="s">
        <v>10</v>
      </c>
      <c r="D2629" s="481"/>
      <c r="E2629" s="482"/>
      <c r="F2629" s="482"/>
      <c r="G2629" s="7" t="s">
        <v>8</v>
      </c>
      <c r="H2629" s="9"/>
    </row>
    <row r="2630" spans="1:8" ht="15" x14ac:dyDescent="0.3">
      <c r="A2630" s="517" t="s">
        <v>555</v>
      </c>
      <c r="B2630" s="518"/>
      <c r="C2630" s="484" t="s">
        <v>12</v>
      </c>
      <c r="D2630" s="519"/>
      <c r="E2630" s="520"/>
      <c r="F2630" s="520"/>
      <c r="G2630" s="10" t="s">
        <v>8</v>
      </c>
      <c r="H2630" s="11"/>
    </row>
    <row r="2631" spans="1:8" ht="15.6" x14ac:dyDescent="0.3">
      <c r="A2631" s="517"/>
      <c r="B2631" s="518"/>
      <c r="C2631" s="521" t="s">
        <v>15</v>
      </c>
      <c r="D2631" s="522"/>
      <c r="E2631" s="523" t="s">
        <v>553</v>
      </c>
      <c r="F2631" s="524"/>
      <c r="G2631" s="524"/>
      <c r="H2631" s="6"/>
    </row>
    <row r="2632" spans="1:8" ht="15.6" x14ac:dyDescent="0.3">
      <c r="A2632" s="12" t="s">
        <v>13</v>
      </c>
      <c r="B2632" s="13" t="s">
        <v>14</v>
      </c>
      <c r="C2632" s="230"/>
      <c r="D2632" s="231"/>
      <c r="E2632" s="232"/>
      <c r="F2632" s="233"/>
      <c r="G2632" s="233"/>
      <c r="H2632" s="231"/>
    </row>
    <row r="2633" spans="1:8" ht="15" x14ac:dyDescent="0.3">
      <c r="A2633" s="527" t="s">
        <v>17</v>
      </c>
      <c r="B2633" s="505" t="s">
        <v>18</v>
      </c>
      <c r="C2633" s="494" t="s">
        <v>19</v>
      </c>
      <c r="D2633" s="494" t="s">
        <v>20</v>
      </c>
      <c r="E2633" s="494" t="s">
        <v>21</v>
      </c>
      <c r="F2633" s="494" t="s">
        <v>22</v>
      </c>
      <c r="G2633" s="494"/>
      <c r="H2633" s="492" t="s">
        <v>23</v>
      </c>
    </row>
    <row r="2634" spans="1:8" ht="27.6" x14ac:dyDescent="0.3">
      <c r="A2634" s="492"/>
      <c r="B2634" s="494"/>
      <c r="C2634" s="494"/>
      <c r="D2634" s="494"/>
      <c r="E2634" s="494"/>
      <c r="F2634" s="53" t="s">
        <v>24</v>
      </c>
      <c r="G2634" s="53" t="s">
        <v>25</v>
      </c>
      <c r="H2634" s="492"/>
    </row>
    <row r="2635" spans="1:8" x14ac:dyDescent="0.3">
      <c r="A2635" s="57">
        <v>1</v>
      </c>
      <c r="B2635" s="60" t="s">
        <v>556</v>
      </c>
      <c r="C2635" s="57">
        <v>1</v>
      </c>
      <c r="D2635" s="56">
        <v>998719</v>
      </c>
      <c r="E2635" s="57">
        <v>7000</v>
      </c>
      <c r="F2635" s="93">
        <f>E2635*C2635*9%</f>
        <v>630</v>
      </c>
      <c r="G2635" s="93">
        <f>F2635</f>
        <v>630</v>
      </c>
      <c r="H2635" s="62">
        <f>G2635+F2635+E2635*C2635</f>
        <v>8260</v>
      </c>
    </row>
    <row r="2636" spans="1:8" x14ac:dyDescent="0.3">
      <c r="A2636" s="57">
        <v>2</v>
      </c>
      <c r="B2636" s="60" t="s">
        <v>557</v>
      </c>
      <c r="C2636" s="57">
        <v>1</v>
      </c>
      <c r="D2636" s="56">
        <v>998719</v>
      </c>
      <c r="E2636" s="185">
        <v>2500</v>
      </c>
      <c r="F2636" s="93">
        <f>E2636*C2636*9%</f>
        <v>225</v>
      </c>
      <c r="G2636" s="93">
        <f>F2636</f>
        <v>225</v>
      </c>
      <c r="H2636" s="62">
        <f>G2636+F2636+E2636*C2636</f>
        <v>2950</v>
      </c>
    </row>
    <row r="2637" spans="1:8" x14ac:dyDescent="0.3">
      <c r="A2637" s="57"/>
      <c r="B2637" s="237"/>
      <c r="C2637" s="188"/>
      <c r="D2637" s="56"/>
      <c r="E2637" s="57"/>
      <c r="F2637" s="93"/>
      <c r="G2637" s="93"/>
      <c r="H2637" s="62"/>
    </row>
    <row r="2638" spans="1:8" x14ac:dyDescent="0.3">
      <c r="A2638" s="57"/>
      <c r="B2638" s="237"/>
      <c r="C2638" s="57"/>
      <c r="D2638" s="56"/>
      <c r="E2638" s="57"/>
      <c r="F2638" s="93"/>
      <c r="G2638" s="93"/>
      <c r="H2638" s="62"/>
    </row>
    <row r="2639" spans="1:8" x14ac:dyDescent="0.3">
      <c r="A2639" s="57"/>
      <c r="B2639" s="238"/>
      <c r="C2639" s="57"/>
      <c r="D2639" s="56"/>
      <c r="E2639" s="57"/>
      <c r="F2639" s="58"/>
      <c r="G2639" s="58"/>
      <c r="H2639" s="59"/>
    </row>
    <row r="2640" spans="1:8" x14ac:dyDescent="0.3">
      <c r="A2640" s="57"/>
      <c r="B2640" s="60"/>
      <c r="C2640" s="239"/>
      <c r="D2640" s="56"/>
      <c r="E2640" s="57"/>
      <c r="F2640" s="58"/>
      <c r="G2640" s="58"/>
      <c r="H2640" s="59"/>
    </row>
    <row r="2641" spans="1:8" x14ac:dyDescent="0.3">
      <c r="A2641" s="173"/>
      <c r="B2641" s="174"/>
      <c r="C2641" s="264"/>
      <c r="D2641" s="152"/>
      <c r="E2641" s="175"/>
      <c r="F2641" s="165"/>
      <c r="G2641" s="165"/>
      <c r="H2641" s="166"/>
    </row>
    <row r="2642" spans="1:8" x14ac:dyDescent="0.3">
      <c r="A2642" s="173"/>
      <c r="B2642" s="174"/>
      <c r="C2642" s="264"/>
      <c r="D2642" s="152"/>
      <c r="E2642" s="175"/>
      <c r="F2642" s="165"/>
      <c r="G2642" s="165"/>
      <c r="H2642" s="166"/>
    </row>
    <row r="2643" spans="1:8" x14ac:dyDescent="0.3">
      <c r="A2643" s="173"/>
      <c r="B2643" s="174"/>
      <c r="C2643" s="264"/>
      <c r="D2643" s="152"/>
      <c r="E2643" s="175"/>
      <c r="F2643" s="165"/>
      <c r="G2643" s="165"/>
      <c r="H2643" s="166"/>
    </row>
    <row r="2644" spans="1:8" x14ac:dyDescent="0.3">
      <c r="A2644" s="173"/>
      <c r="B2644" s="174"/>
      <c r="C2644" s="264"/>
      <c r="D2644" s="152"/>
      <c r="E2644" s="175"/>
      <c r="F2644" s="165"/>
      <c r="G2644" s="165"/>
      <c r="H2644" s="166"/>
    </row>
    <row r="2645" spans="1:8" x14ac:dyDescent="0.3">
      <c r="A2645" s="173"/>
      <c r="B2645" s="174"/>
      <c r="C2645" s="264"/>
      <c r="D2645" s="152"/>
      <c r="E2645" s="175"/>
      <c r="F2645" s="165"/>
      <c r="G2645" s="165"/>
      <c r="H2645" s="166"/>
    </row>
    <row r="2646" spans="1:8" x14ac:dyDescent="0.3">
      <c r="A2646" s="173"/>
      <c r="B2646" s="174"/>
      <c r="C2646" s="264"/>
      <c r="D2646" s="152"/>
      <c r="E2646" s="175"/>
      <c r="F2646" s="165"/>
      <c r="G2646" s="165"/>
      <c r="H2646" s="166"/>
    </row>
    <row r="2647" spans="1:8" x14ac:dyDescent="0.3">
      <c r="A2647" s="173"/>
      <c r="B2647" s="174"/>
      <c r="C2647" s="264"/>
      <c r="D2647" s="152"/>
      <c r="E2647" s="175"/>
      <c r="F2647" s="165"/>
      <c r="G2647" s="165"/>
      <c r="H2647" s="166"/>
    </row>
    <row r="2648" spans="1:8" x14ac:dyDescent="0.3">
      <c r="A2648" s="173"/>
      <c r="B2648" s="174"/>
      <c r="C2648" s="264"/>
      <c r="D2648" s="152"/>
      <c r="E2648" s="175"/>
      <c r="F2648" s="165"/>
      <c r="G2648" s="165"/>
      <c r="H2648" s="166"/>
    </row>
    <row r="2649" spans="1:8" x14ac:dyDescent="0.3">
      <c r="A2649" s="173"/>
      <c r="B2649" s="174"/>
      <c r="C2649" s="264"/>
      <c r="D2649" s="152"/>
      <c r="E2649" s="175"/>
      <c r="F2649" s="165"/>
      <c r="G2649" s="165"/>
      <c r="H2649" s="166"/>
    </row>
    <row r="2650" spans="1:8" x14ac:dyDescent="0.3">
      <c r="A2650" s="173"/>
      <c r="B2650" s="174"/>
      <c r="C2650" s="175"/>
      <c r="D2650" s="152"/>
      <c r="E2650" s="175"/>
      <c r="F2650" s="165"/>
      <c r="G2650" s="165"/>
      <c r="H2650" s="166"/>
    </row>
    <row r="2651" spans="1:8" x14ac:dyDescent="0.3">
      <c r="A2651" s="173"/>
      <c r="B2651" s="174"/>
      <c r="C2651" s="175"/>
      <c r="D2651" s="152"/>
      <c r="E2651" s="175"/>
      <c r="F2651" s="165"/>
      <c r="G2651" s="165"/>
      <c r="H2651" s="166"/>
    </row>
    <row r="2652" spans="1:8" x14ac:dyDescent="0.3">
      <c r="A2652" s="27"/>
      <c r="B2652" s="174"/>
      <c r="C2652" s="24"/>
      <c r="D2652" s="152"/>
      <c r="E2652" s="175"/>
      <c r="F2652" s="175"/>
      <c r="G2652" s="162"/>
      <c r="H2652" s="154"/>
    </row>
    <row r="2653" spans="1:8" x14ac:dyDescent="0.3">
      <c r="A2653" s="27"/>
      <c r="B2653" s="174"/>
      <c r="C2653" s="24"/>
      <c r="D2653" s="152"/>
      <c r="E2653" s="25"/>
      <c r="F2653" s="175"/>
      <c r="G2653" s="162"/>
      <c r="H2653" s="154"/>
    </row>
    <row r="2654" spans="1:8" x14ac:dyDescent="0.3">
      <c r="A2654" s="27"/>
      <c r="B2654" s="28"/>
      <c r="C2654" s="24"/>
      <c r="D2654" s="152"/>
      <c r="E2654" s="25"/>
      <c r="F2654" s="175"/>
      <c r="G2654" s="162"/>
      <c r="H2654" s="154"/>
    </row>
    <row r="2655" spans="1:8" x14ac:dyDescent="0.3">
      <c r="A2655" s="27"/>
      <c r="B2655" s="28"/>
      <c r="C2655" s="24"/>
      <c r="D2655" s="25"/>
      <c r="E2655" s="25"/>
      <c r="F2655" s="25"/>
      <c r="G2655" s="28"/>
      <c r="H2655" s="32"/>
    </row>
    <row r="2656" spans="1:8" ht="15.6" x14ac:dyDescent="0.3">
      <c r="A2656" s="448" t="s">
        <v>45</v>
      </c>
      <c r="B2656" s="449"/>
      <c r="C2656" s="24"/>
      <c r="D2656" s="25"/>
      <c r="E2656" s="25"/>
      <c r="F2656" s="447" t="s">
        <v>46</v>
      </c>
      <c r="G2656" s="447"/>
      <c r="H2656" s="66">
        <v>9500</v>
      </c>
    </row>
    <row r="2657" spans="1:8" ht="15.6" x14ac:dyDescent="0.3">
      <c r="A2657" s="497" t="s">
        <v>558</v>
      </c>
      <c r="B2657" s="498"/>
      <c r="C2657" s="498"/>
      <c r="D2657" s="498"/>
      <c r="E2657" s="498"/>
      <c r="F2657" s="447" t="s">
        <v>47</v>
      </c>
      <c r="G2657" s="447"/>
      <c r="H2657" s="66">
        <f>H2656*9%</f>
        <v>855</v>
      </c>
    </row>
    <row r="2658" spans="1:8" ht="15.6" x14ac:dyDescent="0.3">
      <c r="A2658" s="27"/>
      <c r="B2658" s="28"/>
      <c r="C2658" s="24"/>
      <c r="D2658" s="25"/>
      <c r="E2658" s="25"/>
      <c r="F2658" s="447" t="s">
        <v>48</v>
      </c>
      <c r="G2658" s="447"/>
      <c r="H2658" s="66">
        <f>H2657</f>
        <v>855</v>
      </c>
    </row>
    <row r="2659" spans="1:8" ht="15.6" x14ac:dyDescent="0.3">
      <c r="A2659" s="448" t="s">
        <v>49</v>
      </c>
      <c r="B2659" s="449"/>
      <c r="C2659" s="24"/>
      <c r="D2659" s="25"/>
      <c r="E2659" s="25"/>
      <c r="F2659" s="447" t="s">
        <v>50</v>
      </c>
      <c r="G2659" s="447"/>
      <c r="H2659" s="66">
        <v>11210</v>
      </c>
    </row>
    <row r="2660" spans="1:8" ht="15.6" x14ac:dyDescent="0.3">
      <c r="A2660" s="260"/>
      <c r="B2660" s="177"/>
      <c r="C2660" s="24"/>
      <c r="D2660" s="25"/>
      <c r="E2660" s="25"/>
      <c r="F2660" s="26"/>
      <c r="G2660" s="26"/>
      <c r="H2660" s="66"/>
    </row>
    <row r="2661" spans="1:8" ht="27" x14ac:dyDescent="0.3">
      <c r="A2661" s="29" t="s">
        <v>22</v>
      </c>
      <c r="B2661" s="30" t="s">
        <v>51</v>
      </c>
      <c r="C2661" s="31" t="s">
        <v>24</v>
      </c>
      <c r="D2661" s="31" t="s">
        <v>25</v>
      </c>
      <c r="E2661" s="528" t="s">
        <v>52</v>
      </c>
      <c r="F2661" s="528"/>
      <c r="G2661" s="28"/>
      <c r="H2661" s="32"/>
    </row>
    <row r="2662" spans="1:8" x14ac:dyDescent="0.3">
      <c r="A2662" s="33">
        <v>0.18</v>
      </c>
      <c r="B2662" s="34">
        <f>H2656</f>
        <v>9500</v>
      </c>
      <c r="C2662" s="240">
        <f>H2657</f>
        <v>855</v>
      </c>
      <c r="D2662" s="240">
        <f>H2658</f>
        <v>855</v>
      </c>
      <c r="E2662" s="529">
        <f>C2662+D2662</f>
        <v>1710</v>
      </c>
      <c r="F2662" s="530"/>
      <c r="G2662" s="28"/>
      <c r="H2662" s="32"/>
    </row>
    <row r="2663" spans="1:8" x14ac:dyDescent="0.3">
      <c r="A2663" s="452" t="s">
        <v>559</v>
      </c>
      <c r="B2663" s="453"/>
      <c r="C2663" s="453"/>
      <c r="D2663" s="453"/>
      <c r="E2663" s="453"/>
      <c r="F2663" s="453"/>
      <c r="G2663" s="453"/>
      <c r="H2663" s="454"/>
    </row>
    <row r="2664" spans="1:8" ht="15.6" x14ac:dyDescent="0.3">
      <c r="A2664" s="455" t="s">
        <v>53</v>
      </c>
      <c r="B2664" s="456"/>
      <c r="C2664" s="456"/>
      <c r="D2664" s="457"/>
      <c r="E2664" s="458" t="s">
        <v>54</v>
      </c>
      <c r="F2664" s="459"/>
      <c r="G2664" s="459"/>
      <c r="H2664" s="460"/>
    </row>
    <row r="2665" spans="1:8" x14ac:dyDescent="0.3">
      <c r="A2665" s="461" t="s">
        <v>55</v>
      </c>
      <c r="B2665" s="462"/>
      <c r="C2665" s="462"/>
      <c r="D2665" s="463"/>
      <c r="E2665" s="39"/>
      <c r="F2665" s="25"/>
      <c r="G2665" s="28"/>
      <c r="H2665" s="32"/>
    </row>
    <row r="2666" spans="1:8" x14ac:dyDescent="0.3">
      <c r="A2666" s="461" t="s">
        <v>56</v>
      </c>
      <c r="B2666" s="462"/>
      <c r="C2666" s="462"/>
      <c r="D2666" s="463"/>
      <c r="E2666" s="39"/>
      <c r="F2666" s="25"/>
      <c r="G2666" s="28"/>
      <c r="H2666" s="32"/>
    </row>
    <row r="2667" spans="1:8" x14ac:dyDescent="0.3">
      <c r="A2667" s="461" t="s">
        <v>57</v>
      </c>
      <c r="B2667" s="462"/>
      <c r="C2667" s="462"/>
      <c r="D2667" s="463"/>
      <c r="E2667" s="25"/>
      <c r="F2667" s="25"/>
      <c r="G2667" s="28"/>
      <c r="H2667" s="32"/>
    </row>
    <row r="2668" spans="1:8" ht="15.6" x14ac:dyDescent="0.3">
      <c r="A2668" s="464" t="s">
        <v>58</v>
      </c>
      <c r="B2668" s="465"/>
      <c r="C2668" s="465"/>
      <c r="D2668" s="510"/>
      <c r="E2668" s="466" t="s">
        <v>59</v>
      </c>
      <c r="F2668" s="467"/>
      <c r="G2668" s="467"/>
      <c r="H2668" s="468"/>
    </row>
    <row r="2671" spans="1:8" ht="44.4" x14ac:dyDescent="0.7">
      <c r="A2671" s="469" t="s">
        <v>0</v>
      </c>
      <c r="B2671" s="470"/>
      <c r="C2671" s="470"/>
      <c r="D2671" s="470"/>
      <c r="E2671" s="471" t="s">
        <v>1</v>
      </c>
      <c r="F2671" s="472"/>
      <c r="G2671" s="472"/>
      <c r="H2671" s="473"/>
    </row>
    <row r="2672" spans="1:8" ht="20.399999999999999" x14ac:dyDescent="0.35">
      <c r="A2672" s="1"/>
      <c r="B2672" s="476" t="s">
        <v>2</v>
      </c>
      <c r="C2672" s="476"/>
      <c r="D2672" s="476"/>
      <c r="E2672" s="474"/>
      <c r="F2672" s="474"/>
      <c r="G2672" s="474"/>
      <c r="H2672" s="475"/>
    </row>
    <row r="2673" spans="1:8" x14ac:dyDescent="0.3">
      <c r="A2673" s="477" t="s">
        <v>3</v>
      </c>
      <c r="B2673" s="478"/>
      <c r="C2673" s="479" t="s">
        <v>4</v>
      </c>
      <c r="D2673" s="479"/>
      <c r="E2673" s="480" t="s">
        <v>5</v>
      </c>
      <c r="F2673" s="480"/>
      <c r="G2673" s="480"/>
      <c r="H2673" s="480"/>
    </row>
    <row r="2674" spans="1:8" ht="15.6" x14ac:dyDescent="0.3">
      <c r="A2674" s="4" t="s">
        <v>6</v>
      </c>
      <c r="B2674" s="5"/>
      <c r="C2674" s="512" t="s">
        <v>7</v>
      </c>
      <c r="D2674" s="513"/>
      <c r="E2674" s="482">
        <v>59</v>
      </c>
      <c r="F2674" s="482"/>
      <c r="G2674" s="7" t="s">
        <v>8</v>
      </c>
      <c r="H2674" s="9">
        <v>45876</v>
      </c>
    </row>
    <row r="2675" spans="1:8" ht="15.6" x14ac:dyDescent="0.3">
      <c r="A2675" s="680" t="s">
        <v>561</v>
      </c>
      <c r="B2675" s="681"/>
      <c r="C2675" s="516" t="s">
        <v>10</v>
      </c>
      <c r="D2675" s="481"/>
      <c r="E2675" s="482"/>
      <c r="F2675" s="482"/>
      <c r="G2675" s="7" t="s">
        <v>8</v>
      </c>
      <c r="H2675" s="9"/>
    </row>
    <row r="2676" spans="1:8" ht="15.75" customHeight="1" x14ac:dyDescent="0.3">
      <c r="A2676" s="517" t="s">
        <v>562</v>
      </c>
      <c r="B2676" s="518"/>
      <c r="C2676" s="484" t="s">
        <v>12</v>
      </c>
      <c r="D2676" s="519"/>
      <c r="E2676" s="520"/>
      <c r="F2676" s="520"/>
      <c r="G2676" s="10" t="s">
        <v>8</v>
      </c>
      <c r="H2676" s="11"/>
    </row>
    <row r="2677" spans="1:8" ht="15.6" x14ac:dyDescent="0.3">
      <c r="A2677" s="517" t="s">
        <v>563</v>
      </c>
      <c r="B2677" s="518"/>
      <c r="C2677" s="521" t="s">
        <v>15</v>
      </c>
      <c r="D2677" s="522"/>
      <c r="E2677" s="523" t="s">
        <v>564</v>
      </c>
      <c r="F2677" s="524"/>
      <c r="G2677" s="524"/>
      <c r="H2677" s="6"/>
    </row>
    <row r="2678" spans="1:8" ht="15.6" x14ac:dyDescent="0.3">
      <c r="A2678" s="12" t="s">
        <v>13</v>
      </c>
      <c r="B2678" s="13" t="s">
        <v>14</v>
      </c>
      <c r="C2678" s="230"/>
      <c r="D2678" s="231"/>
      <c r="E2678" s="232"/>
      <c r="F2678" s="233"/>
      <c r="G2678" s="233"/>
      <c r="H2678" s="231"/>
    </row>
    <row r="2679" spans="1:8" ht="15" x14ac:dyDescent="0.3">
      <c r="A2679" s="527" t="s">
        <v>17</v>
      </c>
      <c r="B2679" s="505" t="s">
        <v>18</v>
      </c>
      <c r="C2679" s="494" t="s">
        <v>19</v>
      </c>
      <c r="D2679" s="494" t="s">
        <v>20</v>
      </c>
      <c r="E2679" s="494" t="s">
        <v>21</v>
      </c>
      <c r="F2679" s="494" t="s">
        <v>22</v>
      </c>
      <c r="G2679" s="494"/>
      <c r="H2679" s="492" t="s">
        <v>23</v>
      </c>
    </row>
    <row r="2680" spans="1:8" ht="27.6" x14ac:dyDescent="0.3">
      <c r="A2680" s="492"/>
      <c r="B2680" s="494"/>
      <c r="C2680" s="494"/>
      <c r="D2680" s="494"/>
      <c r="E2680" s="494"/>
      <c r="F2680" s="53" t="s">
        <v>24</v>
      </c>
      <c r="G2680" s="53" t="s">
        <v>25</v>
      </c>
      <c r="H2680" s="492"/>
    </row>
    <row r="2681" spans="1:8" x14ac:dyDescent="0.3">
      <c r="A2681" s="57">
        <v>1</v>
      </c>
      <c r="B2681" s="60" t="s">
        <v>560</v>
      </c>
      <c r="C2681" s="57">
        <v>1</v>
      </c>
      <c r="D2681" s="56">
        <v>85389000</v>
      </c>
      <c r="E2681" s="57">
        <v>7000</v>
      </c>
      <c r="F2681" s="93">
        <f>E2681*C2681*9%</f>
        <v>630</v>
      </c>
      <c r="G2681" s="93">
        <f>F2681</f>
        <v>630</v>
      </c>
      <c r="H2681" s="62">
        <f>G2681+F2681+E2681*C2681</f>
        <v>8260</v>
      </c>
    </row>
    <row r="2682" spans="1:8" x14ac:dyDescent="0.3">
      <c r="A2682" s="57"/>
      <c r="B2682" s="60"/>
      <c r="C2682" s="57"/>
      <c r="D2682" s="56"/>
      <c r="E2682" s="185"/>
      <c r="F2682" s="93"/>
      <c r="G2682" s="93"/>
      <c r="H2682" s="62"/>
    </row>
    <row r="2683" spans="1:8" x14ac:dyDescent="0.3">
      <c r="A2683" s="57"/>
      <c r="B2683" s="237"/>
      <c r="C2683" s="188"/>
      <c r="D2683" s="56"/>
      <c r="E2683" s="57"/>
      <c r="F2683" s="93"/>
      <c r="G2683" s="93"/>
      <c r="H2683" s="62"/>
    </row>
    <row r="2684" spans="1:8" x14ac:dyDescent="0.3">
      <c r="A2684" s="57"/>
      <c r="B2684" s="237"/>
      <c r="C2684" s="57"/>
      <c r="D2684" s="56"/>
      <c r="E2684" s="57"/>
      <c r="F2684" s="93"/>
      <c r="G2684" s="93"/>
      <c r="H2684" s="62"/>
    </row>
    <row r="2685" spans="1:8" x14ac:dyDescent="0.3">
      <c r="A2685" s="57"/>
      <c r="B2685" s="238"/>
      <c r="C2685" s="57"/>
      <c r="D2685" s="56"/>
      <c r="E2685" s="57"/>
      <c r="F2685" s="58"/>
      <c r="G2685" s="58"/>
      <c r="H2685" s="59"/>
    </row>
    <row r="2686" spans="1:8" x14ac:dyDescent="0.3">
      <c r="A2686" s="57"/>
      <c r="B2686" s="60"/>
      <c r="C2686" s="239"/>
      <c r="D2686" s="56"/>
      <c r="E2686" s="57"/>
      <c r="F2686" s="58"/>
      <c r="G2686" s="58"/>
      <c r="H2686" s="59"/>
    </row>
    <row r="2687" spans="1:8" x14ac:dyDescent="0.3">
      <c r="A2687" s="173"/>
      <c r="B2687" s="174"/>
      <c r="C2687" s="264"/>
      <c r="D2687" s="152"/>
      <c r="E2687" s="175"/>
      <c r="F2687" s="165"/>
      <c r="G2687" s="165"/>
      <c r="H2687" s="166"/>
    </row>
    <row r="2688" spans="1:8" x14ac:dyDescent="0.3">
      <c r="A2688" s="173"/>
      <c r="B2688" s="174"/>
      <c r="C2688" s="264"/>
      <c r="D2688" s="152"/>
      <c r="E2688" s="175"/>
      <c r="F2688" s="165"/>
      <c r="G2688" s="165"/>
      <c r="H2688" s="166"/>
    </row>
    <row r="2689" spans="1:8" x14ac:dyDescent="0.3">
      <c r="A2689" s="173"/>
      <c r="B2689" s="174"/>
      <c r="C2689" s="264"/>
      <c r="D2689" s="152"/>
      <c r="E2689" s="175"/>
      <c r="F2689" s="165"/>
      <c r="G2689" s="165"/>
      <c r="H2689" s="166"/>
    </row>
    <row r="2690" spans="1:8" x14ac:dyDescent="0.3">
      <c r="A2690" s="173"/>
      <c r="B2690" s="174"/>
      <c r="C2690" s="264"/>
      <c r="D2690" s="152"/>
      <c r="E2690" s="175"/>
      <c r="F2690" s="165"/>
      <c r="G2690" s="165"/>
      <c r="H2690" s="166"/>
    </row>
    <row r="2691" spans="1:8" x14ac:dyDescent="0.3">
      <c r="A2691" s="173"/>
      <c r="B2691" s="174"/>
      <c r="C2691" s="264"/>
      <c r="D2691" s="152"/>
      <c r="E2691" s="175"/>
      <c r="F2691" s="165"/>
      <c r="G2691" s="165"/>
      <c r="H2691" s="166"/>
    </row>
    <row r="2692" spans="1:8" x14ac:dyDescent="0.3">
      <c r="A2692" s="173"/>
      <c r="B2692" s="174"/>
      <c r="C2692" s="264"/>
      <c r="D2692" s="152"/>
      <c r="E2692" s="175"/>
      <c r="F2692" s="165"/>
      <c r="G2692" s="165"/>
      <c r="H2692" s="166"/>
    </row>
    <row r="2693" spans="1:8" x14ac:dyDescent="0.3">
      <c r="A2693" s="173"/>
      <c r="B2693" s="174"/>
      <c r="C2693" s="264"/>
      <c r="D2693" s="152"/>
      <c r="E2693" s="175"/>
      <c r="F2693" s="165"/>
      <c r="G2693" s="165"/>
      <c r="H2693" s="166"/>
    </row>
    <row r="2694" spans="1:8" x14ac:dyDescent="0.3">
      <c r="A2694" s="173"/>
      <c r="B2694" s="174"/>
      <c r="C2694" s="264"/>
      <c r="D2694" s="152"/>
      <c r="E2694" s="175"/>
      <c r="F2694" s="165"/>
      <c r="G2694" s="165"/>
      <c r="H2694" s="166"/>
    </row>
    <row r="2695" spans="1:8" x14ac:dyDescent="0.3">
      <c r="A2695" s="173"/>
      <c r="B2695" s="174"/>
      <c r="C2695" s="264"/>
      <c r="D2695" s="152"/>
      <c r="E2695" s="175"/>
      <c r="F2695" s="165"/>
      <c r="G2695" s="165"/>
      <c r="H2695" s="166"/>
    </row>
    <row r="2696" spans="1:8" x14ac:dyDescent="0.3">
      <c r="A2696" s="173"/>
      <c r="B2696" s="174"/>
      <c r="C2696" s="175"/>
      <c r="D2696" s="152"/>
      <c r="E2696" s="175"/>
      <c r="F2696" s="165"/>
      <c r="G2696" s="165"/>
      <c r="H2696" s="166"/>
    </row>
    <row r="2697" spans="1:8" x14ac:dyDescent="0.3">
      <c r="A2697" s="173"/>
      <c r="B2697" s="174"/>
      <c r="C2697" s="175"/>
      <c r="D2697" s="152"/>
      <c r="E2697" s="175"/>
      <c r="F2697" s="165"/>
      <c r="G2697" s="165"/>
      <c r="H2697" s="166"/>
    </row>
    <row r="2698" spans="1:8" x14ac:dyDescent="0.3">
      <c r="A2698" s="27"/>
      <c r="B2698" s="174"/>
      <c r="C2698" s="24"/>
      <c r="D2698" s="152"/>
      <c r="E2698" s="175"/>
      <c r="F2698" s="175"/>
      <c r="G2698" s="162"/>
      <c r="H2698" s="154"/>
    </row>
    <row r="2699" spans="1:8" x14ac:dyDescent="0.3">
      <c r="A2699" s="27"/>
      <c r="B2699" s="174"/>
      <c r="C2699" s="24"/>
      <c r="D2699" s="152"/>
      <c r="E2699" s="25"/>
      <c r="F2699" s="175"/>
      <c r="G2699" s="162"/>
      <c r="H2699" s="154"/>
    </row>
    <row r="2700" spans="1:8" x14ac:dyDescent="0.3">
      <c r="A2700" s="27"/>
      <c r="B2700" s="28"/>
      <c r="C2700" s="24"/>
      <c r="D2700" s="152"/>
      <c r="E2700" s="25"/>
      <c r="F2700" s="175"/>
      <c r="G2700" s="162"/>
      <c r="H2700" s="154"/>
    </row>
    <row r="2701" spans="1:8" x14ac:dyDescent="0.3">
      <c r="A2701" s="27"/>
      <c r="B2701" s="28"/>
      <c r="C2701" s="24"/>
      <c r="D2701" s="25"/>
      <c r="E2701" s="25"/>
      <c r="F2701" s="25"/>
      <c r="G2701" s="28"/>
      <c r="H2701" s="32"/>
    </row>
    <row r="2702" spans="1:8" ht="15.6" x14ac:dyDescent="0.3">
      <c r="A2702" s="448" t="s">
        <v>45</v>
      </c>
      <c r="B2702" s="449"/>
      <c r="C2702" s="24"/>
      <c r="D2702" s="25"/>
      <c r="E2702" s="25"/>
      <c r="F2702" s="447" t="s">
        <v>46</v>
      </c>
      <c r="G2702" s="447"/>
      <c r="H2702" s="66">
        <v>7000</v>
      </c>
    </row>
    <row r="2703" spans="1:8" ht="15.6" x14ac:dyDescent="0.3">
      <c r="A2703" s="497" t="s">
        <v>565</v>
      </c>
      <c r="B2703" s="498"/>
      <c r="C2703" s="498"/>
      <c r="D2703" s="498"/>
      <c r="E2703" s="498"/>
      <c r="F2703" s="447" t="s">
        <v>47</v>
      </c>
      <c r="G2703" s="447"/>
      <c r="H2703" s="66">
        <f>H2702*9%</f>
        <v>630</v>
      </c>
    </row>
    <row r="2704" spans="1:8" ht="15.6" x14ac:dyDescent="0.3">
      <c r="A2704" s="27"/>
      <c r="B2704" s="28"/>
      <c r="C2704" s="24"/>
      <c r="D2704" s="25"/>
      <c r="E2704" s="25"/>
      <c r="F2704" s="447" t="s">
        <v>48</v>
      </c>
      <c r="G2704" s="447"/>
      <c r="H2704" s="66">
        <f>H2703</f>
        <v>630</v>
      </c>
    </row>
    <row r="2705" spans="1:8" ht="15.6" x14ac:dyDescent="0.3">
      <c r="A2705" s="448" t="s">
        <v>49</v>
      </c>
      <c r="B2705" s="449"/>
      <c r="C2705" s="24"/>
      <c r="D2705" s="25"/>
      <c r="E2705" s="25"/>
      <c r="F2705" s="447" t="s">
        <v>50</v>
      </c>
      <c r="G2705" s="447"/>
      <c r="H2705" s="66">
        <v>8260</v>
      </c>
    </row>
    <row r="2706" spans="1:8" ht="15.6" x14ac:dyDescent="0.3">
      <c r="A2706" s="260"/>
      <c r="B2706" s="177"/>
      <c r="C2706" s="24"/>
      <c r="D2706" s="25"/>
      <c r="E2706" s="25"/>
      <c r="F2706" s="26"/>
      <c r="G2706" s="26"/>
      <c r="H2706" s="66"/>
    </row>
    <row r="2707" spans="1:8" ht="27" x14ac:dyDescent="0.3">
      <c r="A2707" s="29" t="s">
        <v>22</v>
      </c>
      <c r="B2707" s="30" t="s">
        <v>51</v>
      </c>
      <c r="C2707" s="31" t="s">
        <v>24</v>
      </c>
      <c r="D2707" s="31" t="s">
        <v>25</v>
      </c>
      <c r="E2707" s="528" t="s">
        <v>52</v>
      </c>
      <c r="F2707" s="528"/>
      <c r="G2707" s="28"/>
      <c r="H2707" s="32"/>
    </row>
    <row r="2708" spans="1:8" x14ac:dyDescent="0.3">
      <c r="A2708" s="33">
        <v>0.18</v>
      </c>
      <c r="B2708" s="34">
        <f>H2702</f>
        <v>7000</v>
      </c>
      <c r="C2708" s="240">
        <f>H2703</f>
        <v>630</v>
      </c>
      <c r="D2708" s="240">
        <f>H2704</f>
        <v>630</v>
      </c>
      <c r="E2708" s="529">
        <f>C2708+D2708</f>
        <v>1260</v>
      </c>
      <c r="F2708" s="530"/>
      <c r="G2708" s="28"/>
      <c r="H2708" s="32"/>
    </row>
    <row r="2709" spans="1:8" x14ac:dyDescent="0.3">
      <c r="A2709" s="452" t="s">
        <v>566</v>
      </c>
      <c r="B2709" s="453"/>
      <c r="C2709" s="453"/>
      <c r="D2709" s="453"/>
      <c r="E2709" s="453"/>
      <c r="F2709" s="453"/>
      <c r="G2709" s="453"/>
      <c r="H2709" s="454"/>
    </row>
    <row r="2710" spans="1:8" ht="15.6" x14ac:dyDescent="0.3">
      <c r="A2710" s="455" t="s">
        <v>53</v>
      </c>
      <c r="B2710" s="456"/>
      <c r="C2710" s="456"/>
      <c r="D2710" s="457"/>
      <c r="E2710" s="458" t="s">
        <v>54</v>
      </c>
      <c r="F2710" s="459"/>
      <c r="G2710" s="459"/>
      <c r="H2710" s="460"/>
    </row>
    <row r="2711" spans="1:8" x14ac:dyDescent="0.3">
      <c r="A2711" s="461" t="s">
        <v>55</v>
      </c>
      <c r="B2711" s="462"/>
      <c r="C2711" s="462"/>
      <c r="D2711" s="463"/>
      <c r="E2711" s="39"/>
      <c r="F2711" s="25"/>
      <c r="G2711" s="28"/>
      <c r="H2711" s="32"/>
    </row>
    <row r="2712" spans="1:8" x14ac:dyDescent="0.3">
      <c r="A2712" s="461" t="s">
        <v>56</v>
      </c>
      <c r="B2712" s="462"/>
      <c r="C2712" s="462"/>
      <c r="D2712" s="463"/>
      <c r="E2712" s="39"/>
      <c r="F2712" s="25"/>
      <c r="G2712" s="28"/>
      <c r="H2712" s="32"/>
    </row>
    <row r="2713" spans="1:8" x14ac:dyDescent="0.3">
      <c r="A2713" s="461" t="s">
        <v>57</v>
      </c>
      <c r="B2713" s="462"/>
      <c r="C2713" s="462"/>
      <c r="D2713" s="463"/>
      <c r="E2713" s="25"/>
      <c r="F2713" s="25"/>
      <c r="G2713" s="28"/>
      <c r="H2713" s="32"/>
    </row>
    <row r="2714" spans="1:8" ht="15.6" x14ac:dyDescent="0.3">
      <c r="A2714" s="464" t="s">
        <v>58</v>
      </c>
      <c r="B2714" s="465"/>
      <c r="C2714" s="465"/>
      <c r="D2714" s="510"/>
      <c r="E2714" s="466" t="s">
        <v>59</v>
      </c>
      <c r="F2714" s="467"/>
      <c r="G2714" s="467"/>
      <c r="H2714" s="468"/>
    </row>
    <row r="2718" spans="1:8" ht="45" customHeight="1" x14ac:dyDescent="0.7">
      <c r="A2718" s="469" t="s">
        <v>0</v>
      </c>
      <c r="B2718" s="470"/>
      <c r="C2718" s="470"/>
      <c r="D2718" s="470"/>
      <c r="E2718" s="471" t="s">
        <v>1</v>
      </c>
      <c r="F2718" s="472"/>
      <c r="G2718" s="472"/>
      <c r="H2718" s="473"/>
    </row>
    <row r="2719" spans="1:8" ht="20.399999999999999" x14ac:dyDescent="0.35">
      <c r="A2719" s="265"/>
      <c r="B2719" s="649" t="s">
        <v>2</v>
      </c>
      <c r="C2719" s="649"/>
      <c r="D2719" s="649"/>
      <c r="E2719" s="474"/>
      <c r="F2719" s="474"/>
      <c r="G2719" s="474"/>
      <c r="H2719" s="475"/>
    </row>
    <row r="2720" spans="1:8" x14ac:dyDescent="0.3">
      <c r="A2720" s="477" t="s">
        <v>3</v>
      </c>
      <c r="B2720" s="478"/>
      <c r="C2720" s="479" t="s">
        <v>4</v>
      </c>
      <c r="D2720" s="479"/>
      <c r="E2720" s="480" t="s">
        <v>5</v>
      </c>
      <c r="F2720" s="480"/>
      <c r="G2720" s="480"/>
      <c r="H2720" s="480"/>
    </row>
    <row r="2721" spans="1:8" ht="15.6" x14ac:dyDescent="0.3">
      <c r="A2721" s="266" t="s">
        <v>568</v>
      </c>
      <c r="B2721" s="267"/>
      <c r="C2721" s="481" t="s">
        <v>7</v>
      </c>
      <c r="D2721" s="481"/>
      <c r="E2721" s="482">
        <v>60</v>
      </c>
      <c r="F2721" s="482"/>
      <c r="G2721" s="44" t="s">
        <v>8</v>
      </c>
      <c r="H2721" s="9">
        <v>45876</v>
      </c>
    </row>
    <row r="2722" spans="1:8" ht="15.6" x14ac:dyDescent="0.3">
      <c r="A2722" s="721" t="s">
        <v>569</v>
      </c>
      <c r="B2722" s="722"/>
      <c r="C2722" s="481" t="s">
        <v>10</v>
      </c>
      <c r="D2722" s="481"/>
      <c r="E2722" s="482"/>
      <c r="F2722" s="482"/>
      <c r="G2722" s="44" t="s">
        <v>8</v>
      </c>
      <c r="H2722" s="6"/>
    </row>
    <row r="2723" spans="1:8" ht="15" x14ac:dyDescent="0.3">
      <c r="A2723" s="721" t="s">
        <v>126</v>
      </c>
      <c r="B2723" s="722"/>
      <c r="C2723" s="519" t="s">
        <v>12</v>
      </c>
      <c r="D2723" s="519"/>
      <c r="E2723" s="613" t="s">
        <v>571</v>
      </c>
      <c r="F2723" s="614"/>
      <c r="G2723" s="48" t="s">
        <v>8</v>
      </c>
      <c r="H2723" s="11" t="s">
        <v>572</v>
      </c>
    </row>
    <row r="2724" spans="1:8" ht="15.6" x14ac:dyDescent="0.3">
      <c r="A2724" s="721" t="s">
        <v>14</v>
      </c>
      <c r="B2724" s="722"/>
      <c r="C2724" s="481" t="s">
        <v>15</v>
      </c>
      <c r="D2724" s="481"/>
      <c r="E2724" s="523" t="s">
        <v>570</v>
      </c>
      <c r="F2724" s="524"/>
      <c r="G2724" s="723"/>
      <c r="H2724" s="49"/>
    </row>
    <row r="2725" spans="1:8" ht="15" x14ac:dyDescent="0.3">
      <c r="A2725" s="493" t="s">
        <v>17</v>
      </c>
      <c r="B2725" s="495" t="s">
        <v>18</v>
      </c>
      <c r="C2725" s="494" t="s">
        <v>19</v>
      </c>
      <c r="D2725" s="494" t="s">
        <v>20</v>
      </c>
      <c r="E2725" s="494" t="s">
        <v>21</v>
      </c>
      <c r="F2725" s="494" t="s">
        <v>22</v>
      </c>
      <c r="G2725" s="494"/>
      <c r="H2725" s="492" t="s">
        <v>23</v>
      </c>
    </row>
    <row r="2726" spans="1:8" ht="27.6" x14ac:dyDescent="0.3">
      <c r="A2726" s="527"/>
      <c r="B2726" s="496"/>
      <c r="C2726" s="494"/>
      <c r="D2726" s="494"/>
      <c r="E2726" s="494"/>
      <c r="F2726" s="53" t="s">
        <v>24</v>
      </c>
      <c r="G2726" s="53" t="s">
        <v>25</v>
      </c>
      <c r="H2726" s="492"/>
    </row>
    <row r="2727" spans="1:8" x14ac:dyDescent="0.3">
      <c r="A2727" s="268">
        <v>1</v>
      </c>
      <c r="B2727" s="269" t="s">
        <v>575</v>
      </c>
      <c r="C2727" s="270">
        <v>1</v>
      </c>
      <c r="D2727" s="271">
        <v>998719</v>
      </c>
      <c r="E2727" s="272">
        <v>3000</v>
      </c>
      <c r="F2727" s="93">
        <f>C2727*E2727*9%</f>
        <v>270</v>
      </c>
      <c r="G2727" s="93">
        <f>C2727*E2727*9%</f>
        <v>270</v>
      </c>
      <c r="H2727" s="62">
        <f>C2727*E2727+F2727+G2727</f>
        <v>3540</v>
      </c>
    </row>
    <row r="2728" spans="1:8" x14ac:dyDescent="0.3">
      <c r="A2728" s="273"/>
      <c r="B2728" s="274"/>
      <c r="C2728" s="275"/>
      <c r="D2728" s="271"/>
      <c r="E2728" s="276"/>
      <c r="F2728" s="93"/>
      <c r="G2728" s="93"/>
      <c r="H2728" s="62"/>
    </row>
    <row r="2729" spans="1:8" x14ac:dyDescent="0.3">
      <c r="A2729" s="268"/>
      <c r="B2729" s="277"/>
      <c r="C2729" s="275"/>
      <c r="D2729" s="271"/>
      <c r="E2729" s="276"/>
      <c r="F2729" s="93"/>
      <c r="G2729" s="93"/>
      <c r="H2729" s="62"/>
    </row>
    <row r="2730" spans="1:8" x14ac:dyDescent="0.3">
      <c r="A2730" s="278"/>
      <c r="B2730" s="279"/>
      <c r="C2730" s="55"/>
      <c r="D2730" s="271"/>
      <c r="E2730" s="276"/>
      <c r="F2730" s="93"/>
      <c r="G2730" s="93"/>
      <c r="H2730" s="62"/>
    </row>
    <row r="2731" spans="1:8" x14ac:dyDescent="0.3">
      <c r="A2731" s="280"/>
      <c r="B2731" s="60"/>
      <c r="C2731" s="57"/>
      <c r="D2731" s="271"/>
      <c r="E2731" s="57"/>
      <c r="F2731" s="93"/>
      <c r="G2731" s="93"/>
      <c r="H2731" s="62"/>
    </row>
    <row r="2732" spans="1:8" x14ac:dyDescent="0.3">
      <c r="A2732" s="55"/>
      <c r="B2732" s="94"/>
      <c r="C2732" s="55"/>
      <c r="D2732" s="47"/>
      <c r="E2732" s="47"/>
      <c r="F2732" s="115"/>
      <c r="G2732" s="115"/>
      <c r="H2732" s="47"/>
    </row>
    <row r="2733" spans="1:8" x14ac:dyDescent="0.3">
      <c r="A2733" s="27"/>
      <c r="B2733" s="28"/>
      <c r="C2733" s="24"/>
      <c r="D2733" s="25"/>
      <c r="E2733" s="25"/>
      <c r="F2733" s="282"/>
      <c r="G2733" s="282"/>
      <c r="H2733" s="32"/>
    </row>
    <row r="2734" spans="1:8" x14ac:dyDescent="0.3">
      <c r="A2734" s="27"/>
      <c r="B2734" s="28"/>
      <c r="C2734" s="24"/>
      <c r="D2734" s="25"/>
      <c r="E2734" s="25"/>
      <c r="F2734" s="282"/>
      <c r="G2734" s="282"/>
      <c r="H2734" s="32"/>
    </row>
    <row r="2735" spans="1:8" x14ac:dyDescent="0.3">
      <c r="A2735" s="27"/>
      <c r="B2735" s="28"/>
      <c r="C2735" s="24"/>
      <c r="D2735" s="25"/>
      <c r="E2735" s="25"/>
      <c r="F2735" s="282"/>
      <c r="G2735" s="282"/>
      <c r="H2735" s="32"/>
    </row>
    <row r="2736" spans="1:8" x14ac:dyDescent="0.3">
      <c r="A2736" s="27"/>
      <c r="B2736" s="28"/>
      <c r="C2736" s="24"/>
      <c r="D2736" s="25"/>
      <c r="E2736" s="25"/>
      <c r="F2736" s="282"/>
      <c r="G2736" s="282"/>
      <c r="H2736" s="32"/>
    </row>
    <row r="2737" spans="1:8" x14ac:dyDescent="0.3">
      <c r="A2737" s="27"/>
      <c r="B2737" s="28"/>
      <c r="C2737" s="24"/>
      <c r="D2737" s="25"/>
      <c r="E2737" s="25"/>
      <c r="F2737" s="282"/>
      <c r="G2737" s="282"/>
      <c r="H2737" s="32"/>
    </row>
    <row r="2738" spans="1:8" x14ac:dyDescent="0.3">
      <c r="A2738" s="27"/>
      <c r="B2738" s="28"/>
      <c r="C2738" s="24"/>
      <c r="D2738" s="25"/>
      <c r="E2738" s="25"/>
      <c r="F2738" s="282"/>
      <c r="G2738" s="282"/>
      <c r="H2738" s="32"/>
    </row>
    <row r="2739" spans="1:8" x14ac:dyDescent="0.3">
      <c r="A2739" s="27"/>
      <c r="B2739" s="28"/>
      <c r="C2739" s="24"/>
      <c r="D2739" s="25"/>
      <c r="E2739" s="25"/>
      <c r="F2739" s="282"/>
      <c r="G2739" s="282"/>
      <c r="H2739" s="32"/>
    </row>
    <row r="2740" spans="1:8" x14ac:dyDescent="0.3">
      <c r="A2740" s="27"/>
      <c r="B2740" s="28"/>
      <c r="C2740" s="24"/>
      <c r="D2740" s="25"/>
      <c r="E2740" s="25"/>
      <c r="F2740" s="282"/>
      <c r="G2740" s="282"/>
      <c r="H2740" s="32"/>
    </row>
    <row r="2741" spans="1:8" x14ac:dyDescent="0.3">
      <c r="A2741" s="27"/>
      <c r="B2741" s="28"/>
      <c r="C2741" s="24"/>
      <c r="D2741" s="25"/>
      <c r="E2741" s="25"/>
      <c r="F2741" s="282"/>
      <c r="G2741" s="282"/>
      <c r="H2741" s="32"/>
    </row>
    <row r="2742" spans="1:8" x14ac:dyDescent="0.3">
      <c r="A2742" s="27"/>
      <c r="B2742" s="28"/>
      <c r="C2742" s="24"/>
      <c r="D2742" s="25"/>
      <c r="E2742" s="25"/>
      <c r="F2742" s="282"/>
      <c r="G2742" s="282"/>
      <c r="H2742" s="32"/>
    </row>
    <row r="2743" spans="1:8" x14ac:dyDescent="0.3">
      <c r="A2743" s="27"/>
      <c r="B2743" s="28"/>
      <c r="C2743" s="24"/>
      <c r="D2743" s="25"/>
      <c r="E2743" s="25"/>
      <c r="F2743" s="282"/>
      <c r="G2743" s="282"/>
      <c r="H2743" s="32"/>
    </row>
    <row r="2744" spans="1:8" x14ac:dyDescent="0.3">
      <c r="A2744" s="27"/>
      <c r="B2744" s="28"/>
      <c r="C2744" s="24"/>
      <c r="D2744" s="25"/>
      <c r="E2744" s="25"/>
      <c r="F2744" s="282"/>
      <c r="G2744" s="282"/>
      <c r="H2744" s="32"/>
    </row>
    <row r="2745" spans="1:8" x14ac:dyDescent="0.3">
      <c r="A2745" s="27"/>
      <c r="B2745" s="28"/>
      <c r="C2745" s="24"/>
      <c r="D2745" s="25"/>
      <c r="E2745" s="25"/>
      <c r="F2745" s="25"/>
      <c r="G2745" s="28"/>
      <c r="H2745" s="32"/>
    </row>
    <row r="2746" spans="1:8" x14ac:dyDescent="0.3">
      <c r="A2746" s="27"/>
      <c r="B2746" s="28"/>
      <c r="C2746" s="24"/>
      <c r="D2746" s="25"/>
      <c r="E2746" s="25"/>
      <c r="F2746" s="25"/>
      <c r="G2746" s="28"/>
      <c r="H2746" s="32"/>
    </row>
    <row r="2747" spans="1:8" x14ac:dyDescent="0.3">
      <c r="A2747" s="27"/>
      <c r="B2747" s="28"/>
      <c r="C2747" s="24"/>
      <c r="D2747" s="25"/>
      <c r="E2747" s="25"/>
      <c r="F2747" s="25"/>
      <c r="G2747" s="28"/>
      <c r="H2747" s="32"/>
    </row>
    <row r="2748" spans="1:8" x14ac:dyDescent="0.3">
      <c r="A2748" s="27"/>
      <c r="B2748" s="28"/>
      <c r="C2748" s="24"/>
      <c r="D2748" s="25"/>
      <c r="E2748" s="25"/>
      <c r="F2748" s="25"/>
      <c r="G2748" s="28"/>
      <c r="H2748" s="32"/>
    </row>
    <row r="2749" spans="1:8" x14ac:dyDescent="0.3">
      <c r="A2749" s="27"/>
      <c r="B2749" s="28"/>
      <c r="C2749" s="24"/>
      <c r="D2749" s="25"/>
      <c r="E2749" s="25"/>
      <c r="F2749" s="25"/>
      <c r="G2749" s="28"/>
      <c r="H2749" s="32"/>
    </row>
    <row r="2750" spans="1:8" x14ac:dyDescent="0.3">
      <c r="A2750" s="27"/>
      <c r="B2750" s="28"/>
      <c r="C2750" s="24"/>
      <c r="D2750" s="25"/>
      <c r="E2750" s="25"/>
      <c r="F2750" s="25"/>
      <c r="G2750" s="28"/>
      <c r="H2750" s="32"/>
    </row>
    <row r="2751" spans="1:8" x14ac:dyDescent="0.3">
      <c r="A2751" s="27"/>
      <c r="B2751" s="28"/>
      <c r="C2751" s="24"/>
      <c r="D2751" s="25"/>
      <c r="E2751" s="25"/>
      <c r="F2751" s="25"/>
      <c r="G2751" s="28"/>
      <c r="H2751" s="32"/>
    </row>
    <row r="2752" spans="1:8" ht="15.6" x14ac:dyDescent="0.3">
      <c r="A2752" s="497" t="s">
        <v>97</v>
      </c>
      <c r="B2752" s="498"/>
      <c r="C2752" s="24"/>
      <c r="D2752" s="25"/>
      <c r="E2752" s="25"/>
      <c r="F2752" s="116" t="s">
        <v>46</v>
      </c>
      <c r="G2752" s="26"/>
      <c r="H2752" s="66">
        <f>E2727*C2727+E2728*C2728+E2729*C2729</f>
        <v>3000</v>
      </c>
    </row>
    <row r="2753" spans="1:8" ht="15.6" x14ac:dyDescent="0.3">
      <c r="A2753" s="497" t="s">
        <v>603</v>
      </c>
      <c r="B2753" s="498"/>
      <c r="C2753" s="498"/>
      <c r="D2753" s="498"/>
      <c r="E2753" s="67"/>
      <c r="F2753" s="116" t="s">
        <v>47</v>
      </c>
      <c r="G2753" s="26"/>
      <c r="H2753" s="66">
        <f>H2752*9%</f>
        <v>270</v>
      </c>
    </row>
    <row r="2754" spans="1:8" ht="15.6" x14ac:dyDescent="0.3">
      <c r="A2754" s="27"/>
      <c r="B2754" s="28"/>
      <c r="C2754" s="24"/>
      <c r="D2754" s="25"/>
      <c r="E2754" s="25"/>
      <c r="F2754" s="116" t="s">
        <v>48</v>
      </c>
      <c r="G2754" s="26"/>
      <c r="H2754" s="66">
        <f>H2752*9%</f>
        <v>270</v>
      </c>
    </row>
    <row r="2755" spans="1:8" ht="15.6" x14ac:dyDescent="0.3">
      <c r="A2755" s="497" t="s">
        <v>49</v>
      </c>
      <c r="B2755" s="498"/>
      <c r="C2755" s="498"/>
      <c r="D2755" s="25"/>
      <c r="E2755" s="25"/>
      <c r="F2755" s="116" t="s">
        <v>50</v>
      </c>
      <c r="G2755" s="26"/>
      <c r="H2755" s="66">
        <f>H2752+H2753+H2754</f>
        <v>3540</v>
      </c>
    </row>
    <row r="2756" spans="1:8" ht="26.4" x14ac:dyDescent="0.3">
      <c r="A2756" s="68" t="s">
        <v>22</v>
      </c>
      <c r="B2756" s="30" t="s">
        <v>51</v>
      </c>
      <c r="C2756" s="70" t="s">
        <v>24</v>
      </c>
      <c r="D2756" s="70" t="s">
        <v>25</v>
      </c>
      <c r="E2756" s="543" t="s">
        <v>52</v>
      </c>
      <c r="F2756" s="543"/>
      <c r="G2756" s="132"/>
      <c r="H2756" s="281"/>
    </row>
    <row r="2757" spans="1:8" x14ac:dyDescent="0.3">
      <c r="A2757" s="72">
        <v>0.18</v>
      </c>
      <c r="B2757" s="73">
        <f>H2752</f>
        <v>3000</v>
      </c>
      <c r="C2757" s="73">
        <f>H2753</f>
        <v>270</v>
      </c>
      <c r="D2757" s="73">
        <f>H2754</f>
        <v>270</v>
      </c>
      <c r="E2757" s="506">
        <f>C2757+D2757</f>
        <v>540</v>
      </c>
      <c r="F2757" s="507"/>
      <c r="G2757" s="74"/>
      <c r="H2757" s="75"/>
    </row>
    <row r="2758" spans="1:8" x14ac:dyDescent="0.3">
      <c r="A2758" s="452" t="s">
        <v>604</v>
      </c>
      <c r="B2758" s="453"/>
      <c r="C2758" s="453"/>
      <c r="D2758" s="453"/>
      <c r="E2758" s="453"/>
      <c r="F2758" s="453"/>
      <c r="G2758" s="36"/>
      <c r="H2758" s="79"/>
    </row>
    <row r="2759" spans="1:8" ht="15.6" x14ac:dyDescent="0.3">
      <c r="A2759" s="455" t="s">
        <v>53</v>
      </c>
      <c r="B2759" s="456"/>
      <c r="C2759" s="456"/>
      <c r="D2759" s="457"/>
      <c r="E2759" s="458" t="s">
        <v>54</v>
      </c>
      <c r="F2759" s="459"/>
      <c r="G2759" s="459"/>
      <c r="H2759" s="460"/>
    </row>
    <row r="2760" spans="1:8" x14ac:dyDescent="0.3">
      <c r="A2760" s="461" t="s">
        <v>55</v>
      </c>
      <c r="B2760" s="462"/>
      <c r="C2760" s="462"/>
      <c r="D2760" s="463"/>
      <c r="E2760" s="39"/>
      <c r="F2760" s="25"/>
      <c r="G2760" s="28"/>
      <c r="H2760" s="32"/>
    </row>
    <row r="2761" spans="1:8" x14ac:dyDescent="0.3">
      <c r="A2761" s="461" t="s">
        <v>56</v>
      </c>
      <c r="B2761" s="462"/>
      <c r="C2761" s="462"/>
      <c r="D2761" s="463"/>
      <c r="E2761" s="39"/>
      <c r="F2761" s="25"/>
      <c r="G2761" s="28"/>
      <c r="H2761" s="32"/>
    </row>
    <row r="2762" spans="1:8" x14ac:dyDescent="0.3">
      <c r="A2762" s="461" t="s">
        <v>57</v>
      </c>
      <c r="B2762" s="462"/>
      <c r="C2762" s="462"/>
      <c r="D2762" s="463"/>
      <c r="E2762" s="39"/>
      <c r="F2762" s="25"/>
      <c r="G2762" s="28"/>
      <c r="H2762" s="32"/>
    </row>
    <row r="2763" spans="1:8" ht="15.6" x14ac:dyDescent="0.3">
      <c r="A2763" s="464" t="s">
        <v>58</v>
      </c>
      <c r="B2763" s="465"/>
      <c r="C2763" s="465"/>
      <c r="D2763" s="510"/>
      <c r="E2763" s="466" t="s">
        <v>59</v>
      </c>
      <c r="F2763" s="467"/>
      <c r="G2763" s="467"/>
      <c r="H2763" s="468"/>
    </row>
    <row r="2766" spans="1:8" ht="44.4" x14ac:dyDescent="0.7">
      <c r="A2766" s="469" t="s">
        <v>0</v>
      </c>
      <c r="B2766" s="470"/>
      <c r="C2766" s="470"/>
      <c r="D2766" s="470"/>
      <c r="E2766" s="471" t="s">
        <v>1</v>
      </c>
      <c r="F2766" s="472"/>
      <c r="G2766" s="472"/>
      <c r="H2766" s="473"/>
    </row>
    <row r="2767" spans="1:8" ht="20.399999999999999" x14ac:dyDescent="0.35">
      <c r="A2767" s="265"/>
      <c r="B2767" s="649" t="s">
        <v>2</v>
      </c>
      <c r="C2767" s="649"/>
      <c r="D2767" s="649"/>
      <c r="E2767" s="474"/>
      <c r="F2767" s="474"/>
      <c r="G2767" s="474"/>
      <c r="H2767" s="475"/>
    </row>
    <row r="2768" spans="1:8" x14ac:dyDescent="0.3">
      <c r="A2768" s="477" t="s">
        <v>3</v>
      </c>
      <c r="B2768" s="478"/>
      <c r="C2768" s="479" t="s">
        <v>4</v>
      </c>
      <c r="D2768" s="479"/>
      <c r="E2768" s="480" t="s">
        <v>5</v>
      </c>
      <c r="F2768" s="480"/>
      <c r="G2768" s="480"/>
      <c r="H2768" s="480"/>
    </row>
    <row r="2769" spans="1:8" ht="15.6" x14ac:dyDescent="0.3">
      <c r="A2769" s="266" t="s">
        <v>568</v>
      </c>
      <c r="B2769" s="267"/>
      <c r="C2769" s="481" t="s">
        <v>7</v>
      </c>
      <c r="D2769" s="481"/>
      <c r="E2769" s="482">
        <v>61</v>
      </c>
      <c r="F2769" s="482"/>
      <c r="G2769" s="44" t="s">
        <v>8</v>
      </c>
      <c r="H2769" s="9">
        <v>45876</v>
      </c>
    </row>
    <row r="2770" spans="1:8" ht="15.6" x14ac:dyDescent="0.3">
      <c r="A2770" s="721" t="s">
        <v>569</v>
      </c>
      <c r="B2770" s="722"/>
      <c r="C2770" s="481" t="s">
        <v>10</v>
      </c>
      <c r="D2770" s="481"/>
      <c r="E2770" s="482"/>
      <c r="F2770" s="482"/>
      <c r="G2770" s="44" t="s">
        <v>8</v>
      </c>
      <c r="H2770" s="6"/>
    </row>
    <row r="2771" spans="1:8" ht="15" x14ac:dyDescent="0.3">
      <c r="A2771" s="721" t="s">
        <v>613</v>
      </c>
      <c r="B2771" s="722"/>
      <c r="C2771" s="519" t="s">
        <v>12</v>
      </c>
      <c r="D2771" s="519"/>
      <c r="E2771" s="613" t="s">
        <v>573</v>
      </c>
      <c r="F2771" s="614"/>
      <c r="G2771" s="48" t="s">
        <v>8</v>
      </c>
      <c r="H2771" s="11" t="s">
        <v>572</v>
      </c>
    </row>
    <row r="2772" spans="1:8" ht="15.6" x14ac:dyDescent="0.3">
      <c r="A2772" s="721" t="s">
        <v>614</v>
      </c>
      <c r="B2772" s="722"/>
      <c r="C2772" s="481" t="s">
        <v>15</v>
      </c>
      <c r="D2772" s="481"/>
      <c r="E2772" s="523" t="s">
        <v>570</v>
      </c>
      <c r="F2772" s="524"/>
      <c r="G2772" s="723"/>
      <c r="H2772" s="49"/>
    </row>
    <row r="2773" spans="1:8" ht="15" x14ac:dyDescent="0.3">
      <c r="A2773" s="493" t="s">
        <v>17</v>
      </c>
      <c r="B2773" s="495" t="s">
        <v>18</v>
      </c>
      <c r="C2773" s="494" t="s">
        <v>19</v>
      </c>
      <c r="D2773" s="494" t="s">
        <v>20</v>
      </c>
      <c r="E2773" s="494" t="s">
        <v>21</v>
      </c>
      <c r="F2773" s="494" t="s">
        <v>22</v>
      </c>
      <c r="G2773" s="494"/>
      <c r="H2773" s="492" t="s">
        <v>23</v>
      </c>
    </row>
    <row r="2774" spans="1:8" ht="27.6" x14ac:dyDescent="0.3">
      <c r="A2774" s="527"/>
      <c r="B2774" s="496"/>
      <c r="C2774" s="494"/>
      <c r="D2774" s="494"/>
      <c r="E2774" s="494"/>
      <c r="F2774" s="53" t="s">
        <v>24</v>
      </c>
      <c r="G2774" s="53" t="s">
        <v>25</v>
      </c>
      <c r="H2774" s="492"/>
    </row>
    <row r="2775" spans="1:8" x14ac:dyDescent="0.3">
      <c r="A2775" s="268">
        <v>1</v>
      </c>
      <c r="B2775" s="269" t="s">
        <v>574</v>
      </c>
      <c r="C2775" s="270">
        <v>1</v>
      </c>
      <c r="D2775" s="271">
        <v>998719</v>
      </c>
      <c r="E2775" s="272">
        <v>5084.75</v>
      </c>
      <c r="F2775" s="93">
        <f>C2775*E2775*9%</f>
        <v>457.6275</v>
      </c>
      <c r="G2775" s="93">
        <f>C2775*E2775*9%</f>
        <v>457.6275</v>
      </c>
      <c r="H2775" s="62">
        <f>C2775*E2775+F2775+G2775</f>
        <v>6000.0049999999992</v>
      </c>
    </row>
    <row r="2776" spans="1:8" x14ac:dyDescent="0.3">
      <c r="A2776" s="273"/>
      <c r="B2776" s="274"/>
      <c r="C2776" s="275"/>
      <c r="D2776" s="271"/>
      <c r="E2776" s="276"/>
      <c r="F2776" s="93"/>
      <c r="G2776" s="93"/>
      <c r="H2776" s="62"/>
    </row>
    <row r="2777" spans="1:8" x14ac:dyDescent="0.3">
      <c r="A2777" s="268"/>
      <c r="B2777" s="277"/>
      <c r="C2777" s="275"/>
      <c r="D2777" s="271"/>
      <c r="E2777" s="276"/>
      <c r="F2777" s="93"/>
      <c r="G2777" s="93"/>
      <c r="H2777" s="62"/>
    </row>
    <row r="2778" spans="1:8" x14ac:dyDescent="0.3">
      <c r="A2778" s="278"/>
      <c r="B2778" s="279"/>
      <c r="C2778" s="55"/>
      <c r="D2778" s="271"/>
      <c r="E2778" s="276"/>
      <c r="F2778" s="93"/>
      <c r="G2778" s="93"/>
      <c r="H2778" s="62"/>
    </row>
    <row r="2779" spans="1:8" x14ac:dyDescent="0.3">
      <c r="A2779" s="280"/>
      <c r="B2779" s="60"/>
      <c r="C2779" s="57"/>
      <c r="D2779" s="271"/>
      <c r="E2779" s="57"/>
      <c r="F2779" s="93"/>
      <c r="G2779" s="93"/>
      <c r="H2779" s="62"/>
    </row>
    <row r="2780" spans="1:8" x14ac:dyDescent="0.3">
      <c r="A2780" s="55"/>
      <c r="B2780" s="94"/>
      <c r="C2780" s="55"/>
      <c r="D2780" s="47"/>
      <c r="E2780" s="47"/>
      <c r="F2780" s="115"/>
      <c r="G2780" s="115"/>
      <c r="H2780" s="47"/>
    </row>
    <row r="2781" spans="1:8" x14ac:dyDescent="0.3">
      <c r="A2781" s="27"/>
      <c r="B2781" s="28"/>
      <c r="C2781" s="24"/>
      <c r="D2781" s="25"/>
      <c r="E2781" s="25"/>
      <c r="F2781" s="282"/>
      <c r="G2781" s="282"/>
      <c r="H2781" s="32"/>
    </row>
    <row r="2782" spans="1:8" x14ac:dyDescent="0.3">
      <c r="A2782" s="27"/>
      <c r="B2782" s="28"/>
      <c r="C2782" s="24"/>
      <c r="D2782" s="25"/>
      <c r="E2782" s="25"/>
      <c r="F2782" s="282"/>
      <c r="G2782" s="282"/>
      <c r="H2782" s="32"/>
    </row>
    <row r="2783" spans="1:8" x14ac:dyDescent="0.3">
      <c r="A2783" s="27"/>
      <c r="B2783" s="28"/>
      <c r="C2783" s="24"/>
      <c r="D2783" s="25"/>
      <c r="E2783" s="25"/>
      <c r="F2783" s="282"/>
      <c r="G2783" s="282"/>
      <c r="H2783" s="32"/>
    </row>
    <row r="2784" spans="1:8" x14ac:dyDescent="0.3">
      <c r="A2784" s="27"/>
      <c r="B2784" s="28"/>
      <c r="C2784" s="24"/>
      <c r="D2784" s="25"/>
      <c r="E2784" s="25"/>
      <c r="F2784" s="282"/>
      <c r="G2784" s="282"/>
      <c r="H2784" s="32"/>
    </row>
    <row r="2785" spans="1:8" x14ac:dyDescent="0.3">
      <c r="A2785" s="27"/>
      <c r="B2785" s="28"/>
      <c r="C2785" s="24"/>
      <c r="D2785" s="25"/>
      <c r="E2785" s="25"/>
      <c r="F2785" s="282"/>
      <c r="G2785" s="282"/>
      <c r="H2785" s="32"/>
    </row>
    <row r="2786" spans="1:8" x14ac:dyDescent="0.3">
      <c r="A2786" s="27"/>
      <c r="B2786" s="28"/>
      <c r="C2786" s="24"/>
      <c r="D2786" s="25"/>
      <c r="E2786" s="25"/>
      <c r="F2786" s="282"/>
      <c r="G2786" s="282"/>
      <c r="H2786" s="32"/>
    </row>
    <row r="2787" spans="1:8" x14ac:dyDescent="0.3">
      <c r="A2787" s="27"/>
      <c r="B2787" s="28"/>
      <c r="C2787" s="24"/>
      <c r="D2787" s="25"/>
      <c r="E2787" s="25"/>
      <c r="F2787" s="282"/>
      <c r="G2787" s="282"/>
      <c r="H2787" s="32"/>
    </row>
    <row r="2788" spans="1:8" x14ac:dyDescent="0.3">
      <c r="A2788" s="27"/>
      <c r="B2788" s="28"/>
      <c r="C2788" s="24"/>
      <c r="D2788" s="25"/>
      <c r="E2788" s="25"/>
      <c r="F2788" s="282"/>
      <c r="G2788" s="282"/>
      <c r="H2788" s="32"/>
    </row>
    <row r="2789" spans="1:8" x14ac:dyDescent="0.3">
      <c r="A2789" s="27"/>
      <c r="B2789" s="28"/>
      <c r="C2789" s="24"/>
      <c r="D2789" s="25"/>
      <c r="E2789" s="25"/>
      <c r="F2789" s="282"/>
      <c r="G2789" s="282"/>
      <c r="H2789" s="32"/>
    </row>
    <row r="2790" spans="1:8" x14ac:dyDescent="0.3">
      <c r="A2790" s="27"/>
      <c r="B2790" s="28"/>
      <c r="C2790" s="24"/>
      <c r="D2790" s="25"/>
      <c r="E2790" s="25"/>
      <c r="F2790" s="282"/>
      <c r="G2790" s="282"/>
      <c r="H2790" s="32"/>
    </row>
    <row r="2791" spans="1:8" x14ac:dyDescent="0.3">
      <c r="A2791" s="27"/>
      <c r="B2791" s="28"/>
      <c r="C2791" s="24"/>
      <c r="D2791" s="25"/>
      <c r="E2791" s="25"/>
      <c r="F2791" s="282"/>
      <c r="G2791" s="282"/>
      <c r="H2791" s="32"/>
    </row>
    <row r="2792" spans="1:8" x14ac:dyDescent="0.3">
      <c r="A2792" s="27"/>
      <c r="B2792" s="28"/>
      <c r="C2792" s="24"/>
      <c r="D2792" s="25"/>
      <c r="E2792" s="25"/>
      <c r="F2792" s="282"/>
      <c r="G2792" s="282"/>
      <c r="H2792" s="32"/>
    </row>
    <row r="2793" spans="1:8" x14ac:dyDescent="0.3">
      <c r="A2793" s="27"/>
      <c r="B2793" s="28"/>
      <c r="C2793" s="24"/>
      <c r="D2793" s="25"/>
      <c r="E2793" s="25"/>
      <c r="F2793" s="282"/>
      <c r="G2793" s="282"/>
      <c r="H2793" s="32"/>
    </row>
    <row r="2794" spans="1:8" x14ac:dyDescent="0.3">
      <c r="A2794" s="27"/>
      <c r="B2794" s="28"/>
      <c r="C2794" s="24"/>
      <c r="D2794" s="25"/>
      <c r="E2794" s="25"/>
      <c r="F2794" s="282"/>
      <c r="G2794" s="282"/>
      <c r="H2794" s="32"/>
    </row>
    <row r="2795" spans="1:8" x14ac:dyDescent="0.3">
      <c r="A2795" s="27"/>
      <c r="B2795" s="28"/>
      <c r="C2795" s="24"/>
      <c r="D2795" s="25"/>
      <c r="E2795" s="25"/>
      <c r="F2795" s="25"/>
      <c r="G2795" s="28"/>
      <c r="H2795" s="32"/>
    </row>
    <row r="2796" spans="1:8" x14ac:dyDescent="0.3">
      <c r="A2796" s="27"/>
      <c r="B2796" s="28"/>
      <c r="C2796" s="24"/>
      <c r="D2796" s="25"/>
      <c r="E2796" s="25"/>
      <c r="F2796" s="25"/>
      <c r="G2796" s="28"/>
      <c r="H2796" s="32"/>
    </row>
    <row r="2797" spans="1:8" x14ac:dyDescent="0.3">
      <c r="A2797" s="27"/>
      <c r="B2797" s="28"/>
      <c r="C2797" s="24"/>
      <c r="D2797" s="25"/>
      <c r="E2797" s="25"/>
      <c r="F2797" s="25"/>
      <c r="G2797" s="28"/>
      <c r="H2797" s="32"/>
    </row>
    <row r="2798" spans="1:8" x14ac:dyDescent="0.3">
      <c r="A2798" s="27"/>
      <c r="B2798" s="28"/>
      <c r="C2798" s="24"/>
      <c r="D2798" s="25"/>
      <c r="E2798" s="25"/>
      <c r="F2798" s="25"/>
      <c r="G2798" s="28"/>
      <c r="H2798" s="32"/>
    </row>
    <row r="2799" spans="1:8" ht="15.6" x14ac:dyDescent="0.3">
      <c r="A2799" s="497" t="s">
        <v>97</v>
      </c>
      <c r="B2799" s="498"/>
      <c r="C2799" s="24"/>
      <c r="D2799" s="25"/>
      <c r="E2799" s="25"/>
      <c r="F2799" s="116" t="s">
        <v>46</v>
      </c>
      <c r="G2799" s="26"/>
      <c r="H2799" s="66">
        <f>E2775*C2775+E2776*C2776+E2777*C2777</f>
        <v>5084.75</v>
      </c>
    </row>
    <row r="2800" spans="1:8" ht="15.6" x14ac:dyDescent="0.3">
      <c r="A2800" s="497" t="s">
        <v>605</v>
      </c>
      <c r="B2800" s="498"/>
      <c r="C2800" s="498"/>
      <c r="D2800" s="498"/>
      <c r="E2800" s="67"/>
      <c r="F2800" s="116" t="s">
        <v>47</v>
      </c>
      <c r="G2800" s="26"/>
      <c r="H2800" s="66">
        <f>H2799*9%</f>
        <v>457.6275</v>
      </c>
    </row>
    <row r="2801" spans="1:8" ht="15.6" x14ac:dyDescent="0.3">
      <c r="A2801" s="27"/>
      <c r="B2801" s="28"/>
      <c r="C2801" s="24"/>
      <c r="D2801" s="25"/>
      <c r="E2801" s="25"/>
      <c r="F2801" s="116" t="s">
        <v>48</v>
      </c>
      <c r="G2801" s="26"/>
      <c r="H2801" s="66">
        <f>H2799*9%</f>
        <v>457.6275</v>
      </c>
    </row>
    <row r="2802" spans="1:8" ht="15.6" x14ac:dyDescent="0.3">
      <c r="A2802" s="497" t="s">
        <v>49</v>
      </c>
      <c r="B2802" s="498"/>
      <c r="C2802" s="498"/>
      <c r="D2802" s="25"/>
      <c r="E2802" s="25"/>
      <c r="F2802" s="116" t="s">
        <v>50</v>
      </c>
      <c r="G2802" s="26"/>
      <c r="H2802" s="66">
        <f>H2799+H2800+H2801</f>
        <v>6000.0049999999992</v>
      </c>
    </row>
    <row r="2803" spans="1:8" ht="26.4" x14ac:dyDescent="0.3">
      <c r="A2803" s="68" t="s">
        <v>22</v>
      </c>
      <c r="B2803" s="30" t="s">
        <v>51</v>
      </c>
      <c r="C2803" s="70" t="s">
        <v>24</v>
      </c>
      <c r="D2803" s="70" t="s">
        <v>25</v>
      </c>
      <c r="E2803" s="543" t="s">
        <v>52</v>
      </c>
      <c r="F2803" s="543"/>
      <c r="G2803" s="132"/>
      <c r="H2803" s="281"/>
    </row>
    <row r="2804" spans="1:8" x14ac:dyDescent="0.3">
      <c r="A2804" s="72">
        <v>0.18</v>
      </c>
      <c r="B2804" s="73">
        <f>H2799</f>
        <v>5084.75</v>
      </c>
      <c r="C2804" s="73">
        <f>H2800</f>
        <v>457.6275</v>
      </c>
      <c r="D2804" s="73">
        <f>H2801</f>
        <v>457.6275</v>
      </c>
      <c r="E2804" s="506">
        <f>C2804+D2804</f>
        <v>915.255</v>
      </c>
      <c r="F2804" s="507"/>
      <c r="G2804" s="74"/>
      <c r="H2804" s="75"/>
    </row>
    <row r="2805" spans="1:8" x14ac:dyDescent="0.3">
      <c r="A2805" s="452" t="s">
        <v>606</v>
      </c>
      <c r="B2805" s="453"/>
      <c r="C2805" s="453"/>
      <c r="D2805" s="453"/>
      <c r="E2805" s="453"/>
      <c r="F2805" s="453"/>
      <c r="G2805" s="36"/>
      <c r="H2805" s="79"/>
    </row>
    <row r="2806" spans="1:8" ht="15.6" x14ac:dyDescent="0.3">
      <c r="A2806" s="455" t="s">
        <v>53</v>
      </c>
      <c r="B2806" s="456"/>
      <c r="C2806" s="456"/>
      <c r="D2806" s="457"/>
      <c r="E2806" s="458" t="s">
        <v>54</v>
      </c>
      <c r="F2806" s="459"/>
      <c r="G2806" s="459"/>
      <c r="H2806" s="460"/>
    </row>
    <row r="2807" spans="1:8" x14ac:dyDescent="0.3">
      <c r="A2807" s="461" t="s">
        <v>55</v>
      </c>
      <c r="B2807" s="462"/>
      <c r="C2807" s="462"/>
      <c r="D2807" s="463"/>
      <c r="E2807" s="39"/>
      <c r="F2807" s="25"/>
      <c r="G2807" s="28"/>
      <c r="H2807" s="32"/>
    </row>
    <row r="2808" spans="1:8" x14ac:dyDescent="0.3">
      <c r="A2808" s="461" t="s">
        <v>56</v>
      </c>
      <c r="B2808" s="462"/>
      <c r="C2808" s="462"/>
      <c r="D2808" s="463"/>
      <c r="E2808" s="39"/>
      <c r="F2808" s="25"/>
      <c r="G2808" s="28"/>
      <c r="H2808" s="32"/>
    </row>
    <row r="2809" spans="1:8" x14ac:dyDescent="0.3">
      <c r="A2809" s="461" t="s">
        <v>57</v>
      </c>
      <c r="B2809" s="462"/>
      <c r="C2809" s="462"/>
      <c r="D2809" s="463"/>
      <c r="E2809" s="39"/>
      <c r="F2809" s="25"/>
      <c r="G2809" s="28"/>
      <c r="H2809" s="32"/>
    </row>
    <row r="2810" spans="1:8" ht="15.6" x14ac:dyDescent="0.3">
      <c r="A2810" s="464" t="s">
        <v>58</v>
      </c>
      <c r="B2810" s="465"/>
      <c r="C2810" s="465"/>
      <c r="D2810" s="510"/>
      <c r="E2810" s="466" t="s">
        <v>59</v>
      </c>
      <c r="F2810" s="467"/>
      <c r="G2810" s="467"/>
      <c r="H2810" s="468"/>
    </row>
    <row r="2812" spans="1:8" ht="44.4" x14ac:dyDescent="0.7">
      <c r="A2812" s="469" t="s">
        <v>0</v>
      </c>
      <c r="B2812" s="470"/>
      <c r="C2812" s="470"/>
      <c r="D2812" s="470"/>
      <c r="E2812" s="471" t="s">
        <v>1</v>
      </c>
      <c r="F2812" s="472"/>
      <c r="G2812" s="472"/>
      <c r="H2812" s="473"/>
    </row>
    <row r="2813" spans="1:8" ht="20.399999999999999" x14ac:dyDescent="0.35">
      <c r="A2813" s="1"/>
      <c r="B2813" s="649" t="s">
        <v>2</v>
      </c>
      <c r="C2813" s="649"/>
      <c r="D2813" s="649"/>
      <c r="E2813" s="474"/>
      <c r="F2813" s="474"/>
      <c r="G2813" s="474"/>
      <c r="H2813" s="475"/>
    </row>
    <row r="2814" spans="1:8" x14ac:dyDescent="0.3">
      <c r="A2814" s="724" t="s">
        <v>3</v>
      </c>
      <c r="B2814" s="575"/>
      <c r="C2814" s="575"/>
      <c r="D2814" s="499" t="s">
        <v>4</v>
      </c>
      <c r="E2814" s="499"/>
      <c r="F2814" s="235"/>
      <c r="G2814" s="725" t="s">
        <v>567</v>
      </c>
      <c r="H2814" s="726"/>
    </row>
    <row r="2815" spans="1:8" ht="15.6" x14ac:dyDescent="0.3">
      <c r="A2815" s="138" t="s">
        <v>6</v>
      </c>
      <c r="B2815" s="5"/>
      <c r="C2815" s="481" t="s">
        <v>7</v>
      </c>
      <c r="D2815" s="481"/>
      <c r="E2815" s="482">
        <v>62</v>
      </c>
      <c r="F2815" s="482"/>
      <c r="G2815" s="44" t="s">
        <v>8</v>
      </c>
      <c r="H2815" s="283">
        <v>45876</v>
      </c>
    </row>
    <row r="2816" spans="1:8" ht="15.6" x14ac:dyDescent="0.3">
      <c r="A2816" s="108" t="s">
        <v>576</v>
      </c>
      <c r="B2816" s="284"/>
      <c r="C2816" s="481" t="s">
        <v>10</v>
      </c>
      <c r="D2816" s="481"/>
      <c r="E2816" s="482"/>
      <c r="F2816" s="482"/>
      <c r="G2816" s="44" t="s">
        <v>8</v>
      </c>
      <c r="H2816" s="6"/>
    </row>
    <row r="2817" spans="1:8" ht="15" x14ac:dyDescent="0.3">
      <c r="A2817" s="517" t="s">
        <v>577</v>
      </c>
      <c r="B2817" s="553"/>
      <c r="C2817" s="519" t="s">
        <v>12</v>
      </c>
      <c r="D2817" s="519"/>
      <c r="E2817" s="727"/>
      <c r="F2817" s="728"/>
      <c r="G2817" s="48" t="s">
        <v>8</v>
      </c>
      <c r="H2817" s="11"/>
    </row>
    <row r="2818" spans="1:8" ht="15.6" x14ac:dyDescent="0.3">
      <c r="A2818" s="595" t="s">
        <v>578</v>
      </c>
      <c r="B2818" s="553"/>
      <c r="C2818" s="481" t="s">
        <v>15</v>
      </c>
      <c r="D2818" s="481"/>
      <c r="E2818" s="631" t="s">
        <v>579</v>
      </c>
      <c r="F2818" s="632"/>
      <c r="G2818" s="633"/>
      <c r="H2818" s="49"/>
    </row>
    <row r="2819" spans="1:8" ht="15.6" x14ac:dyDescent="0.3">
      <c r="A2819" s="678" t="s">
        <v>580</v>
      </c>
      <c r="B2819" s="679"/>
      <c r="C2819" s="24"/>
      <c r="D2819" s="25"/>
      <c r="E2819" s="50"/>
      <c r="F2819" s="50"/>
      <c r="G2819" s="51"/>
      <c r="H2819" s="52"/>
    </row>
    <row r="2820" spans="1:8" x14ac:dyDescent="0.3">
      <c r="A2820" s="477" t="s">
        <v>3</v>
      </c>
      <c r="B2820" s="478"/>
      <c r="C2820" s="479" t="s">
        <v>4</v>
      </c>
      <c r="D2820" s="479"/>
      <c r="E2820" s="480" t="s">
        <v>5</v>
      </c>
      <c r="F2820" s="480"/>
      <c r="G2820" s="480"/>
      <c r="H2820" s="480"/>
    </row>
    <row r="2821" spans="1:8" ht="15" x14ac:dyDescent="0.3">
      <c r="A2821" s="492" t="s">
        <v>17</v>
      </c>
      <c r="B2821" s="494" t="s">
        <v>18</v>
      </c>
      <c r="C2821" s="494" t="s">
        <v>19</v>
      </c>
      <c r="D2821" s="494" t="s">
        <v>20</v>
      </c>
      <c r="E2821" s="494" t="s">
        <v>21</v>
      </c>
      <c r="F2821" s="494" t="s">
        <v>22</v>
      </c>
      <c r="G2821" s="494"/>
      <c r="H2821" s="492" t="s">
        <v>23</v>
      </c>
    </row>
    <row r="2822" spans="1:8" ht="27.6" x14ac:dyDescent="0.3">
      <c r="A2822" s="492"/>
      <c r="B2822" s="494"/>
      <c r="C2822" s="494"/>
      <c r="D2822" s="494"/>
      <c r="E2822" s="494"/>
      <c r="F2822" s="53" t="s">
        <v>24</v>
      </c>
      <c r="G2822" s="53" t="s">
        <v>25</v>
      </c>
      <c r="H2822" s="492"/>
    </row>
    <row r="2823" spans="1:8" ht="18" customHeight="1" x14ac:dyDescent="0.3">
      <c r="A2823" s="57">
        <v>1</v>
      </c>
      <c r="B2823" s="113" t="s">
        <v>583</v>
      </c>
      <c r="C2823" s="57">
        <v>1</v>
      </c>
      <c r="D2823" s="56">
        <v>998719</v>
      </c>
      <c r="E2823" s="57">
        <v>25000</v>
      </c>
      <c r="F2823" s="93">
        <f>C2823*E2823*9%</f>
        <v>2250</v>
      </c>
      <c r="G2823" s="93">
        <f>C2823*E2823*9%</f>
        <v>2250</v>
      </c>
      <c r="H2823" s="62">
        <f>C2823*E2823+F2823+G2823</f>
        <v>29500</v>
      </c>
    </row>
    <row r="2824" spans="1:8" x14ac:dyDescent="0.3">
      <c r="A2824" s="55">
        <v>2</v>
      </c>
      <c r="B2824" s="113" t="s">
        <v>584</v>
      </c>
      <c r="C2824" s="55">
        <v>1</v>
      </c>
      <c r="D2824" s="56">
        <v>998719</v>
      </c>
      <c r="E2824" s="55">
        <v>20000</v>
      </c>
      <c r="F2824" s="93">
        <f>C2824*E2824*9%</f>
        <v>1800</v>
      </c>
      <c r="G2824" s="93">
        <f>C2824*E2824*9%</f>
        <v>1800</v>
      </c>
      <c r="H2824" s="62">
        <f>C2824*E2824+F2824+G2824</f>
        <v>23600</v>
      </c>
    </row>
    <row r="2825" spans="1:8" x14ac:dyDescent="0.3">
      <c r="A2825" s="55">
        <v>3</v>
      </c>
      <c r="B2825" s="113" t="s">
        <v>584</v>
      </c>
      <c r="C2825" s="55">
        <v>1</v>
      </c>
      <c r="D2825" s="56">
        <v>998719</v>
      </c>
      <c r="E2825" s="55">
        <v>40000</v>
      </c>
      <c r="F2825" s="93">
        <f>C2825*E2825*9%</f>
        <v>3600</v>
      </c>
      <c r="G2825" s="93">
        <f>C2825*E2825*9%</f>
        <v>3600</v>
      </c>
      <c r="H2825" s="62">
        <f>C2825*E2825+F2825+G2825</f>
        <v>47200</v>
      </c>
    </row>
    <row r="2826" spans="1:8" x14ac:dyDescent="0.3">
      <c r="A2826" s="55"/>
      <c r="B2826" s="285"/>
      <c r="C2826" s="55"/>
      <c r="D2826" s="61"/>
      <c r="E2826" s="55"/>
      <c r="F2826" s="286"/>
      <c r="G2826" s="286"/>
      <c r="H2826" s="55"/>
    </row>
    <row r="2827" spans="1:8" x14ac:dyDescent="0.3">
      <c r="A2827" s="55"/>
      <c r="B2827" s="285"/>
      <c r="C2827" s="55"/>
      <c r="D2827" s="61"/>
      <c r="E2827" s="55"/>
      <c r="F2827" s="286"/>
      <c r="G2827" s="286"/>
      <c r="H2827" s="55"/>
    </row>
    <row r="2828" spans="1:8" x14ac:dyDescent="0.3">
      <c r="A2828" s="55"/>
      <c r="B2828" s="60"/>
      <c r="C2828" s="55"/>
      <c r="D2828" s="61"/>
      <c r="E2828" s="57"/>
      <c r="F2828" s="115"/>
      <c r="G2828" s="115"/>
      <c r="H2828" s="57"/>
    </row>
    <row r="2829" spans="1:8" x14ac:dyDescent="0.3">
      <c r="A2829" s="55"/>
      <c r="B2829" s="60"/>
      <c r="C2829" s="55"/>
      <c r="D2829" s="56"/>
      <c r="E2829" s="57"/>
      <c r="F2829" s="115"/>
      <c r="G2829" s="115"/>
      <c r="H2829" s="57"/>
    </row>
    <row r="2830" spans="1:8" x14ac:dyDescent="0.3">
      <c r="A2830" s="55"/>
      <c r="B2830" s="60"/>
      <c r="C2830" s="55"/>
      <c r="D2830" s="56"/>
      <c r="E2830" s="57"/>
      <c r="F2830" s="115"/>
      <c r="G2830" s="115"/>
      <c r="H2830" s="57"/>
    </row>
    <row r="2831" spans="1:8" x14ac:dyDescent="0.3">
      <c r="A2831" s="55"/>
      <c r="B2831" s="94"/>
      <c r="C2831" s="55"/>
      <c r="D2831" s="47"/>
      <c r="E2831" s="47"/>
      <c r="F2831" s="115"/>
      <c r="G2831" s="115"/>
      <c r="H2831" s="47"/>
    </row>
    <row r="2832" spans="1:8" x14ac:dyDescent="0.3">
      <c r="A2832" s="27"/>
      <c r="B2832" s="28"/>
      <c r="C2832" s="24"/>
      <c r="D2832" s="25"/>
      <c r="E2832" s="25"/>
      <c r="F2832" s="282"/>
      <c r="G2832" s="282"/>
      <c r="H2832" s="32"/>
    </row>
    <row r="2833" spans="1:8" x14ac:dyDescent="0.3">
      <c r="A2833" s="27"/>
      <c r="B2833" s="28"/>
      <c r="C2833" s="24"/>
      <c r="D2833" s="25"/>
      <c r="E2833" s="25"/>
      <c r="F2833" s="282"/>
      <c r="G2833" s="282"/>
      <c r="H2833" s="32"/>
    </row>
    <row r="2834" spans="1:8" x14ac:dyDescent="0.3">
      <c r="A2834" s="27"/>
      <c r="B2834" s="28"/>
      <c r="C2834" s="24"/>
      <c r="D2834" s="25"/>
      <c r="E2834" s="25"/>
      <c r="F2834" s="282"/>
      <c r="G2834" s="282"/>
      <c r="H2834" s="32"/>
    </row>
    <row r="2835" spans="1:8" x14ac:dyDescent="0.3">
      <c r="A2835" s="27"/>
      <c r="B2835" s="28"/>
      <c r="C2835" s="24"/>
      <c r="D2835" s="25"/>
      <c r="E2835" s="25"/>
      <c r="F2835" s="282"/>
      <c r="G2835" s="282"/>
      <c r="H2835" s="32"/>
    </row>
    <row r="2836" spans="1:8" x14ac:dyDescent="0.3">
      <c r="A2836" s="27"/>
      <c r="B2836" s="28"/>
      <c r="C2836" s="24"/>
      <c r="D2836" s="25"/>
      <c r="E2836" s="25"/>
      <c r="F2836" s="282"/>
      <c r="G2836" s="282"/>
      <c r="H2836" s="32"/>
    </row>
    <row r="2837" spans="1:8" x14ac:dyDescent="0.3">
      <c r="A2837" s="27"/>
      <c r="B2837" s="28"/>
      <c r="C2837" s="24"/>
      <c r="D2837" s="25"/>
      <c r="E2837" s="25"/>
      <c r="F2837" s="282"/>
      <c r="G2837" s="282"/>
      <c r="H2837" s="32"/>
    </row>
    <row r="2838" spans="1:8" x14ac:dyDescent="0.3">
      <c r="A2838" s="27"/>
      <c r="B2838" s="28"/>
      <c r="C2838" s="24"/>
      <c r="D2838" s="25"/>
      <c r="E2838" s="25"/>
      <c r="F2838" s="25"/>
      <c r="G2838" s="28"/>
      <c r="H2838" s="32"/>
    </row>
    <row r="2839" spans="1:8" x14ac:dyDescent="0.3">
      <c r="A2839" s="27"/>
      <c r="B2839" s="28"/>
      <c r="C2839" s="24"/>
      <c r="D2839" s="25"/>
      <c r="E2839" s="25"/>
      <c r="F2839" s="25"/>
      <c r="G2839" s="28"/>
      <c r="H2839" s="32"/>
    </row>
    <row r="2840" spans="1:8" x14ac:dyDescent="0.3">
      <c r="A2840" s="27"/>
      <c r="B2840" s="28"/>
      <c r="C2840" s="24"/>
      <c r="D2840" s="25"/>
      <c r="E2840" s="25"/>
      <c r="F2840" s="25"/>
      <c r="G2840" s="28"/>
      <c r="H2840" s="32"/>
    </row>
    <row r="2841" spans="1:8" x14ac:dyDescent="0.3">
      <c r="A2841" s="27"/>
      <c r="B2841" s="28"/>
      <c r="C2841" s="24"/>
      <c r="D2841" s="25"/>
      <c r="E2841" s="25"/>
      <c r="F2841" s="25"/>
      <c r="G2841" s="28"/>
      <c r="H2841" s="32"/>
    </row>
    <row r="2842" spans="1:8" x14ac:dyDescent="0.3">
      <c r="A2842" s="27"/>
      <c r="B2842" s="28"/>
      <c r="C2842" s="24"/>
      <c r="D2842" s="25"/>
      <c r="E2842" s="25"/>
      <c r="F2842" s="25"/>
      <c r="G2842" s="28"/>
      <c r="H2842" s="32"/>
    </row>
    <row r="2843" spans="1:8" x14ac:dyDescent="0.3">
      <c r="A2843" s="27"/>
      <c r="B2843" s="28"/>
      <c r="C2843" s="24"/>
      <c r="D2843" s="25"/>
      <c r="E2843" s="25"/>
      <c r="F2843" s="25"/>
      <c r="G2843" s="28"/>
      <c r="H2843" s="32"/>
    </row>
    <row r="2844" spans="1:8" x14ac:dyDescent="0.3">
      <c r="A2844" s="27"/>
      <c r="B2844" s="28"/>
      <c r="C2844" s="24"/>
      <c r="D2844" s="25"/>
      <c r="E2844" s="25"/>
      <c r="F2844" s="25"/>
      <c r="G2844" s="28"/>
      <c r="H2844" s="32"/>
    </row>
    <row r="2845" spans="1:8" ht="15.6" x14ac:dyDescent="0.3">
      <c r="A2845" s="497" t="s">
        <v>97</v>
      </c>
      <c r="B2845" s="498"/>
      <c r="C2845" s="24"/>
      <c r="D2845" s="25"/>
      <c r="E2845" s="25"/>
      <c r="F2845" s="116" t="s">
        <v>46</v>
      </c>
      <c r="G2845" s="26"/>
      <c r="H2845" s="66">
        <v>85000</v>
      </c>
    </row>
    <row r="2846" spans="1:8" ht="15.6" x14ac:dyDescent="0.3">
      <c r="A2846" s="497" t="s">
        <v>581</v>
      </c>
      <c r="B2846" s="498"/>
      <c r="C2846" s="498"/>
      <c r="D2846" s="498"/>
      <c r="E2846" s="67"/>
      <c r="F2846" s="116" t="s">
        <v>47</v>
      </c>
      <c r="G2846" s="26"/>
      <c r="H2846" s="66">
        <f>H2845*9%</f>
        <v>7650</v>
      </c>
    </row>
    <row r="2847" spans="1:8" ht="15.6" x14ac:dyDescent="0.3">
      <c r="A2847" s="27"/>
      <c r="B2847" s="28"/>
      <c r="C2847" s="24"/>
      <c r="D2847" s="25"/>
      <c r="E2847" s="25"/>
      <c r="F2847" s="116" t="s">
        <v>48</v>
      </c>
      <c r="G2847" s="26"/>
      <c r="H2847" s="66">
        <f>H2845*9%</f>
        <v>7650</v>
      </c>
    </row>
    <row r="2848" spans="1:8" ht="15.6" x14ac:dyDescent="0.3">
      <c r="A2848" s="497" t="s">
        <v>49</v>
      </c>
      <c r="B2848" s="498"/>
      <c r="C2848" s="498"/>
      <c r="D2848" s="25"/>
      <c r="E2848" s="25"/>
      <c r="F2848" s="116" t="s">
        <v>50</v>
      </c>
      <c r="G2848" s="26"/>
      <c r="H2848" s="66">
        <f>H2845+H2847+H2846</f>
        <v>100300</v>
      </c>
    </row>
    <row r="2849" spans="1:8" ht="27" x14ac:dyDescent="0.3">
      <c r="A2849" s="68" t="s">
        <v>22</v>
      </c>
      <c r="B2849" s="69" t="s">
        <v>51</v>
      </c>
      <c r="C2849" s="70" t="s">
        <v>24</v>
      </c>
      <c r="D2849" s="31" t="s">
        <v>25</v>
      </c>
      <c r="E2849" s="528" t="s">
        <v>52</v>
      </c>
      <c r="F2849" s="528"/>
      <c r="G2849" s="28"/>
      <c r="H2849" s="32"/>
    </row>
    <row r="2850" spans="1:8" x14ac:dyDescent="0.3">
      <c r="A2850" s="72">
        <v>0.18</v>
      </c>
      <c r="B2850" s="73">
        <f>H2845</f>
        <v>85000</v>
      </c>
      <c r="C2850" s="74">
        <f>H2846</f>
        <v>7650</v>
      </c>
      <c r="D2850" s="74">
        <f>H2847</f>
        <v>7650</v>
      </c>
      <c r="E2850" s="507">
        <f>C2850+D2850</f>
        <v>15300</v>
      </c>
      <c r="F2850" s="507"/>
      <c r="G2850" s="74"/>
      <c r="H2850" s="75"/>
    </row>
    <row r="2851" spans="1:8" x14ac:dyDescent="0.3">
      <c r="A2851" s="452" t="s">
        <v>582</v>
      </c>
      <c r="B2851" s="453"/>
      <c r="C2851" s="453"/>
      <c r="D2851" s="453"/>
      <c r="E2851" s="453"/>
      <c r="F2851" s="78"/>
      <c r="G2851" s="36"/>
      <c r="H2851" s="79"/>
    </row>
    <row r="2852" spans="1:8" ht="15.6" x14ac:dyDescent="0.3">
      <c r="A2852" s="455" t="s">
        <v>53</v>
      </c>
      <c r="B2852" s="456"/>
      <c r="C2852" s="456"/>
      <c r="D2852" s="457"/>
      <c r="E2852" s="458" t="s">
        <v>54</v>
      </c>
      <c r="F2852" s="459"/>
      <c r="G2852" s="459"/>
      <c r="H2852" s="460"/>
    </row>
    <row r="2853" spans="1:8" x14ac:dyDescent="0.3">
      <c r="A2853" s="461" t="s">
        <v>55</v>
      </c>
      <c r="B2853" s="462"/>
      <c r="C2853" s="462"/>
      <c r="D2853" s="463"/>
      <c r="E2853" s="25"/>
      <c r="F2853" s="25"/>
      <c r="G2853" s="28"/>
      <c r="H2853" s="32"/>
    </row>
    <row r="2854" spans="1:8" x14ac:dyDescent="0.3">
      <c r="A2854" s="461" t="s">
        <v>56</v>
      </c>
      <c r="B2854" s="462"/>
      <c r="C2854" s="462"/>
      <c r="D2854" s="463"/>
      <c r="E2854" s="25"/>
      <c r="F2854" s="25"/>
      <c r="G2854" s="28"/>
      <c r="H2854" s="32"/>
    </row>
    <row r="2855" spans="1:8" x14ac:dyDescent="0.3">
      <c r="A2855" s="461" t="s">
        <v>57</v>
      </c>
      <c r="B2855" s="462"/>
      <c r="C2855" s="462"/>
      <c r="D2855" s="463"/>
      <c r="E2855" s="25"/>
      <c r="F2855" s="25"/>
      <c r="G2855" s="28"/>
      <c r="H2855" s="32"/>
    </row>
    <row r="2856" spans="1:8" ht="15.6" x14ac:dyDescent="0.3">
      <c r="A2856" s="464" t="s">
        <v>58</v>
      </c>
      <c r="B2856" s="465"/>
      <c r="C2856" s="465"/>
      <c r="D2856" s="510"/>
      <c r="E2856" s="466" t="s">
        <v>59</v>
      </c>
      <c r="F2856" s="467"/>
      <c r="G2856" s="467"/>
      <c r="H2856" s="468"/>
    </row>
    <row r="2858" spans="1:8" ht="44.4" x14ac:dyDescent="0.7">
      <c r="A2858" s="469" t="s">
        <v>0</v>
      </c>
      <c r="B2858" s="470"/>
      <c r="C2858" s="470"/>
      <c r="D2858" s="470"/>
      <c r="E2858" s="471" t="s">
        <v>1</v>
      </c>
      <c r="F2858" s="472"/>
      <c r="G2858" s="472"/>
      <c r="H2858" s="473"/>
    </row>
    <row r="2859" spans="1:8" ht="20.399999999999999" x14ac:dyDescent="0.35">
      <c r="A2859" s="1"/>
      <c r="B2859" s="476" t="s">
        <v>2</v>
      </c>
      <c r="C2859" s="476"/>
      <c r="D2859" s="476"/>
      <c r="E2859" s="474"/>
      <c r="F2859" s="474"/>
      <c r="G2859" s="474"/>
      <c r="H2859" s="475"/>
    </row>
    <row r="2860" spans="1:8" x14ac:dyDescent="0.3">
      <c r="A2860" s="477" t="s">
        <v>3</v>
      </c>
      <c r="B2860" s="478"/>
      <c r="C2860" s="479" t="s">
        <v>4</v>
      </c>
      <c r="D2860" s="479"/>
      <c r="E2860" s="548" t="s">
        <v>5</v>
      </c>
      <c r="F2860" s="549"/>
      <c r="G2860" s="549"/>
      <c r="H2860" s="550"/>
    </row>
    <row r="2861" spans="1:8" ht="15.6" x14ac:dyDescent="0.3">
      <c r="A2861" s="4" t="s">
        <v>6</v>
      </c>
      <c r="B2861" s="5"/>
      <c r="C2861" s="481" t="s">
        <v>7</v>
      </c>
      <c r="D2861" s="481"/>
      <c r="E2861" s="482">
        <v>63</v>
      </c>
      <c r="F2861" s="482"/>
      <c r="G2861" s="7" t="s">
        <v>8</v>
      </c>
      <c r="H2861" s="8">
        <v>45876</v>
      </c>
    </row>
    <row r="2862" spans="1:8" ht="15.6" x14ac:dyDescent="0.3">
      <c r="A2862" s="551" t="s">
        <v>287</v>
      </c>
      <c r="B2862" s="552"/>
      <c r="C2862" s="481" t="s">
        <v>10</v>
      </c>
      <c r="D2862" s="481"/>
      <c r="E2862" s="482">
        <v>6</v>
      </c>
      <c r="F2862" s="482"/>
      <c r="G2862" s="7" t="s">
        <v>8</v>
      </c>
      <c r="H2862" s="9" t="s">
        <v>300</v>
      </c>
    </row>
    <row r="2863" spans="1:8" ht="27" customHeight="1" x14ac:dyDescent="0.3">
      <c r="A2863" s="517" t="s">
        <v>288</v>
      </c>
      <c r="B2863" s="553"/>
      <c r="C2863" s="483" t="s">
        <v>12</v>
      </c>
      <c r="D2863" s="484"/>
      <c r="E2863" s="554" t="s">
        <v>291</v>
      </c>
      <c r="F2863" s="555"/>
      <c r="G2863" s="10" t="s">
        <v>8</v>
      </c>
      <c r="H2863" s="11" t="s">
        <v>292</v>
      </c>
    </row>
    <row r="2864" spans="1:8" ht="15.6" x14ac:dyDescent="0.3">
      <c r="A2864" s="556"/>
      <c r="B2864" s="557"/>
      <c r="C2864" s="481" t="s">
        <v>15</v>
      </c>
      <c r="D2864" s="481"/>
      <c r="E2864" s="502" t="s">
        <v>289</v>
      </c>
      <c r="F2864" s="503"/>
      <c r="G2864" s="503"/>
      <c r="H2864" s="504"/>
    </row>
    <row r="2865" spans="1:8" ht="15.6" x14ac:dyDescent="0.3">
      <c r="A2865" s="558" t="s">
        <v>290</v>
      </c>
      <c r="B2865" s="559"/>
      <c r="C2865" s="489"/>
      <c r="D2865" s="490"/>
      <c r="E2865" s="490"/>
      <c r="F2865" s="490"/>
      <c r="G2865" s="490"/>
      <c r="H2865" s="491"/>
    </row>
    <row r="2866" spans="1:8" ht="15" x14ac:dyDescent="0.3">
      <c r="A2866" s="492" t="s">
        <v>17</v>
      </c>
      <c r="B2866" s="494" t="s">
        <v>18</v>
      </c>
      <c r="C2866" s="494" t="s">
        <v>19</v>
      </c>
      <c r="D2866" s="494" t="s">
        <v>20</v>
      </c>
      <c r="E2866" s="494" t="s">
        <v>21</v>
      </c>
      <c r="F2866" s="494" t="s">
        <v>22</v>
      </c>
      <c r="G2866" s="494"/>
      <c r="H2866" s="492" t="s">
        <v>23</v>
      </c>
    </row>
    <row r="2867" spans="1:8" ht="27.6" x14ac:dyDescent="0.3">
      <c r="A2867" s="492"/>
      <c r="B2867" s="494"/>
      <c r="C2867" s="494"/>
      <c r="D2867" s="494"/>
      <c r="E2867" s="494"/>
      <c r="F2867" s="53" t="s">
        <v>24</v>
      </c>
      <c r="G2867" s="53" t="s">
        <v>25</v>
      </c>
      <c r="H2867" s="492"/>
    </row>
    <row r="2868" spans="1:8" x14ac:dyDescent="0.3">
      <c r="A2868" s="57">
        <v>1</v>
      </c>
      <c r="B2868" s="60" t="s">
        <v>294</v>
      </c>
      <c r="C2868" s="57">
        <v>2</v>
      </c>
      <c r="D2868" s="208">
        <v>38249025</v>
      </c>
      <c r="E2868" s="57">
        <v>2100</v>
      </c>
      <c r="F2868" s="57">
        <f>E2868*C2868*9%</f>
        <v>378</v>
      </c>
      <c r="G2868" s="57">
        <f>F2868</f>
        <v>378</v>
      </c>
      <c r="H2868" s="57">
        <f>G2868+F2868+E2868*C2868</f>
        <v>4956</v>
      </c>
    </row>
    <row r="2869" spans="1:8" x14ac:dyDescent="0.3">
      <c r="A2869" s="55">
        <v>2</v>
      </c>
      <c r="B2869" s="60" t="s">
        <v>293</v>
      </c>
      <c r="C2869" s="57">
        <v>2</v>
      </c>
      <c r="D2869" s="208">
        <v>38249025</v>
      </c>
      <c r="E2869" s="57">
        <v>1750</v>
      </c>
      <c r="F2869" s="57">
        <f>E2869*C2869*9%</f>
        <v>315</v>
      </c>
      <c r="G2869" s="57">
        <f>F2869</f>
        <v>315</v>
      </c>
      <c r="H2869" s="57">
        <f>G2869+F2869+E2869*C2869</f>
        <v>4130</v>
      </c>
    </row>
    <row r="2870" spans="1:8" x14ac:dyDescent="0.3">
      <c r="A2870" s="55">
        <v>3</v>
      </c>
      <c r="B2870" s="60" t="s">
        <v>295</v>
      </c>
      <c r="C2870" s="57">
        <v>5</v>
      </c>
      <c r="D2870" s="208">
        <v>38249025</v>
      </c>
      <c r="E2870" s="57">
        <v>450</v>
      </c>
      <c r="F2870" s="57">
        <f>E2870*C2870*9%</f>
        <v>202.5</v>
      </c>
      <c r="G2870" s="57">
        <f>F2870</f>
        <v>202.5</v>
      </c>
      <c r="H2870" s="57">
        <f>G2870+F2870+E2870*C2870</f>
        <v>2655</v>
      </c>
    </row>
    <row r="2871" spans="1:8" x14ac:dyDescent="0.3">
      <c r="A2871" s="55"/>
      <c r="B2871" s="130"/>
      <c r="C2871" s="83"/>
      <c r="D2871" s="83"/>
      <c r="E2871" s="57"/>
      <c r="F2871" s="57"/>
      <c r="G2871" s="57"/>
      <c r="H2871" s="57"/>
    </row>
    <row r="2872" spans="1:8" x14ac:dyDescent="0.3">
      <c r="A2872" s="55"/>
      <c r="B2872" s="130"/>
      <c r="C2872" s="83"/>
      <c r="D2872" s="83"/>
      <c r="E2872" s="57"/>
      <c r="F2872" s="57"/>
      <c r="G2872" s="57"/>
      <c r="H2872" s="57"/>
    </row>
    <row r="2873" spans="1:8" x14ac:dyDescent="0.3">
      <c r="A2873" s="55"/>
      <c r="B2873" s="130"/>
      <c r="C2873" s="83"/>
      <c r="D2873" s="83"/>
      <c r="E2873" s="57"/>
      <c r="F2873" s="57"/>
      <c r="G2873" s="57"/>
      <c r="H2873" s="57"/>
    </row>
    <row r="2874" spans="1:8" x14ac:dyDescent="0.3">
      <c r="A2874" s="55"/>
      <c r="B2874" s="130"/>
      <c r="C2874" s="83"/>
      <c r="D2874" s="83"/>
      <c r="E2874" s="57"/>
      <c r="F2874" s="57"/>
      <c r="G2874" s="57"/>
      <c r="H2874" s="57"/>
    </row>
    <row r="2875" spans="1:8" x14ac:dyDescent="0.3">
      <c r="A2875" s="55"/>
      <c r="B2875" s="130"/>
      <c r="C2875" s="83"/>
      <c r="D2875" s="57"/>
      <c r="E2875" s="57"/>
      <c r="F2875" s="57"/>
      <c r="G2875" s="57"/>
      <c r="H2875" s="57"/>
    </row>
    <row r="2876" spans="1:8" x14ac:dyDescent="0.3">
      <c r="A2876" s="194"/>
      <c r="B2876" s="195"/>
      <c r="C2876" s="196"/>
      <c r="D2876" s="194"/>
      <c r="E2876" s="194"/>
      <c r="F2876" s="145"/>
      <c r="G2876" s="197"/>
      <c r="H2876" s="198"/>
    </row>
    <row r="2877" spans="1:8" x14ac:dyDescent="0.3">
      <c r="A2877" s="199"/>
      <c r="B2877" s="200"/>
      <c r="C2877" s="201"/>
      <c r="D2877" s="202"/>
      <c r="E2877" s="203"/>
      <c r="F2877" s="204"/>
      <c r="G2877" s="204"/>
      <c r="H2877" s="205"/>
    </row>
    <row r="2878" spans="1:8" x14ac:dyDescent="0.3">
      <c r="A2878" s="173"/>
      <c r="B2878" s="88"/>
      <c r="C2878" s="206"/>
      <c r="D2878" s="89"/>
      <c r="E2878" s="207"/>
      <c r="F2878" s="25"/>
      <c r="G2878" s="25"/>
      <c r="H2878" s="32"/>
    </row>
    <row r="2879" spans="1:8" x14ac:dyDescent="0.3">
      <c r="A2879" s="173"/>
      <c r="B2879" s="88"/>
      <c r="C2879" s="206"/>
      <c r="D2879" s="89"/>
      <c r="E2879" s="207"/>
      <c r="F2879" s="25"/>
      <c r="G2879" s="25"/>
      <c r="H2879" s="32"/>
    </row>
    <row r="2880" spans="1:8" x14ac:dyDescent="0.3">
      <c r="A2880" s="173"/>
      <c r="B2880" s="88"/>
      <c r="C2880" s="206"/>
      <c r="D2880" s="89"/>
      <c r="E2880" s="207"/>
      <c r="F2880" s="25"/>
      <c r="G2880" s="25"/>
      <c r="H2880" s="32"/>
    </row>
    <row r="2881" spans="1:8" x14ac:dyDescent="0.3">
      <c r="A2881" s="173"/>
      <c r="B2881" s="88"/>
      <c r="C2881" s="206"/>
      <c r="D2881" s="89"/>
      <c r="E2881" s="207"/>
      <c r="F2881" s="25"/>
      <c r="G2881" s="25"/>
      <c r="H2881" s="32"/>
    </row>
    <row r="2882" spans="1:8" x14ac:dyDescent="0.3">
      <c r="A2882" s="173"/>
      <c r="B2882" s="88"/>
      <c r="C2882" s="206"/>
      <c r="D2882" s="89"/>
      <c r="E2882" s="207"/>
      <c r="F2882" s="25"/>
      <c r="G2882" s="25"/>
      <c r="H2882" s="32"/>
    </row>
    <row r="2883" spans="1:8" x14ac:dyDescent="0.3">
      <c r="A2883" s="173"/>
      <c r="B2883" s="88"/>
      <c r="C2883" s="206"/>
      <c r="D2883" s="89"/>
      <c r="E2883" s="207"/>
      <c r="F2883" s="25"/>
      <c r="G2883" s="25"/>
      <c r="H2883" s="32"/>
    </row>
    <row r="2884" spans="1:8" x14ac:dyDescent="0.3">
      <c r="A2884" s="173"/>
      <c r="B2884" s="88"/>
      <c r="C2884" s="206"/>
      <c r="D2884" s="89"/>
      <c r="E2884" s="207"/>
      <c r="F2884" s="25"/>
      <c r="G2884" s="25"/>
      <c r="H2884" s="32"/>
    </row>
    <row r="2885" spans="1:8" x14ac:dyDescent="0.3">
      <c r="A2885" s="173"/>
      <c r="B2885" s="88"/>
      <c r="C2885" s="206"/>
      <c r="D2885" s="89"/>
      <c r="E2885" s="207"/>
      <c r="F2885" s="25"/>
      <c r="G2885" s="25"/>
      <c r="H2885" s="32"/>
    </row>
    <row r="2886" spans="1:8" x14ac:dyDescent="0.3">
      <c r="A2886" s="173"/>
      <c r="B2886" s="88"/>
      <c r="C2886" s="206"/>
      <c r="D2886" s="89"/>
      <c r="E2886" s="207"/>
      <c r="F2886" s="25"/>
      <c r="G2886" s="25"/>
      <c r="H2886" s="32"/>
    </row>
    <row r="2887" spans="1:8" x14ac:dyDescent="0.3">
      <c r="A2887" s="173"/>
      <c r="B2887" s="88"/>
      <c r="C2887" s="206"/>
      <c r="D2887" s="89"/>
      <c r="E2887" s="25"/>
      <c r="F2887" s="25"/>
      <c r="G2887" s="25"/>
      <c r="H2887" s="32"/>
    </row>
    <row r="2888" spans="1:8" x14ac:dyDescent="0.3">
      <c r="A2888" s="27"/>
      <c r="B2888" s="88"/>
      <c r="C2888" s="24"/>
      <c r="D2888" s="89"/>
      <c r="E2888" s="25"/>
      <c r="F2888" s="25"/>
      <c r="G2888" s="25"/>
      <c r="H2888" s="32"/>
    </row>
    <row r="2889" spans="1:8" x14ac:dyDescent="0.3">
      <c r="A2889" s="27"/>
      <c r="B2889" s="28"/>
      <c r="C2889" s="24"/>
      <c r="D2889" s="25"/>
      <c r="E2889" s="25"/>
      <c r="F2889" s="28"/>
      <c r="G2889" s="28"/>
      <c r="H2889" s="32"/>
    </row>
    <row r="2890" spans="1:8" ht="15.6" x14ac:dyDescent="0.3">
      <c r="A2890" s="448" t="s">
        <v>45</v>
      </c>
      <c r="B2890" s="449"/>
      <c r="C2890" s="24"/>
      <c r="D2890" s="25"/>
      <c r="E2890" s="25"/>
      <c r="F2890" s="447" t="s">
        <v>46</v>
      </c>
      <c r="G2890" s="447"/>
      <c r="H2890" s="66">
        <v>9950</v>
      </c>
    </row>
    <row r="2891" spans="1:8" ht="15.6" x14ac:dyDescent="0.3">
      <c r="A2891" s="497" t="s">
        <v>296</v>
      </c>
      <c r="B2891" s="498"/>
      <c r="C2891" s="498"/>
      <c r="D2891" s="498"/>
      <c r="E2891" s="498"/>
      <c r="F2891" s="447" t="s">
        <v>47</v>
      </c>
      <c r="G2891" s="447"/>
      <c r="H2891" s="66">
        <f>H2890*9%</f>
        <v>895.5</v>
      </c>
    </row>
    <row r="2892" spans="1:8" ht="15.6" x14ac:dyDescent="0.3">
      <c r="A2892" s="27"/>
      <c r="B2892" s="28"/>
      <c r="C2892" s="24"/>
      <c r="D2892" s="25"/>
      <c r="E2892" s="25"/>
      <c r="F2892" s="447" t="s">
        <v>48</v>
      </c>
      <c r="G2892" s="447"/>
      <c r="H2892" s="66">
        <f>H2891</f>
        <v>895.5</v>
      </c>
    </row>
    <row r="2893" spans="1:8" ht="15.6" x14ac:dyDescent="0.3">
      <c r="A2893" s="448" t="s">
        <v>49</v>
      </c>
      <c r="B2893" s="449"/>
      <c r="C2893" s="24"/>
      <c r="D2893" s="25"/>
      <c r="E2893" s="25"/>
      <c r="F2893" s="447" t="s">
        <v>50</v>
      </c>
      <c r="G2893" s="447"/>
      <c r="H2893" s="66">
        <v>11741</v>
      </c>
    </row>
    <row r="2894" spans="1:8" ht="26.4" x14ac:dyDescent="0.3">
      <c r="A2894" s="68" t="s">
        <v>22</v>
      </c>
      <c r="B2894" s="30" t="s">
        <v>51</v>
      </c>
      <c r="C2894" s="70" t="s">
        <v>24</v>
      </c>
      <c r="D2894" s="70" t="s">
        <v>25</v>
      </c>
      <c r="E2894" s="543" t="s">
        <v>52</v>
      </c>
      <c r="F2894" s="543"/>
      <c r="G2894" s="28"/>
      <c r="H2894" s="32"/>
    </row>
    <row r="2895" spans="1:8" x14ac:dyDescent="0.3">
      <c r="A2895" s="72">
        <v>0.18</v>
      </c>
      <c r="B2895" s="73">
        <f>H2890</f>
        <v>9950</v>
      </c>
      <c r="C2895" s="91">
        <f>H2891</f>
        <v>895.5</v>
      </c>
      <c r="D2895" s="91">
        <f>H2891</f>
        <v>895.5</v>
      </c>
      <c r="E2895" s="506">
        <f>C2895+D2895</f>
        <v>1791</v>
      </c>
      <c r="F2895" s="507"/>
      <c r="G2895" s="74"/>
      <c r="H2895" s="75"/>
    </row>
    <row r="2896" spans="1:8" x14ac:dyDescent="0.3">
      <c r="A2896" s="508" t="s">
        <v>297</v>
      </c>
      <c r="B2896" s="509"/>
      <c r="C2896" s="509"/>
      <c r="D2896" s="509"/>
      <c r="E2896" s="453"/>
      <c r="F2896" s="453"/>
      <c r="G2896" s="453"/>
      <c r="H2896" s="454"/>
    </row>
    <row r="2897" spans="1:8" ht="15.6" x14ac:dyDescent="0.3">
      <c r="A2897" s="455" t="s">
        <v>53</v>
      </c>
      <c r="B2897" s="456"/>
      <c r="C2897" s="456"/>
      <c r="D2897" s="457"/>
      <c r="E2897" s="458" t="s">
        <v>54</v>
      </c>
      <c r="F2897" s="459"/>
      <c r="G2897" s="459"/>
      <c r="H2897" s="460"/>
    </row>
    <row r="2898" spans="1:8" x14ac:dyDescent="0.3">
      <c r="A2898" s="461" t="s">
        <v>55</v>
      </c>
      <c r="B2898" s="462"/>
      <c r="C2898" s="462"/>
      <c r="D2898" s="463"/>
      <c r="E2898" s="39"/>
      <c r="F2898" s="28"/>
      <c r="G2898" s="28"/>
      <c r="H2898" s="32"/>
    </row>
    <row r="2899" spans="1:8" x14ac:dyDescent="0.3">
      <c r="A2899" s="461" t="s">
        <v>56</v>
      </c>
      <c r="B2899" s="462"/>
      <c r="C2899" s="462"/>
      <c r="D2899" s="463"/>
      <c r="E2899" s="39"/>
      <c r="F2899" s="28"/>
      <c r="G2899" s="28"/>
      <c r="H2899" s="32"/>
    </row>
    <row r="2900" spans="1:8" x14ac:dyDescent="0.3">
      <c r="A2900" s="461" t="s">
        <v>57</v>
      </c>
      <c r="B2900" s="462"/>
      <c r="C2900" s="462"/>
      <c r="D2900" s="463"/>
      <c r="E2900" s="39"/>
      <c r="F2900" s="28"/>
      <c r="G2900" s="28"/>
      <c r="H2900" s="32"/>
    </row>
    <row r="2901" spans="1:8" ht="15.6" x14ac:dyDescent="0.3">
      <c r="A2901" s="464" t="s">
        <v>58</v>
      </c>
      <c r="B2901" s="465"/>
      <c r="C2901" s="465"/>
      <c r="D2901" s="465"/>
      <c r="E2901" s="466" t="s">
        <v>59</v>
      </c>
      <c r="F2901" s="467"/>
      <c r="G2901" s="467"/>
      <c r="H2901" s="468"/>
    </row>
    <row r="2903" spans="1:8" ht="44.4" x14ac:dyDescent="0.7">
      <c r="A2903" s="469" t="s">
        <v>0</v>
      </c>
      <c r="B2903" s="470"/>
      <c r="C2903" s="470"/>
      <c r="D2903" s="470"/>
      <c r="E2903" s="471" t="s">
        <v>1</v>
      </c>
      <c r="F2903" s="472"/>
      <c r="G2903" s="472"/>
      <c r="H2903" s="473"/>
    </row>
    <row r="2904" spans="1:8" ht="20.399999999999999" x14ac:dyDescent="0.35">
      <c r="A2904" s="1"/>
      <c r="B2904" s="476" t="s">
        <v>2</v>
      </c>
      <c r="C2904" s="476"/>
      <c r="D2904" s="476"/>
      <c r="E2904" s="474"/>
      <c r="F2904" s="474"/>
      <c r="G2904" s="474"/>
      <c r="H2904" s="475"/>
    </row>
    <row r="2905" spans="1:8" x14ac:dyDescent="0.3">
      <c r="A2905" s="477" t="s">
        <v>3</v>
      </c>
      <c r="B2905" s="478"/>
      <c r="C2905" s="479" t="s">
        <v>4</v>
      </c>
      <c r="D2905" s="479"/>
      <c r="E2905" s="548" t="s">
        <v>5</v>
      </c>
      <c r="F2905" s="549"/>
      <c r="G2905" s="549"/>
      <c r="H2905" s="550"/>
    </row>
    <row r="2906" spans="1:8" ht="15.6" x14ac:dyDescent="0.3">
      <c r="A2906" s="4" t="s">
        <v>6</v>
      </c>
      <c r="B2906" s="5"/>
      <c r="C2906" s="481" t="s">
        <v>7</v>
      </c>
      <c r="D2906" s="481"/>
      <c r="E2906" s="482">
        <v>64</v>
      </c>
      <c r="F2906" s="482"/>
      <c r="G2906" s="7" t="s">
        <v>8</v>
      </c>
      <c r="H2906" s="8">
        <v>45876</v>
      </c>
    </row>
    <row r="2907" spans="1:8" ht="15.6" x14ac:dyDescent="0.3">
      <c r="A2907" s="551" t="s">
        <v>287</v>
      </c>
      <c r="B2907" s="552"/>
      <c r="C2907" s="481" t="s">
        <v>10</v>
      </c>
      <c r="D2907" s="481"/>
      <c r="E2907" s="482">
        <v>114</v>
      </c>
      <c r="F2907" s="482"/>
      <c r="G2907" s="7" t="s">
        <v>8</v>
      </c>
      <c r="H2907" s="9" t="s">
        <v>591</v>
      </c>
    </row>
    <row r="2908" spans="1:8" ht="27" customHeight="1" x14ac:dyDescent="0.3">
      <c r="A2908" s="517" t="s">
        <v>288</v>
      </c>
      <c r="B2908" s="553"/>
      <c r="C2908" s="483" t="s">
        <v>12</v>
      </c>
      <c r="D2908" s="484"/>
      <c r="E2908" s="554" t="s">
        <v>586</v>
      </c>
      <c r="F2908" s="555"/>
      <c r="G2908" s="10" t="s">
        <v>8</v>
      </c>
      <c r="H2908" s="11">
        <v>45843</v>
      </c>
    </row>
    <row r="2909" spans="1:8" ht="15.6" x14ac:dyDescent="0.3">
      <c r="A2909" s="556"/>
      <c r="B2909" s="557"/>
      <c r="C2909" s="481" t="s">
        <v>15</v>
      </c>
      <c r="D2909" s="481"/>
      <c r="E2909" s="502" t="s">
        <v>289</v>
      </c>
      <c r="F2909" s="503"/>
      <c r="G2909" s="503"/>
      <c r="H2909" s="504"/>
    </row>
    <row r="2910" spans="1:8" ht="15.6" x14ac:dyDescent="0.3">
      <c r="A2910" s="558" t="s">
        <v>290</v>
      </c>
      <c r="B2910" s="559"/>
      <c r="C2910" s="489"/>
      <c r="D2910" s="490"/>
      <c r="E2910" s="490"/>
      <c r="F2910" s="490"/>
      <c r="G2910" s="490"/>
      <c r="H2910" s="491"/>
    </row>
    <row r="2911" spans="1:8" ht="15" x14ac:dyDescent="0.3">
      <c r="A2911" s="492" t="s">
        <v>17</v>
      </c>
      <c r="B2911" s="494" t="s">
        <v>18</v>
      </c>
      <c r="C2911" s="494" t="s">
        <v>19</v>
      </c>
      <c r="D2911" s="494" t="s">
        <v>20</v>
      </c>
      <c r="E2911" s="494" t="s">
        <v>21</v>
      </c>
      <c r="F2911" s="494" t="s">
        <v>22</v>
      </c>
      <c r="G2911" s="494"/>
      <c r="H2911" s="492" t="s">
        <v>23</v>
      </c>
    </row>
    <row r="2912" spans="1:8" ht="27.6" x14ac:dyDescent="0.3">
      <c r="A2912" s="492"/>
      <c r="B2912" s="494"/>
      <c r="C2912" s="494"/>
      <c r="D2912" s="494"/>
      <c r="E2912" s="494"/>
      <c r="F2912" s="53" t="s">
        <v>24</v>
      </c>
      <c r="G2912" s="53" t="s">
        <v>25</v>
      </c>
      <c r="H2912" s="492"/>
    </row>
    <row r="2913" spans="1:9" x14ac:dyDescent="0.3">
      <c r="A2913" s="57">
        <v>1</v>
      </c>
      <c r="B2913" s="60" t="s">
        <v>587</v>
      </c>
      <c r="C2913" s="57">
        <v>20</v>
      </c>
      <c r="D2913" s="208">
        <v>84145120</v>
      </c>
      <c r="E2913" s="57">
        <v>1120</v>
      </c>
      <c r="F2913" s="57">
        <f>E2913*C2913*9%</f>
        <v>2016</v>
      </c>
      <c r="G2913" s="57">
        <f>F2913</f>
        <v>2016</v>
      </c>
      <c r="H2913" s="57">
        <f>G2913+F2913+E2913*C2913</f>
        <v>26432</v>
      </c>
      <c r="I2913" s="362">
        <f>E2913*C2913</f>
        <v>22400</v>
      </c>
    </row>
    <row r="2914" spans="1:9" x14ac:dyDescent="0.3">
      <c r="A2914" s="55">
        <v>2</v>
      </c>
      <c r="B2914" s="60" t="s">
        <v>588</v>
      </c>
      <c r="C2914" s="57">
        <v>20</v>
      </c>
      <c r="D2914" s="208">
        <v>73181900</v>
      </c>
      <c r="E2914" s="57">
        <v>300</v>
      </c>
      <c r="F2914" s="57">
        <f>E2914*C2914*9%</f>
        <v>540</v>
      </c>
      <c r="G2914" s="57">
        <f>F2914</f>
        <v>540</v>
      </c>
      <c r="H2914" s="57">
        <f>G2914+F2914+E2914*C2914</f>
        <v>7080</v>
      </c>
      <c r="I2914" s="362">
        <f>E2914*C2914</f>
        <v>6000</v>
      </c>
    </row>
    <row r="2915" spans="1:9" x14ac:dyDescent="0.3">
      <c r="A2915" s="55">
        <v>3</v>
      </c>
      <c r="B2915" s="60" t="s">
        <v>534</v>
      </c>
      <c r="C2915" s="57">
        <v>20</v>
      </c>
      <c r="D2915" s="208">
        <v>998719</v>
      </c>
      <c r="E2915" s="57">
        <v>200</v>
      </c>
      <c r="F2915" s="57">
        <f>E2915*C2915*9%</f>
        <v>360</v>
      </c>
      <c r="G2915" s="57">
        <f>F2915</f>
        <v>360</v>
      </c>
      <c r="H2915" s="57">
        <f>G2915+F2915+E2915*C2915</f>
        <v>4720</v>
      </c>
      <c r="I2915" s="362">
        <f>E2915*C2915</f>
        <v>4000</v>
      </c>
    </row>
    <row r="2916" spans="1:9" x14ac:dyDescent="0.3">
      <c r="A2916" s="55"/>
      <c r="B2916" s="130"/>
      <c r="C2916" s="83"/>
      <c r="D2916" s="83"/>
      <c r="E2916" s="57"/>
      <c r="F2916" s="57"/>
      <c r="G2916" s="57"/>
      <c r="H2916" s="57"/>
    </row>
    <row r="2917" spans="1:9" x14ac:dyDescent="0.3">
      <c r="A2917" s="55"/>
      <c r="B2917" s="130"/>
      <c r="C2917" s="83"/>
      <c r="D2917" s="83"/>
      <c r="E2917" s="57"/>
      <c r="F2917" s="57"/>
      <c r="G2917" s="57"/>
      <c r="H2917" s="57"/>
    </row>
    <row r="2918" spans="1:9" x14ac:dyDescent="0.3">
      <c r="A2918" s="55"/>
      <c r="B2918" s="130"/>
      <c r="C2918" s="83"/>
      <c r="D2918" s="83"/>
      <c r="E2918" s="57"/>
      <c r="F2918" s="57"/>
      <c r="G2918" s="57"/>
      <c r="H2918" s="57"/>
    </row>
    <row r="2919" spans="1:9" x14ac:dyDescent="0.3">
      <c r="A2919" s="55"/>
      <c r="B2919" s="130"/>
      <c r="C2919" s="83"/>
      <c r="D2919" s="83"/>
      <c r="E2919" s="57"/>
      <c r="F2919" s="57"/>
      <c r="G2919" s="57"/>
      <c r="H2919" s="57"/>
    </row>
    <row r="2920" spans="1:9" x14ac:dyDescent="0.3">
      <c r="A2920" s="55"/>
      <c r="B2920" s="130"/>
      <c r="C2920" s="83"/>
      <c r="D2920" s="57"/>
      <c r="E2920" s="57"/>
      <c r="F2920" s="57"/>
      <c r="G2920" s="57"/>
      <c r="H2920" s="57"/>
    </row>
    <row r="2921" spans="1:9" x14ac:dyDescent="0.3">
      <c r="A2921" s="194"/>
      <c r="B2921" s="195"/>
      <c r="C2921" s="196"/>
      <c r="D2921" s="194"/>
      <c r="E2921" s="194"/>
      <c r="F2921" s="145"/>
      <c r="G2921" s="197"/>
      <c r="H2921" s="198"/>
    </row>
    <row r="2922" spans="1:9" x14ac:dyDescent="0.3">
      <c r="A2922" s="199"/>
      <c r="B2922" s="200"/>
      <c r="C2922" s="201"/>
      <c r="D2922" s="202"/>
      <c r="E2922" s="203"/>
      <c r="F2922" s="204"/>
      <c r="G2922" s="204"/>
      <c r="H2922" s="205"/>
    </row>
    <row r="2923" spans="1:9" x14ac:dyDescent="0.3">
      <c r="A2923" s="173"/>
      <c r="B2923" s="88"/>
      <c r="C2923" s="206"/>
      <c r="D2923" s="89"/>
      <c r="E2923" s="207"/>
      <c r="F2923" s="25"/>
      <c r="G2923" s="25"/>
      <c r="H2923" s="32"/>
    </row>
    <row r="2924" spans="1:9" x14ac:dyDescent="0.3">
      <c r="A2924" s="173"/>
      <c r="B2924" s="88"/>
      <c r="C2924" s="206"/>
      <c r="D2924" s="89"/>
      <c r="E2924" s="207"/>
      <c r="F2924" s="25"/>
      <c r="G2924" s="25"/>
      <c r="H2924" s="32"/>
    </row>
    <row r="2925" spans="1:9" x14ac:dyDescent="0.3">
      <c r="A2925" s="173"/>
      <c r="B2925" s="88"/>
      <c r="C2925" s="206"/>
      <c r="D2925" s="89"/>
      <c r="E2925" s="207"/>
      <c r="F2925" s="25"/>
      <c r="G2925" s="25"/>
      <c r="H2925" s="32"/>
    </row>
    <row r="2926" spans="1:9" x14ac:dyDescent="0.3">
      <c r="A2926" s="173"/>
      <c r="B2926" s="88"/>
      <c r="C2926" s="206"/>
      <c r="D2926" s="89"/>
      <c r="E2926" s="207"/>
      <c r="F2926" s="25"/>
      <c r="G2926" s="25"/>
      <c r="H2926" s="32"/>
    </row>
    <row r="2927" spans="1:9" x14ac:dyDescent="0.3">
      <c r="A2927" s="173"/>
      <c r="B2927" s="88"/>
      <c r="C2927" s="206"/>
      <c r="D2927" s="89"/>
      <c r="E2927" s="207"/>
      <c r="F2927" s="25"/>
      <c r="G2927" s="25"/>
      <c r="H2927" s="32"/>
    </row>
    <row r="2928" spans="1:9" x14ac:dyDescent="0.3">
      <c r="A2928" s="173"/>
      <c r="B2928" s="88"/>
      <c r="C2928" s="206"/>
      <c r="D2928" s="89"/>
      <c r="E2928" s="207"/>
      <c r="F2928" s="25"/>
      <c r="G2928" s="25"/>
      <c r="H2928" s="32"/>
    </row>
    <row r="2929" spans="1:8" x14ac:dyDescent="0.3">
      <c r="A2929" s="173"/>
      <c r="B2929" s="88"/>
      <c r="C2929" s="206"/>
      <c r="D2929" s="89"/>
      <c r="E2929" s="207"/>
      <c r="F2929" s="25"/>
      <c r="G2929" s="25"/>
      <c r="H2929" s="32"/>
    </row>
    <row r="2930" spans="1:8" x14ac:dyDescent="0.3">
      <c r="A2930" s="173"/>
      <c r="B2930" s="88"/>
      <c r="C2930" s="206"/>
      <c r="D2930" s="89"/>
      <c r="E2930" s="207"/>
      <c r="F2930" s="25"/>
      <c r="G2930" s="25"/>
      <c r="H2930" s="32"/>
    </row>
    <row r="2931" spans="1:8" x14ac:dyDescent="0.3">
      <c r="A2931" s="173"/>
      <c r="B2931" s="88"/>
      <c r="C2931" s="206"/>
      <c r="D2931" s="89"/>
      <c r="E2931" s="207"/>
      <c r="F2931" s="25"/>
      <c r="G2931" s="25"/>
      <c r="H2931" s="32"/>
    </row>
    <row r="2932" spans="1:8" x14ac:dyDescent="0.3">
      <c r="A2932" s="173"/>
      <c r="B2932" s="88"/>
      <c r="C2932" s="206"/>
      <c r="D2932" s="89"/>
      <c r="E2932" s="25"/>
      <c r="F2932" s="25"/>
      <c r="G2932" s="25"/>
      <c r="H2932" s="32"/>
    </row>
    <row r="2933" spans="1:8" x14ac:dyDescent="0.3">
      <c r="A2933" s="27"/>
      <c r="B2933" s="88"/>
      <c r="C2933" s="24"/>
      <c r="D2933" s="89"/>
      <c r="E2933" s="25"/>
      <c r="F2933" s="25"/>
      <c r="G2933" s="25"/>
      <c r="H2933" s="32"/>
    </row>
    <row r="2934" spans="1:8" x14ac:dyDescent="0.3">
      <c r="A2934" s="27"/>
      <c r="B2934" s="28"/>
      <c r="C2934" s="24"/>
      <c r="D2934" s="25"/>
      <c r="E2934" s="25"/>
      <c r="F2934" s="28"/>
      <c r="G2934" s="28"/>
      <c r="H2934" s="32"/>
    </row>
    <row r="2935" spans="1:8" ht="15.6" x14ac:dyDescent="0.3">
      <c r="A2935" s="448" t="s">
        <v>45</v>
      </c>
      <c r="B2935" s="449"/>
      <c r="C2935" s="24"/>
      <c r="D2935" s="25"/>
      <c r="E2935" s="25"/>
      <c r="F2935" s="447" t="s">
        <v>46</v>
      </c>
      <c r="G2935" s="447"/>
      <c r="H2935" s="66">
        <v>32400</v>
      </c>
    </row>
    <row r="2936" spans="1:8" ht="15.6" x14ac:dyDescent="0.3">
      <c r="A2936" s="497" t="s">
        <v>589</v>
      </c>
      <c r="B2936" s="498"/>
      <c r="C2936" s="498"/>
      <c r="D2936" s="498"/>
      <c r="E2936" s="498"/>
      <c r="F2936" s="447" t="s">
        <v>47</v>
      </c>
      <c r="G2936" s="447"/>
      <c r="H2936" s="66">
        <f>H2935*9%</f>
        <v>2916</v>
      </c>
    </row>
    <row r="2937" spans="1:8" ht="15.6" x14ac:dyDescent="0.3">
      <c r="A2937" s="27"/>
      <c r="B2937" s="28"/>
      <c r="C2937" s="24"/>
      <c r="D2937" s="25"/>
      <c r="E2937" s="25"/>
      <c r="F2937" s="447" t="s">
        <v>48</v>
      </c>
      <c r="G2937" s="447"/>
      <c r="H2937" s="66">
        <f>H2936</f>
        <v>2916</v>
      </c>
    </row>
    <row r="2938" spans="1:8" ht="15.6" x14ac:dyDescent="0.3">
      <c r="A2938" s="448" t="s">
        <v>49</v>
      </c>
      <c r="B2938" s="449"/>
      <c r="C2938" s="24"/>
      <c r="D2938" s="25"/>
      <c r="E2938" s="25"/>
      <c r="F2938" s="447" t="s">
        <v>50</v>
      </c>
      <c r="G2938" s="447"/>
      <c r="H2938" s="66">
        <v>38232</v>
      </c>
    </row>
    <row r="2939" spans="1:8" ht="26.4" x14ac:dyDescent="0.3">
      <c r="A2939" s="68" t="s">
        <v>22</v>
      </c>
      <c r="B2939" s="30" t="s">
        <v>51</v>
      </c>
      <c r="C2939" s="70" t="s">
        <v>24</v>
      </c>
      <c r="D2939" s="70" t="s">
        <v>25</v>
      </c>
      <c r="E2939" s="543" t="s">
        <v>52</v>
      </c>
      <c r="F2939" s="543"/>
      <c r="G2939" s="28"/>
      <c r="H2939" s="32"/>
    </row>
    <row r="2940" spans="1:8" x14ac:dyDescent="0.3">
      <c r="A2940" s="72">
        <v>0.18</v>
      </c>
      <c r="B2940" s="73">
        <f>H2935</f>
        <v>32400</v>
      </c>
      <c r="C2940" s="91">
        <f>H2936</f>
        <v>2916</v>
      </c>
      <c r="D2940" s="91">
        <f>H2936</f>
        <v>2916</v>
      </c>
      <c r="E2940" s="506">
        <f>C2940+D2940</f>
        <v>5832</v>
      </c>
      <c r="F2940" s="507"/>
      <c r="G2940" s="74"/>
      <c r="H2940" s="75"/>
    </row>
    <row r="2941" spans="1:8" x14ac:dyDescent="0.3">
      <c r="A2941" s="508" t="s">
        <v>590</v>
      </c>
      <c r="B2941" s="509"/>
      <c r="C2941" s="509"/>
      <c r="D2941" s="509"/>
      <c r="E2941" s="453"/>
      <c r="F2941" s="453"/>
      <c r="G2941" s="453"/>
      <c r="H2941" s="454"/>
    </row>
    <row r="2942" spans="1:8" ht="15.6" x14ac:dyDescent="0.3">
      <c r="A2942" s="455" t="s">
        <v>53</v>
      </c>
      <c r="B2942" s="456"/>
      <c r="C2942" s="456"/>
      <c r="D2942" s="457"/>
      <c r="E2942" s="458" t="s">
        <v>54</v>
      </c>
      <c r="F2942" s="459"/>
      <c r="G2942" s="459"/>
      <c r="H2942" s="460"/>
    </row>
    <row r="2943" spans="1:8" x14ac:dyDescent="0.3">
      <c r="A2943" s="461" t="s">
        <v>55</v>
      </c>
      <c r="B2943" s="462"/>
      <c r="C2943" s="462"/>
      <c r="D2943" s="463"/>
      <c r="E2943" s="39"/>
      <c r="F2943" s="28"/>
      <c r="G2943" s="28"/>
      <c r="H2943" s="32"/>
    </row>
    <row r="2944" spans="1:8" x14ac:dyDescent="0.3">
      <c r="A2944" s="461" t="s">
        <v>56</v>
      </c>
      <c r="B2944" s="462"/>
      <c r="C2944" s="462"/>
      <c r="D2944" s="463"/>
      <c r="E2944" s="39"/>
      <c r="F2944" s="28"/>
      <c r="G2944" s="28"/>
      <c r="H2944" s="32"/>
    </row>
    <row r="2945" spans="1:8" x14ac:dyDescent="0.3">
      <c r="A2945" s="461" t="s">
        <v>57</v>
      </c>
      <c r="B2945" s="462"/>
      <c r="C2945" s="462"/>
      <c r="D2945" s="463"/>
      <c r="E2945" s="39"/>
      <c r="F2945" s="28"/>
      <c r="G2945" s="28"/>
      <c r="H2945" s="32"/>
    </row>
    <row r="2946" spans="1:8" ht="15.6" x14ac:dyDescent="0.3">
      <c r="A2946" s="464" t="s">
        <v>58</v>
      </c>
      <c r="B2946" s="465"/>
      <c r="C2946" s="465"/>
      <c r="D2946" s="465"/>
      <c r="E2946" s="466" t="s">
        <v>59</v>
      </c>
      <c r="F2946" s="467"/>
      <c r="G2946" s="467"/>
      <c r="H2946" s="468"/>
    </row>
    <row r="2951" spans="1:8" ht="44.4" x14ac:dyDescent="0.7">
      <c r="A2951" s="469" t="s">
        <v>0</v>
      </c>
      <c r="B2951" s="470"/>
      <c r="C2951" s="470"/>
      <c r="D2951" s="470"/>
      <c r="E2951" s="471" t="s">
        <v>1</v>
      </c>
      <c r="F2951" s="472"/>
      <c r="G2951" s="472"/>
      <c r="H2951" s="473"/>
    </row>
    <row r="2952" spans="1:8" ht="20.399999999999999" x14ac:dyDescent="0.35">
      <c r="A2952" s="1"/>
      <c r="B2952" s="476" t="s">
        <v>2</v>
      </c>
      <c r="C2952" s="476"/>
      <c r="D2952" s="476"/>
      <c r="E2952" s="474"/>
      <c r="F2952" s="474"/>
      <c r="G2952" s="474"/>
      <c r="H2952" s="475"/>
    </row>
    <row r="2953" spans="1:8" x14ac:dyDescent="0.3">
      <c r="A2953" s="477" t="s">
        <v>3</v>
      </c>
      <c r="B2953" s="478"/>
      <c r="C2953" s="479" t="s">
        <v>4</v>
      </c>
      <c r="D2953" s="479"/>
      <c r="E2953" s="548" t="s">
        <v>5</v>
      </c>
      <c r="F2953" s="549"/>
      <c r="G2953" s="549"/>
      <c r="H2953" s="550"/>
    </row>
    <row r="2954" spans="1:8" ht="15.6" x14ac:dyDescent="0.3">
      <c r="A2954" s="4" t="s">
        <v>6</v>
      </c>
      <c r="B2954" s="5"/>
      <c r="C2954" s="481" t="s">
        <v>7</v>
      </c>
      <c r="D2954" s="481"/>
      <c r="E2954" s="482">
        <v>65</v>
      </c>
      <c r="F2954" s="482"/>
      <c r="G2954" s="7" t="s">
        <v>8</v>
      </c>
      <c r="H2954" s="8">
        <v>45876</v>
      </c>
    </row>
    <row r="2955" spans="1:8" ht="15.6" x14ac:dyDescent="0.3">
      <c r="A2955" s="551" t="s">
        <v>287</v>
      </c>
      <c r="B2955" s="552"/>
      <c r="C2955" s="481" t="s">
        <v>10</v>
      </c>
      <c r="D2955" s="481"/>
      <c r="E2955" s="482"/>
      <c r="F2955" s="482"/>
      <c r="G2955" s="7" t="s">
        <v>8</v>
      </c>
      <c r="H2955" s="9"/>
    </row>
    <row r="2956" spans="1:8" ht="27" customHeight="1" x14ac:dyDescent="0.3">
      <c r="A2956" s="517" t="s">
        <v>288</v>
      </c>
      <c r="B2956" s="553"/>
      <c r="C2956" s="483" t="s">
        <v>12</v>
      </c>
      <c r="D2956" s="484"/>
      <c r="E2956" s="554" t="s">
        <v>592</v>
      </c>
      <c r="F2956" s="555"/>
      <c r="G2956" s="10" t="s">
        <v>8</v>
      </c>
      <c r="H2956" s="11">
        <v>45693</v>
      </c>
    </row>
    <row r="2957" spans="1:8" ht="15.6" x14ac:dyDescent="0.3">
      <c r="A2957" s="556"/>
      <c r="B2957" s="557"/>
      <c r="C2957" s="481" t="s">
        <v>15</v>
      </c>
      <c r="D2957" s="481"/>
      <c r="E2957" s="502" t="s">
        <v>289</v>
      </c>
      <c r="F2957" s="503"/>
      <c r="G2957" s="503"/>
      <c r="H2957" s="504"/>
    </row>
    <row r="2958" spans="1:8" ht="15.6" x14ac:dyDescent="0.3">
      <c r="A2958" s="558" t="s">
        <v>290</v>
      </c>
      <c r="B2958" s="559"/>
      <c r="C2958" s="489"/>
      <c r="D2958" s="490"/>
      <c r="E2958" s="490"/>
      <c r="F2958" s="490"/>
      <c r="G2958" s="490"/>
      <c r="H2958" s="491"/>
    </row>
    <row r="2959" spans="1:8" ht="15" x14ac:dyDescent="0.3">
      <c r="A2959" s="492" t="s">
        <v>17</v>
      </c>
      <c r="B2959" s="494" t="s">
        <v>18</v>
      </c>
      <c r="C2959" s="494" t="s">
        <v>19</v>
      </c>
      <c r="D2959" s="494" t="s">
        <v>20</v>
      </c>
      <c r="E2959" s="494" t="s">
        <v>21</v>
      </c>
      <c r="F2959" s="494" t="s">
        <v>22</v>
      </c>
      <c r="G2959" s="494"/>
      <c r="H2959" s="492" t="s">
        <v>23</v>
      </c>
    </row>
    <row r="2960" spans="1:8" ht="27.6" x14ac:dyDescent="0.3">
      <c r="A2960" s="492"/>
      <c r="B2960" s="494"/>
      <c r="C2960" s="494"/>
      <c r="D2960" s="494"/>
      <c r="E2960" s="494"/>
      <c r="F2960" s="53" t="s">
        <v>24</v>
      </c>
      <c r="G2960" s="53" t="s">
        <v>25</v>
      </c>
      <c r="H2960" s="492"/>
    </row>
    <row r="2961" spans="1:8" x14ac:dyDescent="0.3">
      <c r="A2961" s="57">
        <v>1</v>
      </c>
      <c r="B2961" s="60" t="s">
        <v>593</v>
      </c>
      <c r="C2961" s="57">
        <v>1</v>
      </c>
      <c r="D2961" s="288">
        <v>998719</v>
      </c>
      <c r="E2961" s="57">
        <v>42100</v>
      </c>
      <c r="F2961" s="57">
        <f>E2961*C2961*9%</f>
        <v>3789</v>
      </c>
      <c r="G2961" s="57">
        <f>F2961</f>
        <v>3789</v>
      </c>
      <c r="H2961" s="57">
        <f>G2961+F2961+E2961*C2961</f>
        <v>49678</v>
      </c>
    </row>
    <row r="2962" spans="1:8" x14ac:dyDescent="0.3">
      <c r="A2962" s="55"/>
      <c r="B2962" s="60"/>
      <c r="C2962" s="57"/>
      <c r="D2962" s="208"/>
      <c r="E2962" s="57"/>
      <c r="F2962" s="57"/>
      <c r="G2962" s="57"/>
      <c r="H2962" s="57"/>
    </row>
    <row r="2963" spans="1:8" x14ac:dyDescent="0.3">
      <c r="A2963" s="55"/>
      <c r="B2963" s="60"/>
      <c r="C2963" s="57"/>
      <c r="D2963" s="208"/>
      <c r="E2963" s="57"/>
      <c r="F2963" s="57"/>
      <c r="G2963" s="57"/>
      <c r="H2963" s="57"/>
    </row>
    <row r="2964" spans="1:8" x14ac:dyDescent="0.3">
      <c r="A2964" s="55"/>
      <c r="B2964" s="130"/>
      <c r="C2964" s="83"/>
      <c r="D2964" s="83"/>
      <c r="E2964" s="57"/>
      <c r="F2964" s="57"/>
      <c r="G2964" s="57"/>
      <c r="H2964" s="57"/>
    </row>
    <row r="2965" spans="1:8" x14ac:dyDescent="0.3">
      <c r="A2965" s="55"/>
      <c r="B2965" s="130"/>
      <c r="C2965" s="83"/>
      <c r="D2965" s="83"/>
      <c r="E2965" s="57"/>
      <c r="F2965" s="57"/>
      <c r="G2965" s="57"/>
      <c r="H2965" s="57"/>
    </row>
    <row r="2966" spans="1:8" x14ac:dyDescent="0.3">
      <c r="A2966" s="55"/>
      <c r="B2966" s="130"/>
      <c r="C2966" s="83"/>
      <c r="D2966" s="83"/>
      <c r="E2966" s="57"/>
      <c r="F2966" s="57"/>
      <c r="G2966" s="57"/>
      <c r="H2966" s="57"/>
    </row>
    <row r="2967" spans="1:8" x14ac:dyDescent="0.3">
      <c r="A2967" s="55"/>
      <c r="B2967" s="130"/>
      <c r="C2967" s="83"/>
      <c r="D2967" s="83"/>
      <c r="E2967" s="57"/>
      <c r="F2967" s="57"/>
      <c r="G2967" s="57"/>
      <c r="H2967" s="57"/>
    </row>
    <row r="2968" spans="1:8" x14ac:dyDescent="0.3">
      <c r="A2968" s="55"/>
      <c r="B2968" s="130"/>
      <c r="C2968" s="83"/>
      <c r="D2968" s="57"/>
      <c r="E2968" s="57"/>
      <c r="F2968" s="57"/>
      <c r="G2968" s="57"/>
      <c r="H2968" s="57"/>
    </row>
    <row r="2969" spans="1:8" x14ac:dyDescent="0.3">
      <c r="A2969" s="194"/>
      <c r="B2969" s="195"/>
      <c r="C2969" s="196"/>
      <c r="D2969" s="194"/>
      <c r="E2969" s="194"/>
      <c r="F2969" s="145"/>
      <c r="G2969" s="197"/>
      <c r="H2969" s="198"/>
    </row>
    <row r="2970" spans="1:8" x14ac:dyDescent="0.3">
      <c r="A2970" s="199"/>
      <c r="B2970" s="200"/>
      <c r="C2970" s="201"/>
      <c r="D2970" s="202"/>
      <c r="E2970" s="203"/>
      <c r="F2970" s="204"/>
      <c r="G2970" s="204"/>
      <c r="H2970" s="205"/>
    </row>
    <row r="2971" spans="1:8" x14ac:dyDescent="0.3">
      <c r="A2971" s="173"/>
      <c r="B2971" s="88"/>
      <c r="C2971" s="206"/>
      <c r="D2971" s="89"/>
      <c r="E2971" s="207"/>
      <c r="F2971" s="25"/>
      <c r="G2971" s="25"/>
      <c r="H2971" s="32"/>
    </row>
    <row r="2972" spans="1:8" x14ac:dyDescent="0.3">
      <c r="A2972" s="173"/>
      <c r="B2972" s="88"/>
      <c r="C2972" s="206"/>
      <c r="D2972" s="89"/>
      <c r="E2972" s="207"/>
      <c r="F2972" s="25"/>
      <c r="G2972" s="25"/>
      <c r="H2972" s="32"/>
    </row>
    <row r="2973" spans="1:8" x14ac:dyDescent="0.3">
      <c r="A2973" s="173"/>
      <c r="B2973" s="88"/>
      <c r="C2973" s="206"/>
      <c r="D2973" s="89"/>
      <c r="E2973" s="207"/>
      <c r="F2973" s="25"/>
      <c r="G2973" s="25"/>
      <c r="H2973" s="32"/>
    </row>
    <row r="2974" spans="1:8" x14ac:dyDescent="0.3">
      <c r="A2974" s="173"/>
      <c r="B2974" s="88"/>
      <c r="C2974" s="206"/>
      <c r="D2974" s="89"/>
      <c r="E2974" s="207"/>
      <c r="F2974" s="25"/>
      <c r="G2974" s="25"/>
      <c r="H2974" s="32"/>
    </row>
    <row r="2975" spans="1:8" x14ac:dyDescent="0.3">
      <c r="A2975" s="173"/>
      <c r="B2975" s="88"/>
      <c r="C2975" s="206"/>
      <c r="D2975" s="89"/>
      <c r="E2975" s="207"/>
      <c r="F2975" s="25"/>
      <c r="G2975" s="25"/>
      <c r="H2975" s="32"/>
    </row>
    <row r="2976" spans="1:8" x14ac:dyDescent="0.3">
      <c r="A2976" s="173"/>
      <c r="B2976" s="88"/>
      <c r="C2976" s="206"/>
      <c r="D2976" s="89"/>
      <c r="E2976" s="207"/>
      <c r="F2976" s="25"/>
      <c r="G2976" s="25"/>
      <c r="H2976" s="32"/>
    </row>
    <row r="2977" spans="1:8" x14ac:dyDescent="0.3">
      <c r="A2977" s="173"/>
      <c r="B2977" s="88"/>
      <c r="C2977" s="206"/>
      <c r="D2977" s="89"/>
      <c r="E2977" s="207"/>
      <c r="F2977" s="25"/>
      <c r="G2977" s="25"/>
      <c r="H2977" s="32"/>
    </row>
    <row r="2978" spans="1:8" x14ac:dyDescent="0.3">
      <c r="A2978" s="173"/>
      <c r="B2978" s="88"/>
      <c r="C2978" s="206"/>
      <c r="D2978" s="89"/>
      <c r="E2978" s="207"/>
      <c r="F2978" s="25"/>
      <c r="G2978" s="25"/>
      <c r="H2978" s="32"/>
    </row>
    <row r="2979" spans="1:8" x14ac:dyDescent="0.3">
      <c r="A2979" s="173"/>
      <c r="B2979" s="88"/>
      <c r="C2979" s="206"/>
      <c r="D2979" s="89"/>
      <c r="E2979" s="207"/>
      <c r="F2979" s="25"/>
      <c r="G2979" s="25"/>
      <c r="H2979" s="32"/>
    </row>
    <row r="2980" spans="1:8" x14ac:dyDescent="0.3">
      <c r="A2980" s="173"/>
      <c r="B2980" s="88"/>
      <c r="C2980" s="206"/>
      <c r="D2980" s="89"/>
      <c r="E2980" s="25"/>
      <c r="F2980" s="25"/>
      <c r="G2980" s="25"/>
      <c r="H2980" s="32"/>
    </row>
    <row r="2981" spans="1:8" x14ac:dyDescent="0.3">
      <c r="A2981" s="27"/>
      <c r="B2981" s="88"/>
      <c r="C2981" s="24"/>
      <c r="D2981" s="89"/>
      <c r="E2981" s="25"/>
      <c r="F2981" s="25"/>
      <c r="G2981" s="25"/>
      <c r="H2981" s="32"/>
    </row>
    <row r="2982" spans="1:8" x14ac:dyDescent="0.3">
      <c r="A2982" s="27"/>
      <c r="B2982" s="28"/>
      <c r="C2982" s="24"/>
      <c r="D2982" s="25"/>
      <c r="E2982" s="25"/>
      <c r="F2982" s="28"/>
      <c r="G2982" s="28"/>
      <c r="H2982" s="32"/>
    </row>
    <row r="2983" spans="1:8" ht="15.6" x14ac:dyDescent="0.3">
      <c r="A2983" s="448" t="s">
        <v>45</v>
      </c>
      <c r="B2983" s="449"/>
      <c r="C2983" s="24"/>
      <c r="D2983" s="25"/>
      <c r="E2983" s="25"/>
      <c r="F2983" s="447" t="s">
        <v>46</v>
      </c>
      <c r="G2983" s="447"/>
      <c r="H2983" s="66">
        <v>42100</v>
      </c>
    </row>
    <row r="2984" spans="1:8" ht="15.6" x14ac:dyDescent="0.3">
      <c r="A2984" s="497" t="s">
        <v>594</v>
      </c>
      <c r="B2984" s="498"/>
      <c r="C2984" s="498"/>
      <c r="D2984" s="498"/>
      <c r="E2984" s="498"/>
      <c r="F2984" s="447" t="s">
        <v>47</v>
      </c>
      <c r="G2984" s="447"/>
      <c r="H2984" s="66">
        <f>H2983*9%</f>
        <v>3789</v>
      </c>
    </row>
    <row r="2985" spans="1:8" ht="15.6" x14ac:dyDescent="0.3">
      <c r="A2985" s="27"/>
      <c r="B2985" s="28"/>
      <c r="C2985" s="24"/>
      <c r="D2985" s="25"/>
      <c r="E2985" s="25"/>
      <c r="F2985" s="447" t="s">
        <v>48</v>
      </c>
      <c r="G2985" s="447"/>
      <c r="H2985" s="66">
        <f>H2984</f>
        <v>3789</v>
      </c>
    </row>
    <row r="2986" spans="1:8" ht="15.6" x14ac:dyDescent="0.3">
      <c r="A2986" s="448" t="s">
        <v>49</v>
      </c>
      <c r="B2986" s="449"/>
      <c r="C2986" s="24"/>
      <c r="D2986" s="25"/>
      <c r="E2986" s="25"/>
      <c r="F2986" s="447" t="s">
        <v>50</v>
      </c>
      <c r="G2986" s="447"/>
      <c r="H2986" s="66">
        <v>49678</v>
      </c>
    </row>
    <row r="2987" spans="1:8" ht="26.4" x14ac:dyDescent="0.3">
      <c r="A2987" s="68" t="s">
        <v>22</v>
      </c>
      <c r="B2987" s="30" t="s">
        <v>51</v>
      </c>
      <c r="C2987" s="70" t="s">
        <v>24</v>
      </c>
      <c r="D2987" s="70" t="s">
        <v>25</v>
      </c>
      <c r="E2987" s="543" t="s">
        <v>52</v>
      </c>
      <c r="F2987" s="543"/>
      <c r="G2987" s="28"/>
      <c r="H2987" s="32"/>
    </row>
    <row r="2988" spans="1:8" x14ac:dyDescent="0.3">
      <c r="A2988" s="72">
        <v>0.18</v>
      </c>
      <c r="B2988" s="73">
        <f>H2983</f>
        <v>42100</v>
      </c>
      <c r="C2988" s="91">
        <f>H2984</f>
        <v>3789</v>
      </c>
      <c r="D2988" s="91">
        <f>H2984</f>
        <v>3789</v>
      </c>
      <c r="E2988" s="506">
        <f>C2988+D2988</f>
        <v>7578</v>
      </c>
      <c r="F2988" s="507"/>
      <c r="G2988" s="74"/>
      <c r="H2988" s="75"/>
    </row>
    <row r="2989" spans="1:8" x14ac:dyDescent="0.3">
      <c r="A2989" s="508" t="s">
        <v>595</v>
      </c>
      <c r="B2989" s="509"/>
      <c r="C2989" s="509"/>
      <c r="D2989" s="509"/>
      <c r="E2989" s="453"/>
      <c r="F2989" s="453"/>
      <c r="G2989" s="453"/>
      <c r="H2989" s="454"/>
    </row>
    <row r="2990" spans="1:8" ht="15.6" x14ac:dyDescent="0.3">
      <c r="A2990" s="455" t="s">
        <v>53</v>
      </c>
      <c r="B2990" s="456"/>
      <c r="C2990" s="456"/>
      <c r="D2990" s="457"/>
      <c r="E2990" s="458" t="s">
        <v>54</v>
      </c>
      <c r="F2990" s="459"/>
      <c r="G2990" s="459"/>
      <c r="H2990" s="460"/>
    </row>
    <row r="2991" spans="1:8" x14ac:dyDescent="0.3">
      <c r="A2991" s="461" t="s">
        <v>55</v>
      </c>
      <c r="B2991" s="462"/>
      <c r="C2991" s="462"/>
      <c r="D2991" s="463"/>
      <c r="E2991" s="39"/>
      <c r="F2991" s="28"/>
      <c r="G2991" s="28"/>
      <c r="H2991" s="32"/>
    </row>
    <row r="2992" spans="1:8" x14ac:dyDescent="0.3">
      <c r="A2992" s="461" t="s">
        <v>56</v>
      </c>
      <c r="B2992" s="462"/>
      <c r="C2992" s="462"/>
      <c r="D2992" s="463"/>
      <c r="E2992" s="39"/>
      <c r="F2992" s="28"/>
      <c r="G2992" s="28"/>
      <c r="H2992" s="32"/>
    </row>
    <row r="2993" spans="1:9" x14ac:dyDescent="0.3">
      <c r="A2993" s="461" t="s">
        <v>57</v>
      </c>
      <c r="B2993" s="462"/>
      <c r="C2993" s="462"/>
      <c r="D2993" s="463"/>
      <c r="E2993" s="39"/>
      <c r="F2993" s="28"/>
      <c r="G2993" s="28"/>
      <c r="H2993" s="32"/>
    </row>
    <row r="2994" spans="1:9" ht="15.6" x14ac:dyDescent="0.3">
      <c r="A2994" s="464" t="s">
        <v>58</v>
      </c>
      <c r="B2994" s="465"/>
      <c r="C2994" s="465"/>
      <c r="D2994" s="465"/>
      <c r="E2994" s="466" t="s">
        <v>59</v>
      </c>
      <c r="F2994" s="467"/>
      <c r="G2994" s="467"/>
      <c r="H2994" s="468"/>
    </row>
    <row r="2998" spans="1:9" ht="44.4" x14ac:dyDescent="0.7">
      <c r="A2998" s="469" t="s">
        <v>0</v>
      </c>
      <c r="B2998" s="470"/>
      <c r="C2998" s="470"/>
      <c r="D2998" s="470"/>
      <c r="E2998" s="471" t="s">
        <v>1</v>
      </c>
      <c r="F2998" s="472"/>
      <c r="G2998" s="472"/>
      <c r="H2998" s="473"/>
    </row>
    <row r="2999" spans="1:9" ht="20.399999999999999" x14ac:dyDescent="0.35">
      <c r="A2999" s="1"/>
      <c r="B2999" s="476" t="s">
        <v>2</v>
      </c>
      <c r="C2999" s="476"/>
      <c r="D2999" s="476"/>
      <c r="E2999" s="474"/>
      <c r="F2999" s="474"/>
      <c r="G2999" s="474"/>
      <c r="H2999" s="475"/>
    </row>
    <row r="3000" spans="1:9" x14ac:dyDescent="0.3">
      <c r="A3000" s="477" t="s">
        <v>3</v>
      </c>
      <c r="B3000" s="478"/>
      <c r="C3000" s="479" t="s">
        <v>4</v>
      </c>
      <c r="D3000" s="479"/>
      <c r="E3000" s="548" t="s">
        <v>5</v>
      </c>
      <c r="F3000" s="549"/>
      <c r="G3000" s="549"/>
      <c r="H3000" s="550"/>
    </row>
    <row r="3001" spans="1:9" ht="15.6" x14ac:dyDescent="0.3">
      <c r="A3001" s="4" t="s">
        <v>6</v>
      </c>
      <c r="B3001" s="5"/>
      <c r="C3001" s="481" t="s">
        <v>7</v>
      </c>
      <c r="D3001" s="481"/>
      <c r="E3001" s="482">
        <v>66</v>
      </c>
      <c r="F3001" s="482"/>
      <c r="G3001" s="7" t="s">
        <v>8</v>
      </c>
      <c r="H3001" s="8">
        <v>45876</v>
      </c>
    </row>
    <row r="3002" spans="1:9" ht="15.6" x14ac:dyDescent="0.3">
      <c r="A3002" s="551" t="s">
        <v>287</v>
      </c>
      <c r="B3002" s="552"/>
      <c r="C3002" s="481" t="s">
        <v>10</v>
      </c>
      <c r="D3002" s="481"/>
      <c r="E3002" s="482">
        <v>5</v>
      </c>
      <c r="F3002" s="482"/>
      <c r="G3002" s="7" t="s">
        <v>8</v>
      </c>
      <c r="H3002" s="9" t="s">
        <v>274</v>
      </c>
    </row>
    <row r="3003" spans="1:9" ht="28.5" customHeight="1" x14ac:dyDescent="0.3">
      <c r="A3003" s="517" t="s">
        <v>288</v>
      </c>
      <c r="B3003" s="553"/>
      <c r="C3003" s="483" t="s">
        <v>12</v>
      </c>
      <c r="D3003" s="484"/>
      <c r="E3003" s="554" t="s">
        <v>597</v>
      </c>
      <c r="F3003" s="555"/>
      <c r="G3003" s="10" t="s">
        <v>8</v>
      </c>
      <c r="H3003" s="109" t="s">
        <v>596</v>
      </c>
    </row>
    <row r="3004" spans="1:9" ht="15.6" x14ac:dyDescent="0.3">
      <c r="A3004" s="556"/>
      <c r="B3004" s="557"/>
      <c r="C3004" s="481" t="s">
        <v>15</v>
      </c>
      <c r="D3004" s="481"/>
      <c r="E3004" s="502" t="s">
        <v>289</v>
      </c>
      <c r="F3004" s="503"/>
      <c r="G3004" s="503"/>
      <c r="H3004" s="504"/>
    </row>
    <row r="3005" spans="1:9" ht="15.6" x14ac:dyDescent="0.3">
      <c r="A3005" s="558" t="s">
        <v>290</v>
      </c>
      <c r="B3005" s="559"/>
      <c r="C3005" s="489"/>
      <c r="D3005" s="490"/>
      <c r="E3005" s="490"/>
      <c r="F3005" s="490"/>
      <c r="G3005" s="490"/>
      <c r="H3005" s="491"/>
    </row>
    <row r="3006" spans="1:9" ht="15" x14ac:dyDescent="0.3">
      <c r="A3006" s="492" t="s">
        <v>17</v>
      </c>
      <c r="B3006" s="494" t="s">
        <v>18</v>
      </c>
      <c r="C3006" s="494" t="s">
        <v>19</v>
      </c>
      <c r="D3006" s="494" t="s">
        <v>20</v>
      </c>
      <c r="E3006" s="494" t="s">
        <v>21</v>
      </c>
      <c r="F3006" s="494" t="s">
        <v>22</v>
      </c>
      <c r="G3006" s="494"/>
      <c r="H3006" s="492" t="s">
        <v>23</v>
      </c>
    </row>
    <row r="3007" spans="1:9" ht="27.6" x14ac:dyDescent="0.3">
      <c r="A3007" s="492"/>
      <c r="B3007" s="494"/>
      <c r="C3007" s="494"/>
      <c r="D3007" s="494"/>
      <c r="E3007" s="494"/>
      <c r="F3007" s="53" t="s">
        <v>24</v>
      </c>
      <c r="G3007" s="53" t="s">
        <v>25</v>
      </c>
      <c r="H3007" s="492"/>
    </row>
    <row r="3008" spans="1:9" x14ac:dyDescent="0.3">
      <c r="A3008" s="57">
        <v>1</v>
      </c>
      <c r="B3008" s="60" t="s">
        <v>598</v>
      </c>
      <c r="C3008" s="57">
        <v>90</v>
      </c>
      <c r="D3008" s="163">
        <v>85446020</v>
      </c>
      <c r="E3008" s="57">
        <v>1527</v>
      </c>
      <c r="F3008" s="57">
        <f>E3008*C3008*9%</f>
        <v>12368.699999999999</v>
      </c>
      <c r="G3008" s="57">
        <f>F3008</f>
        <v>12368.699999999999</v>
      </c>
      <c r="H3008" s="57">
        <f>G3008+F3008+E3008*C3008</f>
        <v>162167.4</v>
      </c>
      <c r="I3008" s="362">
        <f>E3008*C3008</f>
        <v>137430</v>
      </c>
    </row>
    <row r="3009" spans="1:9" x14ac:dyDescent="0.3">
      <c r="A3009" s="55">
        <v>2</v>
      </c>
      <c r="B3009" s="60" t="s">
        <v>599</v>
      </c>
      <c r="C3009" s="57">
        <v>90</v>
      </c>
      <c r="D3009" s="208">
        <v>998719</v>
      </c>
      <c r="E3009" s="57">
        <v>70</v>
      </c>
      <c r="F3009" s="57">
        <f>E3009*C3009*9%</f>
        <v>567</v>
      </c>
      <c r="G3009" s="57">
        <f>F3009</f>
        <v>567</v>
      </c>
      <c r="H3009" s="57">
        <f>G3009+F3009+E3009*C3009</f>
        <v>7434</v>
      </c>
      <c r="I3009" s="362">
        <f>E3009*C3009</f>
        <v>6300</v>
      </c>
    </row>
    <row r="3010" spans="1:9" x14ac:dyDescent="0.3">
      <c r="A3010" s="55">
        <v>3</v>
      </c>
      <c r="B3010" s="60" t="s">
        <v>600</v>
      </c>
      <c r="C3010" s="57">
        <v>6</v>
      </c>
      <c r="D3010" s="208">
        <v>998719</v>
      </c>
      <c r="E3010" s="57">
        <v>1800</v>
      </c>
      <c r="F3010" s="57">
        <f>E3010*C3010*9%</f>
        <v>972</v>
      </c>
      <c r="G3010" s="57">
        <f>F3010</f>
        <v>972</v>
      </c>
      <c r="H3010" s="57">
        <f>G3010+F3010+E3010*C3010</f>
        <v>12744</v>
      </c>
      <c r="I3010" s="362">
        <f>E3010*C3010</f>
        <v>10800</v>
      </c>
    </row>
    <row r="3011" spans="1:9" x14ac:dyDescent="0.3">
      <c r="A3011" s="55"/>
      <c r="B3011" s="130"/>
      <c r="C3011" s="83"/>
      <c r="D3011" s="83"/>
      <c r="E3011" s="57"/>
      <c r="F3011" s="57"/>
      <c r="G3011" s="57"/>
      <c r="H3011" s="57"/>
    </row>
    <row r="3012" spans="1:9" x14ac:dyDescent="0.3">
      <c r="A3012" s="55"/>
      <c r="B3012" s="130"/>
      <c r="C3012" s="83"/>
      <c r="D3012" s="83"/>
      <c r="E3012" s="57"/>
      <c r="F3012" s="57"/>
      <c r="G3012" s="57"/>
      <c r="H3012" s="57"/>
    </row>
    <row r="3013" spans="1:9" x14ac:dyDescent="0.3">
      <c r="A3013" s="55"/>
      <c r="B3013" s="130"/>
      <c r="C3013" s="83"/>
      <c r="D3013" s="83"/>
      <c r="E3013" s="57"/>
      <c r="F3013" s="57"/>
      <c r="G3013" s="57"/>
      <c r="H3013" s="57"/>
    </row>
    <row r="3014" spans="1:9" x14ac:dyDescent="0.3">
      <c r="A3014" s="55"/>
      <c r="B3014" s="130"/>
      <c r="C3014" s="83"/>
      <c r="D3014" s="83"/>
      <c r="E3014" s="57"/>
      <c r="F3014" s="57"/>
      <c r="G3014" s="57"/>
      <c r="H3014" s="57"/>
    </row>
    <row r="3015" spans="1:9" x14ac:dyDescent="0.3">
      <c r="A3015" s="55"/>
      <c r="B3015" s="130"/>
      <c r="C3015" s="83"/>
      <c r="D3015" s="57"/>
      <c r="E3015" s="57"/>
      <c r="F3015" s="57"/>
      <c r="G3015" s="57"/>
      <c r="H3015" s="57"/>
    </row>
    <row r="3016" spans="1:9" x14ac:dyDescent="0.3">
      <c r="A3016" s="194"/>
      <c r="B3016" s="195"/>
      <c r="C3016" s="196"/>
      <c r="D3016" s="194"/>
      <c r="E3016" s="194"/>
      <c r="F3016" s="145"/>
      <c r="G3016" s="197"/>
      <c r="H3016" s="198"/>
    </row>
    <row r="3017" spans="1:9" x14ac:dyDescent="0.3">
      <c r="A3017" s="199"/>
      <c r="B3017" s="200"/>
      <c r="C3017" s="201"/>
      <c r="D3017" s="202"/>
      <c r="E3017" s="203"/>
      <c r="F3017" s="204"/>
      <c r="G3017" s="204"/>
      <c r="H3017" s="205"/>
    </row>
    <row r="3018" spans="1:9" x14ac:dyDescent="0.3">
      <c r="A3018" s="173"/>
      <c r="B3018" s="88"/>
      <c r="C3018" s="206"/>
      <c r="D3018" s="89"/>
      <c r="E3018" s="207"/>
      <c r="F3018" s="25"/>
      <c r="G3018" s="25"/>
      <c r="H3018" s="32"/>
    </row>
    <row r="3019" spans="1:9" x14ac:dyDescent="0.3">
      <c r="A3019" s="173"/>
      <c r="B3019" s="88"/>
      <c r="C3019" s="206"/>
      <c r="D3019" s="89"/>
      <c r="E3019" s="207"/>
      <c r="F3019" s="25"/>
      <c r="G3019" s="25"/>
      <c r="H3019" s="32"/>
    </row>
    <row r="3020" spans="1:9" x14ac:dyDescent="0.3">
      <c r="A3020" s="173"/>
      <c r="B3020" s="88"/>
      <c r="C3020" s="206"/>
      <c r="D3020" s="89"/>
      <c r="E3020" s="207"/>
      <c r="F3020" s="25"/>
      <c r="G3020" s="25"/>
      <c r="H3020" s="32"/>
    </row>
    <row r="3021" spans="1:9" x14ac:dyDescent="0.3">
      <c r="A3021" s="173"/>
      <c r="B3021" s="88"/>
      <c r="C3021" s="206"/>
      <c r="D3021" s="89"/>
      <c r="E3021" s="207"/>
      <c r="F3021" s="25"/>
      <c r="G3021" s="25"/>
      <c r="H3021" s="32"/>
    </row>
    <row r="3022" spans="1:9" x14ac:dyDescent="0.3">
      <c r="A3022" s="173"/>
      <c r="B3022" s="88"/>
      <c r="C3022" s="206"/>
      <c r="D3022" s="89"/>
      <c r="E3022" s="207"/>
      <c r="F3022" s="25"/>
      <c r="G3022" s="25"/>
      <c r="H3022" s="32"/>
    </row>
    <row r="3023" spans="1:9" x14ac:dyDescent="0.3">
      <c r="A3023" s="173"/>
      <c r="B3023" s="88"/>
      <c r="C3023" s="206"/>
      <c r="D3023" s="89"/>
      <c r="E3023" s="207"/>
      <c r="F3023" s="25"/>
      <c r="G3023" s="25"/>
      <c r="H3023" s="32"/>
    </row>
    <row r="3024" spans="1:9" x14ac:dyDescent="0.3">
      <c r="A3024" s="173"/>
      <c r="B3024" s="88"/>
      <c r="C3024" s="206"/>
      <c r="D3024" s="89"/>
      <c r="E3024" s="207"/>
      <c r="F3024" s="25"/>
      <c r="G3024" s="25"/>
      <c r="H3024" s="32"/>
    </row>
    <row r="3025" spans="1:8" x14ac:dyDescent="0.3">
      <c r="A3025" s="173"/>
      <c r="B3025" s="88"/>
      <c r="C3025" s="206"/>
      <c r="D3025" s="89"/>
      <c r="E3025" s="207"/>
      <c r="F3025" s="25"/>
      <c r="G3025" s="25"/>
      <c r="H3025" s="32"/>
    </row>
    <row r="3026" spans="1:8" x14ac:dyDescent="0.3">
      <c r="A3026" s="173"/>
      <c r="B3026" s="88"/>
      <c r="C3026" s="206"/>
      <c r="D3026" s="89"/>
      <c r="E3026" s="207"/>
      <c r="F3026" s="25"/>
      <c r="G3026" s="25"/>
      <c r="H3026" s="32"/>
    </row>
    <row r="3027" spans="1:8" x14ac:dyDescent="0.3">
      <c r="A3027" s="173"/>
      <c r="B3027" s="88"/>
      <c r="C3027" s="206"/>
      <c r="D3027" s="89"/>
      <c r="E3027" s="25"/>
      <c r="F3027" s="25"/>
      <c r="G3027" s="25"/>
      <c r="H3027" s="32"/>
    </row>
    <row r="3028" spans="1:8" x14ac:dyDescent="0.3">
      <c r="A3028" s="27"/>
      <c r="B3028" s="88"/>
      <c r="C3028" s="24"/>
      <c r="D3028" s="89"/>
      <c r="E3028" s="25"/>
      <c r="F3028" s="25"/>
      <c r="G3028" s="25"/>
      <c r="H3028" s="32"/>
    </row>
    <row r="3029" spans="1:8" x14ac:dyDescent="0.3">
      <c r="A3029" s="27"/>
      <c r="B3029" s="28"/>
      <c r="C3029" s="24"/>
      <c r="D3029" s="25"/>
      <c r="E3029" s="25"/>
      <c r="F3029" s="28"/>
      <c r="G3029" s="28"/>
      <c r="H3029" s="32"/>
    </row>
    <row r="3030" spans="1:8" ht="15.6" x14ac:dyDescent="0.3">
      <c r="A3030" s="448" t="s">
        <v>45</v>
      </c>
      <c r="B3030" s="449"/>
      <c r="C3030" s="24"/>
      <c r="D3030" s="25"/>
      <c r="E3030" s="25"/>
      <c r="F3030" s="447" t="s">
        <v>46</v>
      </c>
      <c r="G3030" s="447"/>
      <c r="H3030" s="66">
        <v>154530</v>
      </c>
    </row>
    <row r="3031" spans="1:8" ht="15.6" x14ac:dyDescent="0.3">
      <c r="A3031" s="497" t="s">
        <v>601</v>
      </c>
      <c r="B3031" s="498"/>
      <c r="C3031" s="498"/>
      <c r="D3031" s="498"/>
      <c r="E3031" s="498"/>
      <c r="F3031" s="447" t="s">
        <v>47</v>
      </c>
      <c r="G3031" s="447"/>
      <c r="H3031" s="66">
        <f>H3030*9%</f>
        <v>13907.699999999999</v>
      </c>
    </row>
    <row r="3032" spans="1:8" ht="15.6" x14ac:dyDescent="0.3">
      <c r="A3032" s="27"/>
      <c r="B3032" s="28"/>
      <c r="C3032" s="24"/>
      <c r="D3032" s="25"/>
      <c r="E3032" s="25"/>
      <c r="F3032" s="447" t="s">
        <v>48</v>
      </c>
      <c r="G3032" s="447"/>
      <c r="H3032" s="66">
        <f>H3031</f>
        <v>13907.699999999999</v>
      </c>
    </row>
    <row r="3033" spans="1:8" ht="15.6" x14ac:dyDescent="0.3">
      <c r="A3033" s="448" t="s">
        <v>49</v>
      </c>
      <c r="B3033" s="449"/>
      <c r="C3033" s="24"/>
      <c r="D3033" s="25"/>
      <c r="E3033" s="25"/>
      <c r="F3033" s="447" t="s">
        <v>50</v>
      </c>
      <c r="G3033" s="447"/>
      <c r="H3033" s="66">
        <v>182345</v>
      </c>
    </row>
    <row r="3034" spans="1:8" ht="26.4" x14ac:dyDescent="0.3">
      <c r="A3034" s="68" t="s">
        <v>22</v>
      </c>
      <c r="B3034" s="30" t="s">
        <v>51</v>
      </c>
      <c r="C3034" s="70" t="s">
        <v>24</v>
      </c>
      <c r="D3034" s="70" t="s">
        <v>25</v>
      </c>
      <c r="E3034" s="543" t="s">
        <v>52</v>
      </c>
      <c r="F3034" s="543"/>
      <c r="G3034" s="28"/>
      <c r="H3034" s="32"/>
    </row>
    <row r="3035" spans="1:8" x14ac:dyDescent="0.3">
      <c r="A3035" s="72">
        <v>0.18</v>
      </c>
      <c r="B3035" s="73">
        <f>H3030</f>
        <v>154530</v>
      </c>
      <c r="C3035" s="91">
        <f>H3031</f>
        <v>13907.699999999999</v>
      </c>
      <c r="D3035" s="91">
        <f>H3031</f>
        <v>13907.699999999999</v>
      </c>
      <c r="E3035" s="506">
        <f>C3035+D3035</f>
        <v>27815.399999999998</v>
      </c>
      <c r="F3035" s="507"/>
      <c r="G3035" s="74"/>
      <c r="H3035" s="75"/>
    </row>
    <row r="3036" spans="1:8" x14ac:dyDescent="0.3">
      <c r="A3036" s="508" t="s">
        <v>602</v>
      </c>
      <c r="B3036" s="509"/>
      <c r="C3036" s="509"/>
      <c r="D3036" s="509"/>
      <c r="E3036" s="453"/>
      <c r="F3036" s="453"/>
      <c r="G3036" s="453"/>
      <c r="H3036" s="454"/>
    </row>
    <row r="3037" spans="1:8" ht="15.6" x14ac:dyDescent="0.3">
      <c r="A3037" s="455" t="s">
        <v>53</v>
      </c>
      <c r="B3037" s="456"/>
      <c r="C3037" s="456"/>
      <c r="D3037" s="457"/>
      <c r="E3037" s="458" t="s">
        <v>54</v>
      </c>
      <c r="F3037" s="459"/>
      <c r="G3037" s="459"/>
      <c r="H3037" s="460"/>
    </row>
    <row r="3038" spans="1:8" x14ac:dyDescent="0.3">
      <c r="A3038" s="461" t="s">
        <v>55</v>
      </c>
      <c r="B3038" s="462"/>
      <c r="C3038" s="462"/>
      <c r="D3038" s="463"/>
      <c r="E3038" s="39"/>
      <c r="F3038" s="28"/>
      <c r="G3038" s="28"/>
      <c r="H3038" s="32"/>
    </row>
    <row r="3039" spans="1:8" x14ac:dyDescent="0.3">
      <c r="A3039" s="461" t="s">
        <v>56</v>
      </c>
      <c r="B3039" s="462"/>
      <c r="C3039" s="462"/>
      <c r="D3039" s="463"/>
      <c r="E3039" s="39"/>
      <c r="F3039" s="28"/>
      <c r="G3039" s="28"/>
      <c r="H3039" s="32"/>
    </row>
    <row r="3040" spans="1:8" x14ac:dyDescent="0.3">
      <c r="A3040" s="461" t="s">
        <v>57</v>
      </c>
      <c r="B3040" s="462"/>
      <c r="C3040" s="462"/>
      <c r="D3040" s="463"/>
      <c r="E3040" s="39"/>
      <c r="F3040" s="28"/>
      <c r="G3040" s="28"/>
      <c r="H3040" s="32"/>
    </row>
    <row r="3041" spans="1:8" ht="15.6" x14ac:dyDescent="0.3">
      <c r="A3041" s="464" t="s">
        <v>58</v>
      </c>
      <c r="B3041" s="465"/>
      <c r="C3041" s="465"/>
      <c r="D3041" s="465"/>
      <c r="E3041" s="466" t="s">
        <v>59</v>
      </c>
      <c r="F3041" s="467"/>
      <c r="G3041" s="467"/>
      <c r="H3041" s="468"/>
    </row>
    <row r="3044" spans="1:8" ht="44.4" x14ac:dyDescent="0.7">
      <c r="A3044" s="469" t="s">
        <v>0</v>
      </c>
      <c r="B3044" s="470"/>
      <c r="C3044" s="470"/>
      <c r="D3044" s="470"/>
      <c r="E3044" s="471" t="s">
        <v>143</v>
      </c>
      <c r="F3044" s="472"/>
      <c r="G3044" s="472"/>
      <c r="H3044" s="473"/>
    </row>
    <row r="3045" spans="1:8" ht="20.399999999999999" x14ac:dyDescent="0.35">
      <c r="A3045" s="1"/>
      <c r="B3045" s="476" t="s">
        <v>2</v>
      </c>
      <c r="C3045" s="476"/>
      <c r="D3045" s="476"/>
      <c r="E3045" s="474"/>
      <c r="F3045" s="474"/>
      <c r="G3045" s="474"/>
      <c r="H3045" s="475"/>
    </row>
    <row r="3046" spans="1:8" x14ac:dyDescent="0.3">
      <c r="A3046" s="477" t="s">
        <v>3</v>
      </c>
      <c r="B3046" s="478"/>
      <c r="C3046" s="479" t="s">
        <v>4</v>
      </c>
      <c r="D3046" s="479"/>
      <c r="E3046" s="480" t="s">
        <v>5</v>
      </c>
      <c r="F3046" s="480"/>
      <c r="G3046" s="480"/>
      <c r="H3046" s="480"/>
    </row>
    <row r="3047" spans="1:8" ht="15.6" x14ac:dyDescent="0.3">
      <c r="A3047" s="138" t="s">
        <v>6</v>
      </c>
      <c r="B3047" s="5"/>
      <c r="C3047" s="481" t="s">
        <v>7</v>
      </c>
      <c r="D3047" s="481"/>
      <c r="E3047" s="482">
        <v>67</v>
      </c>
      <c r="F3047" s="482"/>
      <c r="G3047" s="44" t="s">
        <v>8</v>
      </c>
      <c r="H3047" s="8">
        <v>45998</v>
      </c>
    </row>
    <row r="3048" spans="1:8" ht="15.6" x14ac:dyDescent="0.3">
      <c r="A3048" s="556" t="s">
        <v>607</v>
      </c>
      <c r="B3048" s="557"/>
      <c r="C3048" s="481" t="s">
        <v>10</v>
      </c>
      <c r="D3048" s="481"/>
      <c r="E3048" s="489"/>
      <c r="F3048" s="491"/>
      <c r="G3048" s="44" t="s">
        <v>8</v>
      </c>
      <c r="H3048" s="47"/>
    </row>
    <row r="3049" spans="1:8" ht="15.6" x14ac:dyDescent="0.3">
      <c r="A3049" s="517" t="s">
        <v>608</v>
      </c>
      <c r="B3049" s="553"/>
      <c r="C3049" s="519" t="s">
        <v>12</v>
      </c>
      <c r="D3049" s="519"/>
      <c r="E3049" s="489"/>
      <c r="F3049" s="491"/>
      <c r="G3049" s="48" t="s">
        <v>8</v>
      </c>
      <c r="H3049" s="8"/>
    </row>
    <row r="3050" spans="1:8" ht="15.6" x14ac:dyDescent="0.3">
      <c r="A3050" s="595" t="s">
        <v>14</v>
      </c>
      <c r="B3050" s="553"/>
      <c r="C3050" s="481" t="s">
        <v>15</v>
      </c>
      <c r="D3050" s="481"/>
      <c r="E3050" s="631" t="s">
        <v>609</v>
      </c>
      <c r="F3050" s="632"/>
      <c r="G3050" s="633"/>
      <c r="H3050" s="49"/>
    </row>
    <row r="3051" spans="1:8" ht="15.6" x14ac:dyDescent="0.3">
      <c r="A3051" s="678" t="s">
        <v>129</v>
      </c>
      <c r="B3051" s="679"/>
      <c r="C3051" s="24"/>
      <c r="D3051" s="25"/>
      <c r="E3051" s="50"/>
      <c r="F3051" s="50"/>
      <c r="G3051" s="51"/>
      <c r="H3051" s="52"/>
    </row>
    <row r="3052" spans="1:8" ht="15" x14ac:dyDescent="0.3">
      <c r="A3052" s="492" t="s">
        <v>17</v>
      </c>
      <c r="B3052" s="494" t="s">
        <v>18</v>
      </c>
      <c r="C3052" s="494" t="s">
        <v>19</v>
      </c>
      <c r="D3052" s="494" t="s">
        <v>20</v>
      </c>
      <c r="E3052" s="494" t="s">
        <v>21</v>
      </c>
      <c r="F3052" s="494" t="s">
        <v>22</v>
      </c>
      <c r="G3052" s="494"/>
      <c r="H3052" s="492" t="s">
        <v>23</v>
      </c>
    </row>
    <row r="3053" spans="1:8" ht="27.6" x14ac:dyDescent="0.3">
      <c r="A3053" s="492"/>
      <c r="B3053" s="494"/>
      <c r="C3053" s="494"/>
      <c r="D3053" s="494"/>
      <c r="E3053" s="494"/>
      <c r="F3053" s="53" t="s">
        <v>24</v>
      </c>
      <c r="G3053" s="53" t="s">
        <v>25</v>
      </c>
      <c r="H3053" s="492"/>
    </row>
    <row r="3054" spans="1:8" x14ac:dyDescent="0.3">
      <c r="A3054" s="57">
        <v>1</v>
      </c>
      <c r="B3054" s="149" t="s">
        <v>610</v>
      </c>
      <c r="C3054" s="57">
        <v>1</v>
      </c>
      <c r="D3054" s="150">
        <v>9031</v>
      </c>
      <c r="E3054" s="57">
        <v>32000</v>
      </c>
      <c r="F3054" s="151">
        <f>E3054*C3054*9%</f>
        <v>2880</v>
      </c>
      <c r="G3054" s="151">
        <f>F3054</f>
        <v>2880</v>
      </c>
      <c r="H3054" s="57">
        <f>G3054+F3054+E3054*C3054</f>
        <v>37760</v>
      </c>
    </row>
    <row r="3055" spans="1:8" x14ac:dyDescent="0.3">
      <c r="A3055" s="147"/>
      <c r="B3055" s="149"/>
      <c r="C3055" s="141"/>
      <c r="D3055" s="150"/>
      <c r="E3055" s="55"/>
      <c r="F3055" s="151"/>
      <c r="G3055" s="151"/>
      <c r="H3055" s="57"/>
    </row>
    <row r="3056" spans="1:8" x14ac:dyDescent="0.3">
      <c r="A3056" s="57"/>
      <c r="B3056" s="60"/>
      <c r="C3056" s="55"/>
      <c r="D3056" s="150"/>
      <c r="E3056" s="57"/>
      <c r="F3056" s="151"/>
      <c r="G3056" s="151"/>
      <c r="H3056" s="57"/>
    </row>
    <row r="3057" spans="1:8" x14ac:dyDescent="0.3">
      <c r="A3057" s="147"/>
      <c r="B3057" s="60"/>
      <c r="C3057" s="55"/>
      <c r="D3057" s="150"/>
      <c r="E3057" s="57"/>
      <c r="F3057" s="151"/>
      <c r="G3057" s="151"/>
      <c r="H3057" s="57"/>
    </row>
    <row r="3058" spans="1:8" x14ac:dyDescent="0.3">
      <c r="A3058" s="57"/>
      <c r="B3058" s="94"/>
      <c r="C3058" s="55"/>
      <c r="D3058" s="150"/>
      <c r="E3058" s="47"/>
      <c r="F3058" s="151"/>
      <c r="G3058" s="151"/>
      <c r="H3058" s="57"/>
    </row>
    <row r="3059" spans="1:8" x14ac:dyDescent="0.3">
      <c r="A3059" s="55"/>
      <c r="B3059" s="94"/>
      <c r="C3059" s="55"/>
      <c r="D3059" s="56"/>
      <c r="E3059" s="47"/>
      <c r="F3059" s="151"/>
      <c r="G3059" s="151"/>
      <c r="H3059" s="57"/>
    </row>
    <row r="3060" spans="1:8" x14ac:dyDescent="0.3">
      <c r="A3060" s="27"/>
      <c r="B3060" s="28"/>
      <c r="C3060" s="24"/>
      <c r="D3060" s="152"/>
      <c r="E3060" s="25"/>
      <c r="F3060" s="153"/>
      <c r="G3060" s="153"/>
      <c r="H3060" s="154"/>
    </row>
    <row r="3061" spans="1:8" x14ac:dyDescent="0.3">
      <c r="A3061" s="27"/>
      <c r="B3061" s="28"/>
      <c r="C3061" s="24"/>
      <c r="D3061" s="152"/>
      <c r="E3061" s="25"/>
      <c r="F3061" s="153"/>
      <c r="G3061" s="153"/>
      <c r="H3061" s="154"/>
    </row>
    <row r="3062" spans="1:8" x14ac:dyDescent="0.3">
      <c r="A3062" s="27"/>
      <c r="B3062" s="28"/>
      <c r="C3062" s="24"/>
      <c r="D3062" s="152"/>
      <c r="E3062" s="25"/>
      <c r="F3062" s="153"/>
      <c r="G3062" s="153"/>
      <c r="H3062" s="154"/>
    </row>
    <row r="3063" spans="1:8" x14ac:dyDescent="0.3">
      <c r="A3063" s="27"/>
      <c r="B3063" s="28"/>
      <c r="C3063" s="24"/>
      <c r="D3063" s="152"/>
      <c r="E3063" s="25"/>
      <c r="F3063" s="153"/>
      <c r="G3063" s="153"/>
      <c r="H3063" s="154"/>
    </row>
    <row r="3064" spans="1:8" x14ac:dyDescent="0.3">
      <c r="A3064" s="27"/>
      <c r="B3064" s="28"/>
      <c r="C3064" s="24"/>
      <c r="D3064" s="152"/>
      <c r="E3064" s="25"/>
      <c r="F3064" s="153"/>
      <c r="G3064" s="153"/>
      <c r="H3064" s="154"/>
    </row>
    <row r="3065" spans="1:8" x14ac:dyDescent="0.3">
      <c r="A3065" s="27"/>
      <c r="B3065" s="28"/>
      <c r="C3065" s="24"/>
      <c r="D3065" s="152"/>
      <c r="E3065" s="25"/>
      <c r="F3065" s="153"/>
      <c r="G3065" s="153"/>
      <c r="H3065" s="154"/>
    </row>
    <row r="3066" spans="1:8" x14ac:dyDescent="0.3">
      <c r="A3066" s="27"/>
      <c r="B3066" s="28"/>
      <c r="C3066" s="24"/>
      <c r="D3066" s="152"/>
      <c r="E3066" s="25"/>
      <c r="F3066" s="153"/>
      <c r="G3066" s="153"/>
      <c r="H3066" s="154"/>
    </row>
    <row r="3067" spans="1:8" x14ac:dyDescent="0.3">
      <c r="A3067" s="27"/>
      <c r="B3067" s="28"/>
      <c r="C3067" s="24"/>
      <c r="D3067" s="152"/>
      <c r="E3067" s="25"/>
      <c r="F3067" s="153"/>
      <c r="G3067" s="153"/>
      <c r="H3067" s="154"/>
    </row>
    <row r="3068" spans="1:8" x14ac:dyDescent="0.3">
      <c r="A3068" s="27"/>
      <c r="B3068" s="28"/>
      <c r="C3068" s="24"/>
      <c r="D3068" s="152"/>
      <c r="E3068" s="25"/>
      <c r="F3068" s="153"/>
      <c r="G3068" s="153"/>
      <c r="H3068" s="154"/>
    </row>
    <row r="3069" spans="1:8" x14ac:dyDescent="0.3">
      <c r="A3069" s="27"/>
      <c r="B3069" s="28"/>
      <c r="C3069" s="24"/>
      <c r="D3069" s="152"/>
      <c r="E3069" s="25"/>
      <c r="F3069" s="153"/>
      <c r="G3069" s="153"/>
      <c r="H3069" s="154"/>
    </row>
    <row r="3070" spans="1:8" x14ac:dyDescent="0.3">
      <c r="A3070" s="27"/>
      <c r="B3070" s="28"/>
      <c r="C3070" s="24"/>
      <c r="D3070" s="152"/>
      <c r="E3070" s="25"/>
      <c r="F3070" s="153"/>
      <c r="G3070" s="153"/>
      <c r="H3070" s="154"/>
    </row>
    <row r="3071" spans="1:8" x14ac:dyDescent="0.3">
      <c r="A3071" s="27"/>
      <c r="B3071" s="28"/>
      <c r="C3071" s="24"/>
      <c r="D3071" s="152"/>
      <c r="E3071" s="25"/>
      <c r="F3071" s="153"/>
      <c r="G3071" s="153"/>
      <c r="H3071" s="154"/>
    </row>
    <row r="3072" spans="1:8" x14ac:dyDescent="0.3">
      <c r="A3072" s="27"/>
      <c r="B3072" s="28"/>
      <c r="C3072" s="24"/>
      <c r="D3072" s="152"/>
      <c r="E3072" s="25"/>
      <c r="F3072" s="153"/>
      <c r="G3072" s="153"/>
      <c r="H3072" s="154"/>
    </row>
    <row r="3073" spans="1:8" x14ac:dyDescent="0.3">
      <c r="A3073" s="27"/>
      <c r="B3073" s="28"/>
      <c r="C3073" s="24"/>
      <c r="D3073" s="25"/>
      <c r="E3073" s="25"/>
      <c r="F3073" s="25"/>
      <c r="G3073" s="28"/>
      <c r="H3073" s="32"/>
    </row>
    <row r="3074" spans="1:8" x14ac:dyDescent="0.3">
      <c r="A3074" s="27"/>
      <c r="B3074" s="28"/>
      <c r="C3074" s="24"/>
      <c r="D3074" s="25"/>
      <c r="E3074" s="25"/>
      <c r="F3074" s="25"/>
      <c r="G3074" s="28"/>
      <c r="H3074" s="32"/>
    </row>
    <row r="3075" spans="1:8" x14ac:dyDescent="0.3">
      <c r="A3075" s="27"/>
      <c r="B3075" s="28"/>
      <c r="C3075" s="24"/>
      <c r="D3075" s="25"/>
      <c r="E3075" s="25"/>
      <c r="F3075" s="25"/>
      <c r="G3075" s="28"/>
      <c r="H3075" s="32"/>
    </row>
    <row r="3076" spans="1:8" x14ac:dyDescent="0.3">
      <c r="A3076" s="27"/>
      <c r="B3076" s="28"/>
      <c r="C3076" s="24"/>
      <c r="D3076" s="25"/>
      <c r="E3076" s="25"/>
      <c r="F3076" s="25"/>
      <c r="G3076" s="28"/>
      <c r="H3076" s="32"/>
    </row>
    <row r="3077" spans="1:8" x14ac:dyDescent="0.3">
      <c r="A3077" s="27"/>
      <c r="B3077" s="28"/>
      <c r="C3077" s="24"/>
      <c r="D3077" s="25"/>
      <c r="E3077" s="25"/>
      <c r="F3077" s="25"/>
      <c r="G3077" s="28"/>
      <c r="H3077" s="32"/>
    </row>
    <row r="3078" spans="1:8" ht="15.6" x14ac:dyDescent="0.3">
      <c r="A3078" s="497" t="s">
        <v>97</v>
      </c>
      <c r="B3078" s="498"/>
      <c r="C3078" s="24"/>
      <c r="D3078" s="25"/>
      <c r="E3078" s="25"/>
      <c r="F3078" s="116" t="s">
        <v>46</v>
      </c>
      <c r="G3078" s="26"/>
      <c r="H3078" s="66">
        <v>32000</v>
      </c>
    </row>
    <row r="3079" spans="1:8" ht="15.6" x14ac:dyDescent="0.3">
      <c r="A3079" s="497" t="s">
        <v>611</v>
      </c>
      <c r="B3079" s="498"/>
      <c r="C3079" s="498"/>
      <c r="D3079" s="498"/>
      <c r="E3079" s="67"/>
      <c r="F3079" s="116" t="s">
        <v>47</v>
      </c>
      <c r="G3079" s="26"/>
      <c r="H3079" s="66">
        <f>H3078*9%</f>
        <v>2880</v>
      </c>
    </row>
    <row r="3080" spans="1:8" ht="15.6" x14ac:dyDescent="0.3">
      <c r="A3080" s="27"/>
      <c r="B3080" s="28"/>
      <c r="C3080" s="24"/>
      <c r="D3080" s="25"/>
      <c r="E3080" s="25"/>
      <c r="F3080" s="116" t="s">
        <v>48</v>
      </c>
      <c r="G3080" s="26"/>
      <c r="H3080" s="66">
        <f>H3078*9%</f>
        <v>2880</v>
      </c>
    </row>
    <row r="3081" spans="1:8" ht="15.6" x14ac:dyDescent="0.3">
      <c r="A3081" s="497" t="s">
        <v>49</v>
      </c>
      <c r="B3081" s="498"/>
      <c r="C3081" s="498"/>
      <c r="D3081" s="25"/>
      <c r="E3081" s="25"/>
      <c r="F3081" s="116" t="s">
        <v>50</v>
      </c>
      <c r="G3081" s="26"/>
      <c r="H3081" s="66">
        <v>37760</v>
      </c>
    </row>
    <row r="3082" spans="1:8" ht="27" x14ac:dyDescent="0.3">
      <c r="A3082" s="68" t="s">
        <v>22</v>
      </c>
      <c r="B3082" s="69" t="s">
        <v>51</v>
      </c>
      <c r="C3082" s="70" t="s">
        <v>24</v>
      </c>
      <c r="D3082" s="31" t="s">
        <v>25</v>
      </c>
      <c r="E3082" s="528" t="s">
        <v>52</v>
      </c>
      <c r="F3082" s="528"/>
      <c r="G3082" s="28"/>
      <c r="H3082" s="32"/>
    </row>
    <row r="3083" spans="1:8" x14ac:dyDescent="0.3">
      <c r="A3083" s="72">
        <v>0.18</v>
      </c>
      <c r="B3083" s="73">
        <f>H3078</f>
        <v>32000</v>
      </c>
      <c r="C3083" s="155">
        <f>H3079</f>
        <v>2880</v>
      </c>
      <c r="D3083" s="155">
        <f>H3080</f>
        <v>2880</v>
      </c>
      <c r="E3083" s="507">
        <f>C3083+D3083</f>
        <v>5760</v>
      </c>
      <c r="F3083" s="507"/>
      <c r="G3083" s="74"/>
      <c r="H3083" s="75"/>
    </row>
    <row r="3084" spans="1:8" x14ac:dyDescent="0.3">
      <c r="A3084" s="76" t="s">
        <v>612</v>
      </c>
      <c r="B3084" s="77"/>
      <c r="C3084" s="77"/>
      <c r="D3084" s="77"/>
      <c r="E3084" s="289"/>
      <c r="F3084" s="78"/>
      <c r="G3084" s="36"/>
      <c r="H3084" s="79"/>
    </row>
    <row r="3085" spans="1:8" ht="15.6" x14ac:dyDescent="0.3">
      <c r="A3085" s="455" t="s">
        <v>53</v>
      </c>
      <c r="B3085" s="456"/>
      <c r="C3085" s="456"/>
      <c r="D3085" s="456"/>
      <c r="E3085" s="458" t="s">
        <v>54</v>
      </c>
      <c r="F3085" s="459"/>
      <c r="G3085" s="459"/>
      <c r="H3085" s="460"/>
    </row>
    <row r="3086" spans="1:8" x14ac:dyDescent="0.3">
      <c r="A3086" s="461" t="s">
        <v>55</v>
      </c>
      <c r="B3086" s="462"/>
      <c r="C3086" s="462"/>
      <c r="D3086" s="462"/>
      <c r="E3086" s="39"/>
      <c r="F3086" s="25"/>
      <c r="G3086" s="28"/>
      <c r="H3086" s="32"/>
    </row>
    <row r="3087" spans="1:8" x14ac:dyDescent="0.3">
      <c r="A3087" s="461" t="s">
        <v>56</v>
      </c>
      <c r="B3087" s="462"/>
      <c r="C3087" s="462"/>
      <c r="D3087" s="462"/>
      <c r="E3087" s="39"/>
      <c r="F3087" s="25"/>
      <c r="G3087" s="28"/>
      <c r="H3087" s="32"/>
    </row>
    <row r="3088" spans="1:8" x14ac:dyDescent="0.3">
      <c r="A3088" s="461" t="s">
        <v>57</v>
      </c>
      <c r="B3088" s="462"/>
      <c r="C3088" s="462"/>
      <c r="D3088" s="462"/>
      <c r="E3088" s="39"/>
      <c r="F3088" s="25"/>
      <c r="G3088" s="28"/>
      <c r="H3088" s="32"/>
    </row>
    <row r="3089" spans="1:8" ht="15.6" x14ac:dyDescent="0.3">
      <c r="A3089" s="464" t="s">
        <v>58</v>
      </c>
      <c r="B3089" s="465"/>
      <c r="C3089" s="465"/>
      <c r="D3089" s="465"/>
      <c r="E3089" s="466" t="s">
        <v>59</v>
      </c>
      <c r="F3089" s="467"/>
      <c r="G3089" s="467"/>
      <c r="H3089" s="468"/>
    </row>
    <row r="3093" spans="1:8" ht="44.4" x14ac:dyDescent="0.7">
      <c r="A3093" s="469" t="s">
        <v>0</v>
      </c>
      <c r="B3093" s="470"/>
      <c r="C3093" s="470"/>
      <c r="D3093" s="470"/>
      <c r="E3093" s="471" t="s">
        <v>1</v>
      </c>
      <c r="F3093" s="472"/>
      <c r="G3093" s="472"/>
      <c r="H3093" s="473"/>
    </row>
    <row r="3094" spans="1:8" ht="20.399999999999999" x14ac:dyDescent="0.35">
      <c r="A3094" s="156"/>
      <c r="B3094" s="476" t="s">
        <v>2</v>
      </c>
      <c r="C3094" s="476"/>
      <c r="D3094" s="476"/>
      <c r="E3094" s="474"/>
      <c r="F3094" s="474"/>
      <c r="G3094" s="474"/>
      <c r="H3094" s="475"/>
    </row>
    <row r="3095" spans="1:8" x14ac:dyDescent="0.3">
      <c r="A3095" s="157" t="s">
        <v>3</v>
      </c>
      <c r="B3095" s="137"/>
      <c r="C3095" s="136"/>
      <c r="D3095" s="499" t="s">
        <v>4</v>
      </c>
      <c r="E3095" s="499"/>
      <c r="F3095" s="137"/>
      <c r="G3095" s="137" t="s">
        <v>134</v>
      </c>
      <c r="H3095" s="120"/>
    </row>
    <row r="3096" spans="1:8" ht="15.6" x14ac:dyDescent="0.3">
      <c r="A3096" s="158" t="s">
        <v>6</v>
      </c>
      <c r="B3096" s="5"/>
      <c r="C3096" s="481" t="s">
        <v>7</v>
      </c>
      <c r="D3096" s="481"/>
      <c r="E3096" s="482">
        <v>68</v>
      </c>
      <c r="F3096" s="482"/>
      <c r="G3096" s="7" t="s">
        <v>8</v>
      </c>
      <c r="H3096" s="8" t="s">
        <v>615</v>
      </c>
    </row>
    <row r="3097" spans="1:8" ht="15.6" x14ac:dyDescent="0.3">
      <c r="A3097" s="551" t="s">
        <v>319</v>
      </c>
      <c r="B3097" s="552"/>
      <c r="C3097" s="481" t="s">
        <v>10</v>
      </c>
      <c r="D3097" s="481"/>
      <c r="E3097" s="482"/>
      <c r="F3097" s="482"/>
      <c r="G3097" s="7" t="s">
        <v>8</v>
      </c>
      <c r="H3097" s="9"/>
    </row>
    <row r="3098" spans="1:8" ht="15" x14ac:dyDescent="0.3">
      <c r="A3098" s="517" t="s">
        <v>320</v>
      </c>
      <c r="B3098" s="553"/>
      <c r="C3098" s="483" t="s">
        <v>12</v>
      </c>
      <c r="D3098" s="484"/>
      <c r="E3098" s="584"/>
      <c r="F3098" s="585"/>
      <c r="G3098" s="10" t="s">
        <v>8</v>
      </c>
      <c r="H3098" s="82"/>
    </row>
    <row r="3099" spans="1:8" ht="15.6" x14ac:dyDescent="0.3">
      <c r="A3099" s="556" t="s">
        <v>321</v>
      </c>
      <c r="B3099" s="557"/>
      <c r="C3099" s="481" t="s">
        <v>15</v>
      </c>
      <c r="D3099" s="481"/>
      <c r="E3099" s="502" t="s">
        <v>322</v>
      </c>
      <c r="F3099" s="503"/>
      <c r="G3099" s="503"/>
      <c r="H3099" s="504"/>
    </row>
    <row r="3100" spans="1:8" ht="15.6" x14ac:dyDescent="0.3">
      <c r="A3100" s="558" t="s">
        <v>616</v>
      </c>
      <c r="B3100" s="559"/>
      <c r="C3100" s="489"/>
      <c r="D3100" s="490"/>
      <c r="E3100" s="490"/>
      <c r="F3100" s="490"/>
      <c r="G3100" s="490"/>
      <c r="H3100" s="491"/>
    </row>
    <row r="3101" spans="1:8" ht="15" x14ac:dyDescent="0.3">
      <c r="A3101" s="492" t="s">
        <v>17</v>
      </c>
      <c r="B3101" s="494" t="s">
        <v>18</v>
      </c>
      <c r="C3101" s="494" t="s">
        <v>19</v>
      </c>
      <c r="D3101" s="494" t="s">
        <v>20</v>
      </c>
      <c r="E3101" s="494" t="s">
        <v>21</v>
      </c>
      <c r="F3101" s="494" t="s">
        <v>22</v>
      </c>
      <c r="G3101" s="494"/>
      <c r="H3101" s="493" t="s">
        <v>23</v>
      </c>
    </row>
    <row r="3102" spans="1:8" ht="15" customHeight="1" x14ac:dyDescent="0.3">
      <c r="A3102" s="492"/>
      <c r="B3102" s="494"/>
      <c r="C3102" s="494"/>
      <c r="D3102" s="494"/>
      <c r="E3102" s="494"/>
      <c r="F3102" s="53" t="s">
        <v>24</v>
      </c>
      <c r="G3102" s="53" t="s">
        <v>25</v>
      </c>
      <c r="H3102" s="527"/>
    </row>
    <row r="3103" spans="1:8" ht="27.6" x14ac:dyDescent="0.3">
      <c r="A3103" s="55">
        <v>1</v>
      </c>
      <c r="B3103" s="130" t="s">
        <v>617</v>
      </c>
      <c r="C3103" s="55">
        <v>2</v>
      </c>
      <c r="D3103" s="86">
        <v>998719</v>
      </c>
      <c r="E3103" s="55">
        <v>2500</v>
      </c>
      <c r="F3103" s="93">
        <f>E3103*C3103*9%</f>
        <v>450</v>
      </c>
      <c r="G3103" s="93">
        <f>F3103</f>
        <v>450</v>
      </c>
      <c r="H3103" s="62">
        <f>G3103+F3103+E3103*C3103</f>
        <v>5900</v>
      </c>
    </row>
    <row r="3104" spans="1:8" x14ac:dyDescent="0.3">
      <c r="A3104" s="57"/>
      <c r="B3104" s="60"/>
      <c r="C3104" s="57"/>
      <c r="D3104" s="83"/>
      <c r="E3104" s="57"/>
      <c r="F3104" s="58"/>
      <c r="G3104" s="58"/>
      <c r="H3104" s="59"/>
    </row>
    <row r="3105" spans="1:8" x14ac:dyDescent="0.3">
      <c r="A3105" s="57"/>
      <c r="B3105" s="60"/>
      <c r="C3105" s="57"/>
      <c r="D3105" s="83"/>
      <c r="E3105" s="57"/>
      <c r="F3105" s="58"/>
      <c r="G3105" s="58"/>
      <c r="H3105" s="59"/>
    </row>
    <row r="3106" spans="1:8" x14ac:dyDescent="0.3">
      <c r="A3106" s="57"/>
      <c r="B3106" s="60"/>
      <c r="C3106" s="57"/>
      <c r="D3106" s="83"/>
      <c r="E3106" s="57"/>
      <c r="F3106" s="58"/>
      <c r="G3106" s="58"/>
      <c r="H3106" s="59"/>
    </row>
    <row r="3107" spans="1:8" x14ac:dyDescent="0.3">
      <c r="A3107" s="27"/>
      <c r="B3107" s="88"/>
      <c r="C3107" s="24"/>
      <c r="D3107" s="89"/>
      <c r="E3107" s="24"/>
      <c r="F3107" s="133"/>
      <c r="G3107" s="133"/>
      <c r="H3107" s="134"/>
    </row>
    <row r="3108" spans="1:8" x14ac:dyDescent="0.3">
      <c r="A3108" s="27"/>
      <c r="B3108" s="88"/>
      <c r="C3108" s="24"/>
      <c r="D3108" s="89"/>
      <c r="E3108" s="24"/>
      <c r="F3108" s="133"/>
      <c r="G3108" s="133"/>
      <c r="H3108" s="134"/>
    </row>
    <row r="3109" spans="1:8" x14ac:dyDescent="0.3">
      <c r="A3109" s="27"/>
      <c r="B3109" s="88"/>
      <c r="C3109" s="24"/>
      <c r="D3109" s="89"/>
      <c r="E3109" s="24"/>
      <c r="F3109" s="133"/>
      <c r="G3109" s="133"/>
      <c r="H3109" s="134"/>
    </row>
    <row r="3110" spans="1:8" x14ac:dyDescent="0.3">
      <c r="A3110" s="27"/>
      <c r="B3110" s="88"/>
      <c r="C3110" s="24"/>
      <c r="D3110" s="89"/>
      <c r="E3110" s="24"/>
      <c r="F3110" s="133"/>
      <c r="G3110" s="133"/>
      <c r="H3110" s="134"/>
    </row>
    <row r="3111" spans="1:8" x14ac:dyDescent="0.3">
      <c r="A3111" s="27"/>
      <c r="B3111" s="88"/>
      <c r="C3111" s="24"/>
      <c r="D3111" s="89"/>
      <c r="E3111" s="24"/>
      <c r="F3111" s="133"/>
      <c r="G3111" s="133"/>
      <c r="H3111" s="134"/>
    </row>
    <row r="3112" spans="1:8" x14ac:dyDescent="0.3">
      <c r="A3112" s="27"/>
      <c r="B3112" s="28"/>
      <c r="C3112" s="24"/>
      <c r="D3112" s="89"/>
      <c r="E3112" s="25"/>
      <c r="F3112" s="25"/>
      <c r="G3112" s="25"/>
      <c r="H3112" s="32"/>
    </row>
    <row r="3113" spans="1:8" x14ac:dyDescent="0.3">
      <c r="A3113" s="27"/>
      <c r="B3113" s="28"/>
      <c r="C3113" s="24"/>
      <c r="D3113" s="89"/>
      <c r="E3113" s="25"/>
      <c r="F3113" s="25"/>
      <c r="G3113" s="25"/>
      <c r="H3113" s="32"/>
    </row>
    <row r="3114" spans="1:8" x14ac:dyDescent="0.3">
      <c r="A3114" s="27"/>
      <c r="B3114" s="28"/>
      <c r="C3114" s="24"/>
      <c r="D3114" s="89"/>
      <c r="E3114" s="25"/>
      <c r="F3114" s="25"/>
      <c r="G3114" s="25"/>
      <c r="H3114" s="32"/>
    </row>
    <row r="3115" spans="1:8" x14ac:dyDescent="0.3">
      <c r="A3115" s="27"/>
      <c r="B3115" s="28"/>
      <c r="C3115" s="24"/>
      <c r="D3115" s="89"/>
      <c r="E3115" s="25"/>
      <c r="F3115" s="25"/>
      <c r="G3115" s="25"/>
      <c r="H3115" s="32"/>
    </row>
    <row r="3116" spans="1:8" x14ac:dyDescent="0.3">
      <c r="A3116" s="27"/>
      <c r="B3116" s="28"/>
      <c r="C3116" s="24"/>
      <c r="D3116" s="89"/>
      <c r="E3116" s="25"/>
      <c r="F3116" s="25"/>
      <c r="G3116" s="25"/>
      <c r="H3116" s="32"/>
    </row>
    <row r="3117" spans="1:8" x14ac:dyDescent="0.3">
      <c r="A3117" s="27"/>
      <c r="B3117" s="28"/>
      <c r="C3117" s="24"/>
      <c r="D3117" s="89"/>
      <c r="E3117" s="25"/>
      <c r="F3117" s="25"/>
      <c r="G3117" s="25"/>
      <c r="H3117" s="32"/>
    </row>
    <row r="3118" spans="1:8" x14ac:dyDescent="0.3">
      <c r="A3118" s="27"/>
      <c r="B3118" s="28"/>
      <c r="C3118" s="24"/>
      <c r="D3118" s="89"/>
      <c r="E3118" s="25"/>
      <c r="F3118" s="25"/>
      <c r="G3118" s="25"/>
      <c r="H3118" s="32"/>
    </row>
    <row r="3119" spans="1:8" x14ac:dyDescent="0.3">
      <c r="A3119" s="27"/>
      <c r="B3119" s="28"/>
      <c r="C3119" s="24"/>
      <c r="D3119" s="89"/>
      <c r="E3119" s="25"/>
      <c r="F3119" s="25"/>
      <c r="G3119" s="25"/>
      <c r="H3119" s="32"/>
    </row>
    <row r="3120" spans="1:8" x14ac:dyDescent="0.3">
      <c r="A3120" s="159"/>
      <c r="B3120" s="28"/>
      <c r="C3120" s="24"/>
      <c r="D3120" s="25"/>
      <c r="E3120" s="25"/>
      <c r="F3120" s="28"/>
      <c r="G3120" s="28"/>
      <c r="H3120" s="32"/>
    </row>
    <row r="3121" spans="1:8" x14ac:dyDescent="0.3">
      <c r="A3121" s="159"/>
      <c r="B3121" s="28"/>
      <c r="C3121" s="24"/>
      <c r="D3121" s="25"/>
      <c r="E3121" s="25"/>
      <c r="F3121" s="28"/>
      <c r="G3121" s="28"/>
      <c r="H3121" s="32"/>
    </row>
    <row r="3122" spans="1:8" x14ac:dyDescent="0.3">
      <c r="A3122" s="159"/>
      <c r="B3122" s="28"/>
      <c r="C3122" s="24"/>
      <c r="D3122" s="25"/>
      <c r="E3122" s="25"/>
      <c r="F3122" s="28"/>
      <c r="G3122" s="28"/>
      <c r="H3122" s="32"/>
    </row>
    <row r="3123" spans="1:8" ht="15.6" x14ac:dyDescent="0.3">
      <c r="A3123" s="64" t="s">
        <v>45</v>
      </c>
      <c r="B3123" s="28"/>
      <c r="C3123" s="24"/>
      <c r="D3123" s="25"/>
      <c r="E3123" s="25"/>
      <c r="F3123" s="447" t="s">
        <v>46</v>
      </c>
      <c r="G3123" s="447"/>
      <c r="H3123" s="66">
        <v>5000</v>
      </c>
    </row>
    <row r="3124" spans="1:8" ht="15.6" x14ac:dyDescent="0.3">
      <c r="A3124" s="497" t="s">
        <v>618</v>
      </c>
      <c r="B3124" s="498"/>
      <c r="C3124" s="498"/>
      <c r="D3124" s="498"/>
      <c r="E3124" s="498"/>
      <c r="F3124" s="447" t="s">
        <v>47</v>
      </c>
      <c r="G3124" s="447"/>
      <c r="H3124" s="66">
        <f>H3123*9%</f>
        <v>450</v>
      </c>
    </row>
    <row r="3125" spans="1:8" ht="15.6" x14ac:dyDescent="0.3">
      <c r="A3125" s="159"/>
      <c r="B3125" s="28"/>
      <c r="C3125" s="24"/>
      <c r="D3125" s="25"/>
      <c r="E3125" s="25"/>
      <c r="F3125" s="447" t="s">
        <v>48</v>
      </c>
      <c r="G3125" s="447"/>
      <c r="H3125" s="66">
        <f>H3123*9%</f>
        <v>450</v>
      </c>
    </row>
    <row r="3126" spans="1:8" ht="15.6" x14ac:dyDescent="0.3">
      <c r="A3126" s="64" t="s">
        <v>49</v>
      </c>
      <c r="B3126" s="28"/>
      <c r="C3126" s="24"/>
      <c r="D3126" s="25"/>
      <c r="E3126" s="25"/>
      <c r="F3126" s="447" t="s">
        <v>50</v>
      </c>
      <c r="G3126" s="447"/>
      <c r="H3126" s="66">
        <f>H3123+H3124+H3125</f>
        <v>5900</v>
      </c>
    </row>
    <row r="3127" spans="1:8" ht="26.4" x14ac:dyDescent="0.3">
      <c r="A3127" s="160" t="s">
        <v>22</v>
      </c>
      <c r="B3127" s="71" t="s">
        <v>51</v>
      </c>
      <c r="C3127" s="161" t="s">
        <v>24</v>
      </c>
      <c r="D3127" s="161" t="s">
        <v>25</v>
      </c>
      <c r="E3127" s="528" t="s">
        <v>52</v>
      </c>
      <c r="F3127" s="528"/>
      <c r="G3127" s="162"/>
      <c r="H3127" s="154"/>
    </row>
    <row r="3128" spans="1:8" x14ac:dyDescent="0.3">
      <c r="A3128" s="72">
        <v>0.18</v>
      </c>
      <c r="B3128" s="73">
        <f>H3123</f>
        <v>5000</v>
      </c>
      <c r="C3128" s="74">
        <f>H3124</f>
        <v>450</v>
      </c>
      <c r="D3128" s="74">
        <f>H3124</f>
        <v>450</v>
      </c>
      <c r="E3128" s="507">
        <f>C3128+D3128</f>
        <v>900</v>
      </c>
      <c r="F3128" s="507"/>
      <c r="G3128" s="74"/>
      <c r="H3128" s="75"/>
    </row>
    <row r="3129" spans="1:8" x14ac:dyDescent="0.3">
      <c r="A3129" s="508" t="s">
        <v>619</v>
      </c>
      <c r="B3129" s="509"/>
      <c r="C3129" s="509"/>
      <c r="D3129" s="509"/>
      <c r="E3129" s="453"/>
      <c r="F3129" s="453"/>
      <c r="G3129" s="453"/>
      <c r="H3129" s="454"/>
    </row>
    <row r="3130" spans="1:8" ht="15.6" x14ac:dyDescent="0.3">
      <c r="A3130" s="455" t="s">
        <v>53</v>
      </c>
      <c r="B3130" s="456"/>
      <c r="C3130" s="456"/>
      <c r="D3130" s="457"/>
      <c r="E3130" s="458" t="s">
        <v>54</v>
      </c>
      <c r="F3130" s="459"/>
      <c r="G3130" s="459"/>
      <c r="H3130" s="460"/>
    </row>
    <row r="3131" spans="1:8" x14ac:dyDescent="0.3">
      <c r="A3131" s="461" t="s">
        <v>55</v>
      </c>
      <c r="B3131" s="462"/>
      <c r="C3131" s="462"/>
      <c r="D3131" s="463"/>
      <c r="E3131" s="39"/>
      <c r="F3131" s="25"/>
      <c r="G3131" s="28"/>
      <c r="H3131" s="32"/>
    </row>
    <row r="3132" spans="1:8" x14ac:dyDescent="0.3">
      <c r="A3132" s="461" t="s">
        <v>56</v>
      </c>
      <c r="B3132" s="462"/>
      <c r="C3132" s="462"/>
      <c r="D3132" s="463"/>
      <c r="E3132" s="39"/>
      <c r="F3132" s="25"/>
      <c r="G3132" s="28"/>
      <c r="H3132" s="32"/>
    </row>
    <row r="3133" spans="1:8" x14ac:dyDescent="0.3">
      <c r="A3133" s="461" t="s">
        <v>57</v>
      </c>
      <c r="B3133" s="462"/>
      <c r="C3133" s="462"/>
      <c r="D3133" s="463"/>
      <c r="E3133" s="25"/>
      <c r="F3133" s="25"/>
      <c r="G3133" s="28"/>
      <c r="H3133" s="32"/>
    </row>
    <row r="3134" spans="1:8" ht="15.6" x14ac:dyDescent="0.3">
      <c r="A3134" s="464" t="s">
        <v>58</v>
      </c>
      <c r="B3134" s="465"/>
      <c r="C3134" s="465"/>
      <c r="D3134" s="510"/>
      <c r="E3134" s="466" t="s">
        <v>59</v>
      </c>
      <c r="F3134" s="467"/>
      <c r="G3134" s="467"/>
      <c r="H3134" s="468"/>
    </row>
    <row r="3135" spans="1:8" x14ac:dyDescent="0.3">
      <c r="A3135" s="290"/>
      <c r="B3135" s="291"/>
      <c r="C3135" s="292"/>
      <c r="D3135" s="292"/>
      <c r="E3135" s="729"/>
      <c r="F3135" s="729"/>
      <c r="G3135" s="24"/>
      <c r="H3135" s="281"/>
    </row>
    <row r="3136" spans="1:8" x14ac:dyDescent="0.3">
      <c r="A3136" s="293"/>
      <c r="B3136" s="293"/>
      <c r="C3136" s="293"/>
      <c r="D3136" s="293"/>
      <c r="E3136" s="293"/>
      <c r="F3136" s="294"/>
      <c r="G3136" s="295"/>
      <c r="H3136" s="294"/>
    </row>
    <row r="3137" spans="1:8" ht="15.6" x14ac:dyDescent="0.3">
      <c r="A3137" s="730"/>
      <c r="B3137" s="730"/>
      <c r="C3137" s="730"/>
      <c r="D3137" s="730"/>
      <c r="E3137" s="573"/>
      <c r="F3137" s="573"/>
      <c r="G3137" s="573"/>
      <c r="H3137" s="573"/>
    </row>
    <row r="3138" spans="1:8" ht="44.4" x14ac:dyDescent="0.7">
      <c r="A3138" s="469" t="s">
        <v>0</v>
      </c>
      <c r="B3138" s="470"/>
      <c r="C3138" s="470"/>
      <c r="D3138" s="470"/>
      <c r="E3138" s="471" t="s">
        <v>628</v>
      </c>
      <c r="F3138" s="472"/>
      <c r="G3138" s="472"/>
      <c r="H3138" s="473"/>
    </row>
    <row r="3139" spans="1:8" ht="20.399999999999999" x14ac:dyDescent="0.35">
      <c r="A3139" s="156"/>
      <c r="B3139" s="476" t="s">
        <v>2</v>
      </c>
      <c r="C3139" s="476"/>
      <c r="D3139" s="476"/>
      <c r="E3139" s="474"/>
      <c r="F3139" s="474"/>
      <c r="G3139" s="474"/>
      <c r="H3139" s="475"/>
    </row>
    <row r="3140" spans="1:8" x14ac:dyDescent="0.3">
      <c r="A3140" s="477" t="s">
        <v>3</v>
      </c>
      <c r="B3140" s="478"/>
      <c r="C3140" s="479" t="s">
        <v>4</v>
      </c>
      <c r="D3140" s="479"/>
      <c r="E3140" s="480" t="s">
        <v>5</v>
      </c>
      <c r="F3140" s="480"/>
      <c r="G3140" s="480"/>
      <c r="H3140" s="480"/>
    </row>
    <row r="3141" spans="1:8" ht="15.6" x14ac:dyDescent="0.3">
      <c r="A3141" s="158" t="s">
        <v>6</v>
      </c>
      <c r="B3141" s="5"/>
      <c r="C3141" s="481" t="s">
        <v>7</v>
      </c>
      <c r="D3141" s="481"/>
      <c r="E3141" s="482">
        <v>69</v>
      </c>
      <c r="F3141" s="482"/>
      <c r="G3141" s="7" t="s">
        <v>8</v>
      </c>
      <c r="H3141" s="8" t="s">
        <v>615</v>
      </c>
    </row>
    <row r="3142" spans="1:8" ht="15.6" x14ac:dyDescent="0.3">
      <c r="A3142" s="551" t="s">
        <v>621</v>
      </c>
      <c r="B3142" s="552"/>
      <c r="C3142" s="481" t="s">
        <v>10</v>
      </c>
      <c r="D3142" s="481"/>
      <c r="E3142" s="482"/>
      <c r="F3142" s="482"/>
      <c r="G3142" s="7" t="s">
        <v>8</v>
      </c>
      <c r="H3142" s="9"/>
    </row>
    <row r="3143" spans="1:8" ht="15" x14ac:dyDescent="0.3">
      <c r="A3143" s="517" t="s">
        <v>622</v>
      </c>
      <c r="B3143" s="553"/>
      <c r="C3143" s="483" t="s">
        <v>12</v>
      </c>
      <c r="D3143" s="484"/>
      <c r="E3143" s="584"/>
      <c r="F3143" s="585"/>
      <c r="G3143" s="10" t="s">
        <v>8</v>
      </c>
      <c r="H3143" s="82"/>
    </row>
    <row r="3144" spans="1:8" ht="15.6" x14ac:dyDescent="0.3">
      <c r="A3144" s="556" t="s">
        <v>623</v>
      </c>
      <c r="B3144" s="557"/>
      <c r="C3144" s="481" t="s">
        <v>15</v>
      </c>
      <c r="D3144" s="481"/>
      <c r="E3144" s="502" t="s">
        <v>620</v>
      </c>
      <c r="F3144" s="503"/>
      <c r="G3144" s="503"/>
      <c r="H3144" s="504"/>
    </row>
    <row r="3145" spans="1:8" ht="15.6" x14ac:dyDescent="0.3">
      <c r="A3145" s="558" t="s">
        <v>624</v>
      </c>
      <c r="B3145" s="559"/>
      <c r="C3145" s="489"/>
      <c r="D3145" s="490"/>
      <c r="E3145" s="490"/>
      <c r="F3145" s="490"/>
      <c r="G3145" s="490"/>
      <c r="H3145" s="491"/>
    </row>
    <row r="3146" spans="1:8" ht="15" x14ac:dyDescent="0.3">
      <c r="A3146" s="492" t="s">
        <v>17</v>
      </c>
      <c r="B3146" s="494" t="s">
        <v>18</v>
      </c>
      <c r="C3146" s="494" t="s">
        <v>19</v>
      </c>
      <c r="D3146" s="494" t="s">
        <v>20</v>
      </c>
      <c r="E3146" s="494" t="s">
        <v>21</v>
      </c>
      <c r="F3146" s="494" t="s">
        <v>22</v>
      </c>
      <c r="G3146" s="494"/>
      <c r="H3146" s="493" t="s">
        <v>23</v>
      </c>
    </row>
    <row r="3147" spans="1:8" ht="27.6" x14ac:dyDescent="0.3">
      <c r="A3147" s="492"/>
      <c r="B3147" s="494"/>
      <c r="C3147" s="494"/>
      <c r="D3147" s="494"/>
      <c r="E3147" s="494"/>
      <c r="F3147" s="53" t="s">
        <v>24</v>
      </c>
      <c r="G3147" s="53" t="s">
        <v>25</v>
      </c>
      <c r="H3147" s="527"/>
    </row>
    <row r="3148" spans="1:8" ht="20.25" customHeight="1" x14ac:dyDescent="0.3">
      <c r="A3148" s="55">
        <v>1</v>
      </c>
      <c r="B3148" s="130" t="s">
        <v>625</v>
      </c>
      <c r="C3148" s="55">
        <v>1</v>
      </c>
      <c r="D3148" s="86">
        <v>998719</v>
      </c>
      <c r="E3148" s="55">
        <v>8000</v>
      </c>
      <c r="F3148" s="93">
        <f>E3148*C3148*9%</f>
        <v>720</v>
      </c>
      <c r="G3148" s="93">
        <f>F3148</f>
        <v>720</v>
      </c>
      <c r="H3148" s="62">
        <f>G3148+F3148+E3148*C3148</f>
        <v>9440</v>
      </c>
    </row>
    <row r="3149" spans="1:8" x14ac:dyDescent="0.3">
      <c r="A3149" s="57"/>
      <c r="B3149" s="60"/>
      <c r="C3149" s="57"/>
      <c r="D3149" s="83"/>
      <c r="E3149" s="57"/>
      <c r="F3149" s="58"/>
      <c r="G3149" s="58"/>
      <c r="H3149" s="59"/>
    </row>
    <row r="3150" spans="1:8" x14ac:dyDescent="0.3">
      <c r="A3150" s="57"/>
      <c r="B3150" s="60"/>
      <c r="C3150" s="57"/>
      <c r="D3150" s="83"/>
      <c r="E3150" s="57"/>
      <c r="F3150" s="58"/>
      <c r="G3150" s="58"/>
      <c r="H3150" s="59"/>
    </row>
    <row r="3151" spans="1:8" x14ac:dyDescent="0.3">
      <c r="A3151" s="57"/>
      <c r="B3151" s="60"/>
      <c r="C3151" s="57"/>
      <c r="D3151" s="83"/>
      <c r="E3151" s="57"/>
      <c r="F3151" s="58"/>
      <c r="G3151" s="58"/>
      <c r="H3151" s="59"/>
    </row>
    <row r="3152" spans="1:8" x14ac:dyDescent="0.3">
      <c r="A3152" s="27"/>
      <c r="B3152" s="88"/>
      <c r="C3152" s="24"/>
      <c r="D3152" s="89"/>
      <c r="E3152" s="24"/>
      <c r="F3152" s="133"/>
      <c r="G3152" s="133"/>
      <c r="H3152" s="134"/>
    </row>
    <row r="3153" spans="1:8" x14ac:dyDescent="0.3">
      <c r="A3153" s="27"/>
      <c r="B3153" s="88"/>
      <c r="C3153" s="24"/>
      <c r="D3153" s="89"/>
      <c r="E3153" s="24"/>
      <c r="F3153" s="133"/>
      <c r="G3153" s="133"/>
      <c r="H3153" s="134"/>
    </row>
    <row r="3154" spans="1:8" x14ac:dyDescent="0.3">
      <c r="A3154" s="27"/>
      <c r="B3154" s="88"/>
      <c r="C3154" s="24"/>
      <c r="D3154" s="89"/>
      <c r="E3154" s="24"/>
      <c r="F3154" s="133"/>
      <c r="G3154" s="133"/>
      <c r="H3154" s="134"/>
    </row>
    <row r="3155" spans="1:8" x14ac:dyDescent="0.3">
      <c r="A3155" s="27"/>
      <c r="B3155" s="88"/>
      <c r="C3155" s="24"/>
      <c r="D3155" s="89"/>
      <c r="E3155" s="24"/>
      <c r="F3155" s="133"/>
      <c r="G3155" s="133"/>
      <c r="H3155" s="134"/>
    </row>
    <row r="3156" spans="1:8" x14ac:dyDescent="0.3">
      <c r="A3156" s="27"/>
      <c r="B3156" s="88"/>
      <c r="C3156" s="24"/>
      <c r="D3156" s="89"/>
      <c r="E3156" s="24"/>
      <c r="F3156" s="133"/>
      <c r="G3156" s="133"/>
      <c r="H3156" s="134"/>
    </row>
    <row r="3157" spans="1:8" x14ac:dyDescent="0.3">
      <c r="A3157" s="27"/>
      <c r="B3157" s="28"/>
      <c r="C3157" s="24"/>
      <c r="D3157" s="89"/>
      <c r="E3157" s="25"/>
      <c r="F3157" s="25"/>
      <c r="G3157" s="25"/>
      <c r="H3157" s="32"/>
    </row>
    <row r="3158" spans="1:8" x14ac:dyDescent="0.3">
      <c r="A3158" s="27"/>
      <c r="B3158" s="28"/>
      <c r="C3158" s="24"/>
      <c r="D3158" s="89"/>
      <c r="E3158" s="25"/>
      <c r="F3158" s="25"/>
      <c r="G3158" s="25"/>
      <c r="H3158" s="32"/>
    </row>
    <row r="3159" spans="1:8" x14ac:dyDescent="0.3">
      <c r="A3159" s="27"/>
      <c r="B3159" s="28"/>
      <c r="C3159" s="24"/>
      <c r="D3159" s="89"/>
      <c r="E3159" s="25"/>
      <c r="F3159" s="25"/>
      <c r="G3159" s="25"/>
      <c r="H3159" s="32"/>
    </row>
    <row r="3160" spans="1:8" x14ac:dyDescent="0.3">
      <c r="A3160" s="27"/>
      <c r="B3160" s="28"/>
      <c r="C3160" s="24"/>
      <c r="D3160" s="89"/>
      <c r="E3160" s="25"/>
      <c r="F3160" s="25"/>
      <c r="G3160" s="25"/>
      <c r="H3160" s="32"/>
    </row>
    <row r="3161" spans="1:8" x14ac:dyDescent="0.3">
      <c r="A3161" s="27"/>
      <c r="B3161" s="28"/>
      <c r="C3161" s="24"/>
      <c r="D3161" s="89"/>
      <c r="E3161" s="25"/>
      <c r="F3161" s="25"/>
      <c r="G3161" s="25"/>
      <c r="H3161" s="32"/>
    </row>
    <row r="3162" spans="1:8" x14ac:dyDescent="0.3">
      <c r="A3162" s="27"/>
      <c r="B3162" s="28"/>
      <c r="C3162" s="24"/>
      <c r="D3162" s="89"/>
      <c r="E3162" s="25"/>
      <c r="F3162" s="25"/>
      <c r="G3162" s="25"/>
      <c r="H3162" s="32"/>
    </row>
    <row r="3163" spans="1:8" x14ac:dyDescent="0.3">
      <c r="A3163" s="27"/>
      <c r="B3163" s="28"/>
      <c r="C3163" s="24"/>
      <c r="D3163" s="89"/>
      <c r="E3163" s="25"/>
      <c r="F3163" s="25"/>
      <c r="G3163" s="25"/>
      <c r="H3163" s="32"/>
    </row>
    <row r="3164" spans="1:8" x14ac:dyDescent="0.3">
      <c r="A3164" s="27"/>
      <c r="B3164" s="28"/>
      <c r="C3164" s="24"/>
      <c r="D3164" s="89"/>
      <c r="E3164" s="25"/>
      <c r="F3164" s="25"/>
      <c r="G3164" s="25"/>
      <c r="H3164" s="32"/>
    </row>
    <row r="3165" spans="1:8" x14ac:dyDescent="0.3">
      <c r="A3165" s="159"/>
      <c r="B3165" s="28"/>
      <c r="C3165" s="24"/>
      <c r="D3165" s="25"/>
      <c r="E3165" s="25"/>
      <c r="F3165" s="28"/>
      <c r="G3165" s="28"/>
      <c r="H3165" s="32"/>
    </row>
    <row r="3166" spans="1:8" x14ac:dyDescent="0.3">
      <c r="A3166" s="159"/>
      <c r="B3166" s="28"/>
      <c r="C3166" s="24"/>
      <c r="D3166" s="25"/>
      <c r="E3166" s="25"/>
      <c r="F3166" s="28"/>
      <c r="G3166" s="28"/>
      <c r="H3166" s="32"/>
    </row>
    <row r="3167" spans="1:8" x14ac:dyDescent="0.3">
      <c r="A3167" s="159"/>
      <c r="B3167" s="28"/>
      <c r="C3167" s="24"/>
      <c r="D3167" s="25"/>
      <c r="E3167" s="25"/>
      <c r="F3167" s="28"/>
      <c r="G3167" s="28"/>
      <c r="H3167" s="32"/>
    </row>
    <row r="3168" spans="1:8" ht="15.6" x14ac:dyDescent="0.3">
      <c r="A3168" s="64" t="s">
        <v>45</v>
      </c>
      <c r="B3168" s="28"/>
      <c r="C3168" s="24"/>
      <c r="D3168" s="25"/>
      <c r="E3168" s="25"/>
      <c r="F3168" s="447" t="s">
        <v>46</v>
      </c>
      <c r="G3168" s="447"/>
      <c r="H3168" s="66">
        <v>8000</v>
      </c>
    </row>
    <row r="3169" spans="1:8" ht="15.6" x14ac:dyDescent="0.3">
      <c r="A3169" s="497" t="s">
        <v>626</v>
      </c>
      <c r="B3169" s="498"/>
      <c r="C3169" s="498"/>
      <c r="D3169" s="498"/>
      <c r="E3169" s="498"/>
      <c r="F3169" s="447" t="s">
        <v>47</v>
      </c>
      <c r="G3169" s="447"/>
      <c r="H3169" s="66">
        <f>H3168*9%</f>
        <v>720</v>
      </c>
    </row>
    <row r="3170" spans="1:8" ht="15.6" x14ac:dyDescent="0.3">
      <c r="A3170" s="159"/>
      <c r="B3170" s="28"/>
      <c r="C3170" s="24"/>
      <c r="D3170" s="25"/>
      <c r="E3170" s="25"/>
      <c r="F3170" s="447" t="s">
        <v>48</v>
      </c>
      <c r="G3170" s="447"/>
      <c r="H3170" s="66">
        <f>H3168*9%</f>
        <v>720</v>
      </c>
    </row>
    <row r="3171" spans="1:8" ht="15.6" x14ac:dyDescent="0.3">
      <c r="A3171" s="64" t="s">
        <v>49</v>
      </c>
      <c r="B3171" s="28"/>
      <c r="C3171" s="24"/>
      <c r="D3171" s="25"/>
      <c r="E3171" s="25"/>
      <c r="F3171" s="447" t="s">
        <v>50</v>
      </c>
      <c r="G3171" s="447"/>
      <c r="H3171" s="66">
        <f>H3168+H3169+H3170</f>
        <v>9440</v>
      </c>
    </row>
    <row r="3172" spans="1:8" ht="26.4" x14ac:dyDescent="0.3">
      <c r="A3172" s="160" t="s">
        <v>22</v>
      </c>
      <c r="B3172" s="71" t="s">
        <v>51</v>
      </c>
      <c r="C3172" s="161" t="s">
        <v>24</v>
      </c>
      <c r="D3172" s="161" t="s">
        <v>25</v>
      </c>
      <c r="E3172" s="528" t="s">
        <v>52</v>
      </c>
      <c r="F3172" s="528"/>
      <c r="G3172" s="162"/>
      <c r="H3172" s="154"/>
    </row>
    <row r="3173" spans="1:8" x14ac:dyDescent="0.3">
      <c r="A3173" s="72">
        <v>0.18</v>
      </c>
      <c r="B3173" s="73">
        <f>H3168</f>
        <v>8000</v>
      </c>
      <c r="C3173" s="74">
        <f>H3169</f>
        <v>720</v>
      </c>
      <c r="D3173" s="74">
        <f>H3169</f>
        <v>720</v>
      </c>
      <c r="E3173" s="507">
        <f>C3173+D3173</f>
        <v>1440</v>
      </c>
      <c r="F3173" s="507"/>
      <c r="G3173" s="74"/>
      <c r="H3173" s="75"/>
    </row>
    <row r="3174" spans="1:8" x14ac:dyDescent="0.3">
      <c r="A3174" s="508" t="s">
        <v>627</v>
      </c>
      <c r="B3174" s="509"/>
      <c r="C3174" s="509"/>
      <c r="D3174" s="509"/>
      <c r="E3174" s="453"/>
      <c r="F3174" s="453"/>
      <c r="G3174" s="453"/>
      <c r="H3174" s="454"/>
    </row>
    <row r="3175" spans="1:8" ht="15.6" x14ac:dyDescent="0.3">
      <c r="A3175" s="455" t="s">
        <v>53</v>
      </c>
      <c r="B3175" s="456"/>
      <c r="C3175" s="456"/>
      <c r="D3175" s="457"/>
      <c r="E3175" s="458" t="s">
        <v>54</v>
      </c>
      <c r="F3175" s="459"/>
      <c r="G3175" s="459"/>
      <c r="H3175" s="460"/>
    </row>
    <row r="3176" spans="1:8" x14ac:dyDescent="0.3">
      <c r="A3176" s="461" t="s">
        <v>55</v>
      </c>
      <c r="B3176" s="462"/>
      <c r="C3176" s="462"/>
      <c r="D3176" s="463"/>
      <c r="E3176" s="39"/>
      <c r="F3176" s="25"/>
      <c r="G3176" s="28"/>
      <c r="H3176" s="32"/>
    </row>
    <row r="3177" spans="1:8" x14ac:dyDescent="0.3">
      <c r="A3177" s="461" t="s">
        <v>56</v>
      </c>
      <c r="B3177" s="462"/>
      <c r="C3177" s="462"/>
      <c r="D3177" s="463"/>
      <c r="E3177" s="39"/>
      <c r="F3177" s="25"/>
      <c r="G3177" s="28"/>
      <c r="H3177" s="32"/>
    </row>
    <row r="3178" spans="1:8" x14ac:dyDescent="0.3">
      <c r="A3178" s="461" t="s">
        <v>57</v>
      </c>
      <c r="B3178" s="462"/>
      <c r="C3178" s="462"/>
      <c r="D3178" s="463"/>
      <c r="E3178" s="25"/>
      <c r="F3178" s="25"/>
      <c r="G3178" s="28"/>
      <c r="H3178" s="32"/>
    </row>
    <row r="3179" spans="1:8" ht="15.6" x14ac:dyDescent="0.3">
      <c r="A3179" s="464" t="s">
        <v>58</v>
      </c>
      <c r="B3179" s="465"/>
      <c r="C3179" s="465"/>
      <c r="D3179" s="510"/>
      <c r="E3179" s="466" t="s">
        <v>59</v>
      </c>
      <c r="F3179" s="467"/>
      <c r="G3179" s="467"/>
      <c r="H3179" s="468"/>
    </row>
    <row r="3180" spans="1:8" x14ac:dyDescent="0.3">
      <c r="A3180" s="296"/>
      <c r="B3180" s="291"/>
      <c r="C3180" s="292"/>
      <c r="D3180" s="292"/>
      <c r="E3180" s="729"/>
      <c r="F3180" s="729"/>
      <c r="G3180" s="24"/>
      <c r="H3180" s="24"/>
    </row>
    <row r="3182" spans="1:8" ht="44.4" x14ac:dyDescent="0.7">
      <c r="A3182" s="469" t="s">
        <v>0</v>
      </c>
      <c r="B3182" s="470"/>
      <c r="C3182" s="470"/>
      <c r="D3182" s="470"/>
      <c r="E3182" s="471" t="s">
        <v>143</v>
      </c>
      <c r="F3182" s="472"/>
      <c r="G3182" s="472"/>
      <c r="H3182" s="473"/>
    </row>
    <row r="3183" spans="1:8" ht="20.399999999999999" x14ac:dyDescent="0.35">
      <c r="A3183" s="1"/>
      <c r="B3183" s="476" t="s">
        <v>2</v>
      </c>
      <c r="C3183" s="476"/>
      <c r="D3183" s="476"/>
      <c r="E3183" s="474"/>
      <c r="F3183" s="474"/>
      <c r="G3183" s="474"/>
      <c r="H3183" s="475"/>
    </row>
    <row r="3184" spans="1:8" x14ac:dyDescent="0.3">
      <c r="A3184" s="477" t="s">
        <v>3</v>
      </c>
      <c r="B3184" s="478"/>
      <c r="C3184" s="479" t="s">
        <v>4</v>
      </c>
      <c r="D3184" s="479"/>
      <c r="E3184" s="480" t="s">
        <v>5</v>
      </c>
      <c r="F3184" s="480"/>
      <c r="G3184" s="480"/>
      <c r="H3184" s="480"/>
    </row>
    <row r="3185" spans="1:9" ht="15.6" x14ac:dyDescent="0.3">
      <c r="A3185" s="138" t="s">
        <v>6</v>
      </c>
      <c r="B3185" s="5"/>
      <c r="C3185" s="481" t="s">
        <v>7</v>
      </c>
      <c r="D3185" s="481"/>
      <c r="E3185" s="482">
        <v>70</v>
      </c>
      <c r="F3185" s="482"/>
      <c r="G3185" s="44" t="s">
        <v>8</v>
      </c>
      <c r="H3185" s="9" t="s">
        <v>615</v>
      </c>
    </row>
    <row r="3186" spans="1:9" ht="15.6" x14ac:dyDescent="0.3">
      <c r="A3186" s="556" t="s">
        <v>629</v>
      </c>
      <c r="B3186" s="557"/>
      <c r="C3186" s="481" t="s">
        <v>10</v>
      </c>
      <c r="D3186" s="481"/>
      <c r="E3186" s="489"/>
      <c r="F3186" s="491"/>
      <c r="G3186" s="44" t="s">
        <v>8</v>
      </c>
      <c r="H3186" s="6"/>
    </row>
    <row r="3187" spans="1:9" ht="15.6" x14ac:dyDescent="0.3">
      <c r="A3187" s="517" t="s">
        <v>630</v>
      </c>
      <c r="B3187" s="553"/>
      <c r="C3187" s="519" t="s">
        <v>12</v>
      </c>
      <c r="D3187" s="519"/>
      <c r="E3187" s="554"/>
      <c r="F3187" s="555"/>
      <c r="G3187" s="48" t="s">
        <v>8</v>
      </c>
      <c r="H3187" s="9"/>
    </row>
    <row r="3188" spans="1:9" ht="15.6" x14ac:dyDescent="0.3">
      <c r="A3188" s="595" t="s">
        <v>631</v>
      </c>
      <c r="B3188" s="553"/>
      <c r="C3188" s="481" t="s">
        <v>15</v>
      </c>
      <c r="D3188" s="481"/>
      <c r="E3188" s="631" t="s">
        <v>632</v>
      </c>
      <c r="F3188" s="632"/>
      <c r="G3188" s="633"/>
      <c r="H3188" s="49"/>
    </row>
    <row r="3189" spans="1:9" ht="15.6" x14ac:dyDescent="0.3">
      <c r="A3189" s="678" t="s">
        <v>633</v>
      </c>
      <c r="B3189" s="679"/>
      <c r="C3189" s="24"/>
      <c r="D3189" s="25"/>
      <c r="E3189" s="50"/>
      <c r="F3189" s="50"/>
      <c r="G3189" s="51"/>
      <c r="H3189" s="52"/>
    </row>
    <row r="3190" spans="1:9" ht="15" x14ac:dyDescent="0.3">
      <c r="A3190" s="492" t="s">
        <v>17</v>
      </c>
      <c r="B3190" s="494" t="s">
        <v>18</v>
      </c>
      <c r="C3190" s="494" t="s">
        <v>19</v>
      </c>
      <c r="D3190" s="494" t="s">
        <v>20</v>
      </c>
      <c r="E3190" s="494" t="s">
        <v>21</v>
      </c>
      <c r="F3190" s="494" t="s">
        <v>22</v>
      </c>
      <c r="G3190" s="494"/>
      <c r="H3190" s="492" t="s">
        <v>23</v>
      </c>
    </row>
    <row r="3191" spans="1:9" ht="27.6" x14ac:dyDescent="0.3">
      <c r="A3191" s="492"/>
      <c r="B3191" s="494"/>
      <c r="C3191" s="494"/>
      <c r="D3191" s="494"/>
      <c r="E3191" s="494"/>
      <c r="F3191" s="53" t="s">
        <v>24</v>
      </c>
      <c r="G3191" s="53" t="s">
        <v>25</v>
      </c>
      <c r="H3191" s="492"/>
    </row>
    <row r="3192" spans="1:9" x14ac:dyDescent="0.3">
      <c r="A3192" s="57">
        <v>1</v>
      </c>
      <c r="B3192" s="149" t="s">
        <v>636</v>
      </c>
      <c r="C3192" s="57">
        <v>8</v>
      </c>
      <c r="D3192" s="150">
        <v>998719</v>
      </c>
      <c r="E3192" s="57">
        <v>4000</v>
      </c>
      <c r="F3192" s="151">
        <f>E3192*C3192*9%</f>
        <v>2880</v>
      </c>
      <c r="G3192" s="151">
        <f>F3192</f>
        <v>2880</v>
      </c>
      <c r="H3192" s="57">
        <f>G3192+F3192+E3192*C3192</f>
        <v>37760</v>
      </c>
      <c r="I3192" s="362">
        <f>E3192*C3192</f>
        <v>32000</v>
      </c>
    </row>
    <row r="3193" spans="1:9" x14ac:dyDescent="0.3">
      <c r="A3193" s="147"/>
      <c r="B3193" s="149"/>
      <c r="C3193" s="141"/>
      <c r="D3193" s="150"/>
      <c r="E3193" s="55"/>
      <c r="F3193" s="151"/>
      <c r="G3193" s="151"/>
      <c r="H3193" s="57"/>
    </row>
    <row r="3194" spans="1:9" x14ac:dyDescent="0.3">
      <c r="A3194" s="55"/>
      <c r="B3194" s="60"/>
      <c r="C3194" s="55"/>
      <c r="D3194" s="150"/>
      <c r="E3194" s="57"/>
      <c r="F3194" s="151"/>
      <c r="G3194" s="151"/>
      <c r="H3194" s="57"/>
    </row>
    <row r="3195" spans="1:9" x14ac:dyDescent="0.3">
      <c r="A3195" s="55"/>
      <c r="B3195" s="60"/>
      <c r="C3195" s="55"/>
      <c r="D3195" s="56"/>
      <c r="E3195" s="57"/>
      <c r="F3195" s="151"/>
      <c r="G3195" s="151"/>
      <c r="H3195" s="57"/>
    </row>
    <row r="3196" spans="1:9" x14ac:dyDescent="0.3">
      <c r="A3196" s="55"/>
      <c r="B3196" s="94"/>
      <c r="C3196" s="55"/>
      <c r="D3196" s="56"/>
      <c r="E3196" s="47"/>
      <c r="F3196" s="151"/>
      <c r="G3196" s="151"/>
      <c r="H3196" s="57"/>
    </row>
    <row r="3197" spans="1:9" x14ac:dyDescent="0.3">
      <c r="A3197" s="55"/>
      <c r="B3197" s="94"/>
      <c r="C3197" s="55"/>
      <c r="D3197" s="56"/>
      <c r="E3197" s="47"/>
      <c r="F3197" s="151"/>
      <c r="G3197" s="151"/>
      <c r="H3197" s="57"/>
    </row>
    <row r="3198" spans="1:9" x14ac:dyDescent="0.3">
      <c r="A3198" s="27"/>
      <c r="B3198" s="28"/>
      <c r="C3198" s="24"/>
      <c r="D3198" s="152"/>
      <c r="E3198" s="25"/>
      <c r="F3198" s="153"/>
      <c r="G3198" s="153"/>
      <c r="H3198" s="154"/>
    </row>
    <row r="3199" spans="1:9" x14ac:dyDescent="0.3">
      <c r="A3199" s="27"/>
      <c r="B3199" s="28"/>
      <c r="C3199" s="24"/>
      <c r="D3199" s="152"/>
      <c r="E3199" s="25"/>
      <c r="F3199" s="153"/>
      <c r="G3199" s="153"/>
      <c r="H3199" s="154"/>
    </row>
    <row r="3200" spans="1:9" x14ac:dyDescent="0.3">
      <c r="A3200" s="27"/>
      <c r="B3200" s="28"/>
      <c r="C3200" s="24"/>
      <c r="D3200" s="152"/>
      <c r="E3200" s="25"/>
      <c r="F3200" s="153"/>
      <c r="G3200" s="153"/>
      <c r="H3200" s="154"/>
    </row>
    <row r="3201" spans="1:8" x14ac:dyDescent="0.3">
      <c r="A3201" s="27"/>
      <c r="B3201" s="28"/>
      <c r="C3201" s="24"/>
      <c r="D3201" s="152"/>
      <c r="E3201" s="25"/>
      <c r="F3201" s="153"/>
      <c r="G3201" s="153"/>
      <c r="H3201" s="154"/>
    </row>
    <row r="3202" spans="1:8" x14ac:dyDescent="0.3">
      <c r="A3202" s="27"/>
      <c r="B3202" s="28"/>
      <c r="C3202" s="24"/>
      <c r="D3202" s="152"/>
      <c r="E3202" s="25"/>
      <c r="F3202" s="153"/>
      <c r="G3202" s="153"/>
      <c r="H3202" s="154"/>
    </row>
    <row r="3203" spans="1:8" x14ac:dyDescent="0.3">
      <c r="A3203" s="27"/>
      <c r="B3203" s="28"/>
      <c r="C3203" s="24"/>
      <c r="D3203" s="152"/>
      <c r="E3203" s="25"/>
      <c r="F3203" s="153"/>
      <c r="G3203" s="153"/>
      <c r="H3203" s="154"/>
    </row>
    <row r="3204" spans="1:8" x14ac:dyDescent="0.3">
      <c r="A3204" s="27"/>
      <c r="B3204" s="28"/>
      <c r="C3204" s="24"/>
      <c r="D3204" s="152"/>
      <c r="E3204" s="25"/>
      <c r="F3204" s="153"/>
      <c r="G3204" s="153"/>
      <c r="H3204" s="154"/>
    </row>
    <row r="3205" spans="1:8" x14ac:dyDescent="0.3">
      <c r="A3205" s="27"/>
      <c r="B3205" s="28"/>
      <c r="C3205" s="24"/>
      <c r="D3205" s="152"/>
      <c r="E3205" s="25"/>
      <c r="F3205" s="153"/>
      <c r="G3205" s="153"/>
      <c r="H3205" s="154"/>
    </row>
    <row r="3206" spans="1:8" x14ac:dyDescent="0.3">
      <c r="A3206" s="27"/>
      <c r="B3206" s="28"/>
      <c r="C3206" s="24"/>
      <c r="D3206" s="152"/>
      <c r="E3206" s="25"/>
      <c r="F3206" s="153"/>
      <c r="G3206" s="153"/>
      <c r="H3206" s="154"/>
    </row>
    <row r="3207" spans="1:8" x14ac:dyDescent="0.3">
      <c r="A3207" s="27"/>
      <c r="B3207" s="28"/>
      <c r="C3207" s="24"/>
      <c r="D3207" s="152"/>
      <c r="E3207" s="25"/>
      <c r="F3207" s="153"/>
      <c r="G3207" s="153"/>
      <c r="H3207" s="154"/>
    </row>
    <row r="3208" spans="1:8" x14ac:dyDescent="0.3">
      <c r="A3208" s="27"/>
      <c r="B3208" s="28"/>
      <c r="C3208" s="24"/>
      <c r="D3208" s="152"/>
      <c r="E3208" s="25"/>
      <c r="F3208" s="153"/>
      <c r="G3208" s="153"/>
      <c r="H3208" s="154"/>
    </row>
    <row r="3209" spans="1:8" x14ac:dyDescent="0.3">
      <c r="A3209" s="27"/>
      <c r="B3209" s="28"/>
      <c r="C3209" s="24"/>
      <c r="D3209" s="25"/>
      <c r="E3209" s="25"/>
      <c r="F3209" s="25"/>
      <c r="G3209" s="28"/>
      <c r="H3209" s="32"/>
    </row>
    <row r="3210" spans="1:8" x14ac:dyDescent="0.3">
      <c r="A3210" s="27"/>
      <c r="B3210" s="28"/>
      <c r="C3210" s="24"/>
      <c r="D3210" s="25"/>
      <c r="E3210" s="25"/>
      <c r="F3210" s="25"/>
      <c r="G3210" s="28"/>
      <c r="H3210" s="32"/>
    </row>
    <row r="3211" spans="1:8" x14ac:dyDescent="0.3">
      <c r="A3211" s="27"/>
      <c r="B3211" s="28"/>
      <c r="C3211" s="24"/>
      <c r="D3211" s="25"/>
      <c r="E3211" s="25"/>
      <c r="F3211" s="25"/>
      <c r="G3211" s="28"/>
      <c r="H3211" s="32"/>
    </row>
    <row r="3212" spans="1:8" x14ac:dyDescent="0.3">
      <c r="A3212" s="27"/>
      <c r="B3212" s="28"/>
      <c r="C3212" s="24"/>
      <c r="D3212" s="25"/>
      <c r="E3212" s="25"/>
      <c r="F3212" s="25"/>
      <c r="G3212" s="28"/>
      <c r="H3212" s="32"/>
    </row>
    <row r="3213" spans="1:8" x14ac:dyDescent="0.3">
      <c r="A3213" s="27"/>
      <c r="B3213" s="28"/>
      <c r="C3213" s="24"/>
      <c r="D3213" s="25"/>
      <c r="E3213" s="25"/>
      <c r="F3213" s="25"/>
      <c r="G3213" s="28"/>
      <c r="H3213" s="32"/>
    </row>
    <row r="3214" spans="1:8" x14ac:dyDescent="0.3">
      <c r="A3214" s="27"/>
      <c r="B3214" s="28"/>
      <c r="C3214" s="24"/>
      <c r="D3214" s="25"/>
      <c r="E3214" s="25"/>
      <c r="F3214" s="25"/>
      <c r="G3214" s="28"/>
      <c r="H3214" s="32"/>
    </row>
    <row r="3215" spans="1:8" x14ac:dyDescent="0.3">
      <c r="A3215" s="27"/>
      <c r="B3215" s="28"/>
      <c r="C3215" s="24"/>
      <c r="D3215" s="25"/>
      <c r="E3215" s="25"/>
      <c r="F3215" s="25"/>
      <c r="G3215" s="28"/>
      <c r="H3215" s="32"/>
    </row>
    <row r="3216" spans="1:8" ht="15.6" x14ac:dyDescent="0.3">
      <c r="A3216" s="497" t="s">
        <v>97</v>
      </c>
      <c r="B3216" s="498"/>
      <c r="C3216" s="24"/>
      <c r="D3216" s="25"/>
      <c r="E3216" s="25"/>
      <c r="F3216" s="116" t="s">
        <v>46</v>
      </c>
      <c r="G3216" s="26"/>
      <c r="H3216" s="66">
        <v>32000</v>
      </c>
    </row>
    <row r="3217" spans="1:8" ht="15.6" x14ac:dyDescent="0.3">
      <c r="A3217" s="497" t="s">
        <v>634</v>
      </c>
      <c r="B3217" s="498"/>
      <c r="C3217" s="498"/>
      <c r="D3217" s="498"/>
      <c r="E3217" s="67"/>
      <c r="F3217" s="116" t="s">
        <v>47</v>
      </c>
      <c r="G3217" s="26"/>
      <c r="H3217" s="66">
        <f>H3216*9%</f>
        <v>2880</v>
      </c>
    </row>
    <row r="3218" spans="1:8" ht="15.6" x14ac:dyDescent="0.3">
      <c r="A3218" s="27"/>
      <c r="B3218" s="28"/>
      <c r="C3218" s="24"/>
      <c r="D3218" s="25"/>
      <c r="E3218" s="25"/>
      <c r="F3218" s="116" t="s">
        <v>48</v>
      </c>
      <c r="G3218" s="26"/>
      <c r="H3218" s="66">
        <f>H3216*9%</f>
        <v>2880</v>
      </c>
    </row>
    <row r="3219" spans="1:8" ht="15.6" x14ac:dyDescent="0.3">
      <c r="A3219" s="497" t="s">
        <v>49</v>
      </c>
      <c r="B3219" s="498"/>
      <c r="C3219" s="498"/>
      <c r="D3219" s="25"/>
      <c r="E3219" s="25"/>
      <c r="F3219" s="116" t="s">
        <v>50</v>
      </c>
      <c r="G3219" s="26"/>
      <c r="H3219" s="66">
        <v>37760</v>
      </c>
    </row>
    <row r="3220" spans="1:8" ht="27" x14ac:dyDescent="0.3">
      <c r="A3220" s="68" t="s">
        <v>22</v>
      </c>
      <c r="B3220" s="69" t="s">
        <v>51</v>
      </c>
      <c r="C3220" s="70" t="s">
        <v>24</v>
      </c>
      <c r="D3220" s="31" t="s">
        <v>25</v>
      </c>
      <c r="E3220" s="528" t="s">
        <v>52</v>
      </c>
      <c r="F3220" s="528"/>
      <c r="G3220" s="28"/>
      <c r="H3220" s="32"/>
    </row>
    <row r="3221" spans="1:8" x14ac:dyDescent="0.3">
      <c r="A3221" s="72">
        <v>0.18</v>
      </c>
      <c r="B3221" s="73">
        <f>H3216</f>
        <v>32000</v>
      </c>
      <c r="C3221" s="155">
        <f>H3217</f>
        <v>2880</v>
      </c>
      <c r="D3221" s="155">
        <f>H3218</f>
        <v>2880</v>
      </c>
      <c r="E3221" s="507">
        <f>C3221+D3221</f>
        <v>5760</v>
      </c>
      <c r="F3221" s="507"/>
      <c r="G3221" s="74"/>
      <c r="H3221" s="75"/>
    </row>
    <row r="3222" spans="1:8" x14ac:dyDescent="0.3">
      <c r="A3222" s="452" t="s">
        <v>635</v>
      </c>
      <c r="B3222" s="453"/>
      <c r="C3222" s="453"/>
      <c r="D3222" s="453"/>
      <c r="E3222" s="453"/>
      <c r="F3222" s="453"/>
      <c r="G3222" s="453"/>
      <c r="H3222" s="79"/>
    </row>
    <row r="3223" spans="1:8" ht="15.6" x14ac:dyDescent="0.3">
      <c r="A3223" s="455" t="s">
        <v>53</v>
      </c>
      <c r="B3223" s="456"/>
      <c r="C3223" s="456"/>
      <c r="D3223" s="456"/>
      <c r="E3223" s="458" t="s">
        <v>54</v>
      </c>
      <c r="F3223" s="459"/>
      <c r="G3223" s="459"/>
      <c r="H3223" s="460"/>
    </row>
    <row r="3224" spans="1:8" x14ac:dyDescent="0.3">
      <c r="A3224" s="461" t="s">
        <v>55</v>
      </c>
      <c r="B3224" s="462"/>
      <c r="C3224" s="462"/>
      <c r="D3224" s="462"/>
      <c r="E3224" s="39"/>
      <c r="F3224" s="25"/>
      <c r="G3224" s="28"/>
      <c r="H3224" s="32"/>
    </row>
    <row r="3225" spans="1:8" x14ac:dyDescent="0.3">
      <c r="A3225" s="461" t="s">
        <v>56</v>
      </c>
      <c r="B3225" s="462"/>
      <c r="C3225" s="462"/>
      <c r="D3225" s="462"/>
      <c r="E3225" s="39"/>
      <c r="F3225" s="25"/>
      <c r="G3225" s="28"/>
      <c r="H3225" s="32"/>
    </row>
    <row r="3226" spans="1:8" x14ac:dyDescent="0.3">
      <c r="A3226" s="461" t="s">
        <v>57</v>
      </c>
      <c r="B3226" s="462"/>
      <c r="C3226" s="462"/>
      <c r="D3226" s="462"/>
      <c r="E3226" s="39"/>
      <c r="F3226" s="25"/>
      <c r="G3226" s="28"/>
      <c r="H3226" s="32"/>
    </row>
    <row r="3227" spans="1:8" ht="15.6" x14ac:dyDescent="0.3">
      <c r="A3227" s="464" t="s">
        <v>58</v>
      </c>
      <c r="B3227" s="465"/>
      <c r="C3227" s="465"/>
      <c r="D3227" s="465"/>
      <c r="E3227" s="466" t="s">
        <v>59</v>
      </c>
      <c r="F3227" s="467"/>
      <c r="G3227" s="467"/>
      <c r="H3227" s="468"/>
    </row>
    <row r="3230" spans="1:8" ht="44.4" x14ac:dyDescent="0.7">
      <c r="A3230" s="469" t="s">
        <v>0</v>
      </c>
      <c r="B3230" s="470"/>
      <c r="C3230" s="470"/>
      <c r="D3230" s="470"/>
      <c r="E3230" s="471" t="s">
        <v>143</v>
      </c>
      <c r="F3230" s="472"/>
      <c r="G3230" s="472"/>
      <c r="H3230" s="473"/>
    </row>
    <row r="3231" spans="1:8" ht="20.399999999999999" x14ac:dyDescent="0.35">
      <c r="A3231" s="1"/>
      <c r="B3231" s="476" t="s">
        <v>2</v>
      </c>
      <c r="C3231" s="476"/>
      <c r="D3231" s="476"/>
      <c r="E3231" s="474"/>
      <c r="F3231" s="474"/>
      <c r="G3231" s="474"/>
      <c r="H3231" s="475"/>
    </row>
    <row r="3232" spans="1:8" x14ac:dyDescent="0.3">
      <c r="A3232" s="477" t="s">
        <v>3</v>
      </c>
      <c r="B3232" s="478"/>
      <c r="C3232" s="479" t="s">
        <v>4</v>
      </c>
      <c r="D3232" s="479"/>
      <c r="E3232" s="480" t="s">
        <v>5</v>
      </c>
      <c r="F3232" s="480"/>
      <c r="G3232" s="480"/>
      <c r="H3232" s="480"/>
    </row>
    <row r="3233" spans="1:8" ht="15.6" x14ac:dyDescent="0.3">
      <c r="A3233" s="138" t="s">
        <v>6</v>
      </c>
      <c r="B3233" s="5"/>
      <c r="C3233" s="481" t="s">
        <v>7</v>
      </c>
      <c r="D3233" s="481"/>
      <c r="E3233" s="482">
        <v>71</v>
      </c>
      <c r="F3233" s="482"/>
      <c r="G3233" s="44" t="s">
        <v>8</v>
      </c>
      <c r="H3233" s="9" t="s">
        <v>615</v>
      </c>
    </row>
    <row r="3234" spans="1:8" ht="15.6" x14ac:dyDescent="0.3">
      <c r="A3234" s="556" t="s">
        <v>637</v>
      </c>
      <c r="B3234" s="557"/>
      <c r="C3234" s="481" t="s">
        <v>10</v>
      </c>
      <c r="D3234" s="481"/>
      <c r="E3234" s="489"/>
      <c r="F3234" s="491"/>
      <c r="G3234" s="44" t="s">
        <v>8</v>
      </c>
      <c r="H3234" s="6"/>
    </row>
    <row r="3235" spans="1:8" ht="15.6" x14ac:dyDescent="0.3">
      <c r="A3235" s="517" t="s">
        <v>638</v>
      </c>
      <c r="B3235" s="553"/>
      <c r="C3235" s="519" t="s">
        <v>12</v>
      </c>
      <c r="D3235" s="519"/>
      <c r="E3235" s="554"/>
      <c r="F3235" s="555"/>
      <c r="G3235" s="48" t="s">
        <v>8</v>
      </c>
      <c r="H3235" s="9"/>
    </row>
    <row r="3236" spans="1:8" ht="15.6" x14ac:dyDescent="0.3">
      <c r="A3236" s="595" t="s">
        <v>639</v>
      </c>
      <c r="B3236" s="553"/>
      <c r="C3236" s="481" t="s">
        <v>15</v>
      </c>
      <c r="D3236" s="481"/>
      <c r="E3236" s="631" t="s">
        <v>640</v>
      </c>
      <c r="F3236" s="632"/>
      <c r="G3236" s="633"/>
      <c r="H3236" s="49"/>
    </row>
    <row r="3237" spans="1:8" ht="15.6" x14ac:dyDescent="0.3">
      <c r="A3237" s="678" t="s">
        <v>129</v>
      </c>
      <c r="B3237" s="679"/>
      <c r="C3237" s="24"/>
      <c r="D3237" s="25"/>
      <c r="E3237" s="50"/>
      <c r="F3237" s="50"/>
      <c r="G3237" s="51"/>
      <c r="H3237" s="52"/>
    </row>
    <row r="3238" spans="1:8" ht="15" x14ac:dyDescent="0.3">
      <c r="A3238" s="492" t="s">
        <v>17</v>
      </c>
      <c r="B3238" s="494" t="s">
        <v>18</v>
      </c>
      <c r="C3238" s="494" t="s">
        <v>19</v>
      </c>
      <c r="D3238" s="494" t="s">
        <v>20</v>
      </c>
      <c r="E3238" s="494" t="s">
        <v>21</v>
      </c>
      <c r="F3238" s="494" t="s">
        <v>22</v>
      </c>
      <c r="G3238" s="494"/>
      <c r="H3238" s="492" t="s">
        <v>23</v>
      </c>
    </row>
    <row r="3239" spans="1:8" ht="27.6" x14ac:dyDescent="0.3">
      <c r="A3239" s="492"/>
      <c r="B3239" s="494"/>
      <c r="C3239" s="494"/>
      <c r="D3239" s="494"/>
      <c r="E3239" s="494"/>
      <c r="F3239" s="53" t="s">
        <v>24</v>
      </c>
      <c r="G3239" s="53" t="s">
        <v>25</v>
      </c>
      <c r="H3239" s="492"/>
    </row>
    <row r="3240" spans="1:8" x14ac:dyDescent="0.3">
      <c r="A3240" s="57">
        <v>1</v>
      </c>
      <c r="B3240" s="149" t="s">
        <v>641</v>
      </c>
      <c r="C3240" s="57">
        <v>1</v>
      </c>
      <c r="D3240" s="150">
        <v>85364900</v>
      </c>
      <c r="E3240" s="57">
        <v>5100</v>
      </c>
      <c r="F3240" s="151">
        <f>E3240*C3240*9%</f>
        <v>459</v>
      </c>
      <c r="G3240" s="151">
        <f>F3240</f>
        <v>459</v>
      </c>
      <c r="H3240" s="57">
        <f>G3240+F3240+E3240*C3240</f>
        <v>6018</v>
      </c>
    </row>
    <row r="3241" spans="1:8" x14ac:dyDescent="0.3">
      <c r="A3241" s="147"/>
      <c r="B3241" s="149"/>
      <c r="C3241" s="141"/>
      <c r="D3241" s="150"/>
      <c r="E3241" s="55"/>
      <c r="F3241" s="151"/>
      <c r="G3241" s="151"/>
      <c r="H3241" s="57"/>
    </row>
    <row r="3242" spans="1:8" x14ac:dyDescent="0.3">
      <c r="A3242" s="55"/>
      <c r="B3242" s="60"/>
      <c r="C3242" s="55"/>
      <c r="D3242" s="150"/>
      <c r="E3242" s="57"/>
      <c r="F3242" s="151"/>
      <c r="G3242" s="151"/>
      <c r="H3242" s="57"/>
    </row>
    <row r="3243" spans="1:8" x14ac:dyDescent="0.3">
      <c r="A3243" s="55"/>
      <c r="B3243" s="60"/>
      <c r="C3243" s="55"/>
      <c r="D3243" s="56"/>
      <c r="E3243" s="57"/>
      <c r="F3243" s="151"/>
      <c r="G3243" s="151"/>
      <c r="H3243" s="57"/>
    </row>
    <row r="3244" spans="1:8" x14ac:dyDescent="0.3">
      <c r="A3244" s="55"/>
      <c r="B3244" s="94"/>
      <c r="C3244" s="55"/>
      <c r="D3244" s="56"/>
      <c r="E3244" s="47"/>
      <c r="F3244" s="151"/>
      <c r="G3244" s="151"/>
      <c r="H3244" s="57"/>
    </row>
    <row r="3245" spans="1:8" x14ac:dyDescent="0.3">
      <c r="A3245" s="55"/>
      <c r="B3245" s="94"/>
      <c r="C3245" s="55"/>
      <c r="D3245" s="56"/>
      <c r="E3245" s="47"/>
      <c r="F3245" s="151"/>
      <c r="G3245" s="151"/>
      <c r="H3245" s="57"/>
    </row>
    <row r="3246" spans="1:8" x14ac:dyDescent="0.3">
      <c r="A3246" s="27"/>
      <c r="B3246" s="28"/>
      <c r="C3246" s="24"/>
      <c r="D3246" s="152"/>
      <c r="E3246" s="25"/>
      <c r="F3246" s="153"/>
      <c r="G3246" s="153"/>
      <c r="H3246" s="154"/>
    </row>
    <row r="3247" spans="1:8" x14ac:dyDescent="0.3">
      <c r="A3247" s="27"/>
      <c r="B3247" s="28"/>
      <c r="C3247" s="24"/>
      <c r="D3247" s="152"/>
      <c r="E3247" s="25"/>
      <c r="F3247" s="153"/>
      <c r="G3247" s="153"/>
      <c r="H3247" s="154"/>
    </row>
    <row r="3248" spans="1:8" x14ac:dyDescent="0.3">
      <c r="A3248" s="27"/>
      <c r="B3248" s="28"/>
      <c r="C3248" s="24"/>
      <c r="D3248" s="152"/>
      <c r="E3248" s="25"/>
      <c r="F3248" s="153"/>
      <c r="G3248" s="153"/>
      <c r="H3248" s="154"/>
    </row>
    <row r="3249" spans="1:8" x14ac:dyDescent="0.3">
      <c r="A3249" s="27"/>
      <c r="B3249" s="28"/>
      <c r="C3249" s="24"/>
      <c r="D3249" s="152"/>
      <c r="E3249" s="25"/>
      <c r="F3249" s="153"/>
      <c r="G3249" s="153"/>
      <c r="H3249" s="154"/>
    </row>
    <row r="3250" spans="1:8" x14ac:dyDescent="0.3">
      <c r="A3250" s="27"/>
      <c r="B3250" s="28"/>
      <c r="C3250" s="24"/>
      <c r="D3250" s="152"/>
      <c r="E3250" s="25"/>
      <c r="F3250" s="153"/>
      <c r="G3250" s="153"/>
      <c r="H3250" s="154"/>
    </row>
    <row r="3251" spans="1:8" x14ac:dyDescent="0.3">
      <c r="A3251" s="27"/>
      <c r="B3251" s="28"/>
      <c r="C3251" s="24"/>
      <c r="D3251" s="152"/>
      <c r="E3251" s="25"/>
      <c r="F3251" s="153"/>
      <c r="G3251" s="153"/>
      <c r="H3251" s="154"/>
    </row>
    <row r="3252" spans="1:8" x14ac:dyDescent="0.3">
      <c r="A3252" s="27"/>
      <c r="B3252" s="28"/>
      <c r="C3252" s="24"/>
      <c r="D3252" s="152"/>
      <c r="E3252" s="25"/>
      <c r="F3252" s="153"/>
      <c r="G3252" s="153"/>
      <c r="H3252" s="154"/>
    </row>
    <row r="3253" spans="1:8" x14ac:dyDescent="0.3">
      <c r="A3253" s="27"/>
      <c r="B3253" s="28"/>
      <c r="C3253" s="24"/>
      <c r="D3253" s="152"/>
      <c r="E3253" s="25"/>
      <c r="F3253" s="153"/>
      <c r="G3253" s="153"/>
      <c r="H3253" s="154"/>
    </row>
    <row r="3254" spans="1:8" x14ac:dyDescent="0.3">
      <c r="A3254" s="27"/>
      <c r="B3254" s="28"/>
      <c r="C3254" s="24"/>
      <c r="D3254" s="152"/>
      <c r="E3254" s="25"/>
      <c r="F3254" s="153"/>
      <c r="G3254" s="153"/>
      <c r="H3254" s="154"/>
    </row>
    <row r="3255" spans="1:8" x14ac:dyDescent="0.3">
      <c r="A3255" s="27"/>
      <c r="B3255" s="28"/>
      <c r="C3255" s="24"/>
      <c r="D3255" s="152"/>
      <c r="E3255" s="25"/>
      <c r="F3255" s="153"/>
      <c r="G3255" s="153"/>
      <c r="H3255" s="154"/>
    </row>
    <row r="3256" spans="1:8" x14ac:dyDescent="0.3">
      <c r="A3256" s="27"/>
      <c r="B3256" s="28"/>
      <c r="C3256" s="24"/>
      <c r="D3256" s="152"/>
      <c r="E3256" s="25"/>
      <c r="F3256" s="153"/>
      <c r="G3256" s="153"/>
      <c r="H3256" s="154"/>
    </row>
    <row r="3257" spans="1:8" x14ac:dyDescent="0.3">
      <c r="A3257" s="27"/>
      <c r="B3257" s="28"/>
      <c r="C3257" s="24"/>
      <c r="D3257" s="25"/>
      <c r="E3257" s="25"/>
      <c r="F3257" s="25"/>
      <c r="G3257" s="28"/>
      <c r="H3257" s="32"/>
    </row>
    <row r="3258" spans="1:8" x14ac:dyDescent="0.3">
      <c r="A3258" s="27"/>
      <c r="B3258" s="28"/>
      <c r="C3258" s="24"/>
      <c r="D3258" s="25"/>
      <c r="E3258" s="25"/>
      <c r="F3258" s="25"/>
      <c r="G3258" s="28"/>
      <c r="H3258" s="32"/>
    </row>
    <row r="3259" spans="1:8" x14ac:dyDescent="0.3">
      <c r="A3259" s="27"/>
      <c r="B3259" s="28"/>
      <c r="C3259" s="24"/>
      <c r="D3259" s="25"/>
      <c r="E3259" s="25"/>
      <c r="F3259" s="25"/>
      <c r="G3259" s="28"/>
      <c r="H3259" s="32"/>
    </row>
    <row r="3260" spans="1:8" x14ac:dyDescent="0.3">
      <c r="A3260" s="27"/>
      <c r="B3260" s="28"/>
      <c r="C3260" s="24"/>
      <c r="D3260" s="25"/>
      <c r="E3260" s="25"/>
      <c r="F3260" s="25"/>
      <c r="G3260" s="28"/>
      <c r="H3260" s="32"/>
    </row>
    <row r="3261" spans="1:8" x14ac:dyDescent="0.3">
      <c r="A3261" s="27"/>
      <c r="B3261" s="28"/>
      <c r="C3261" s="24"/>
      <c r="D3261" s="25"/>
      <c r="E3261" s="25"/>
      <c r="F3261" s="25"/>
      <c r="G3261" s="28"/>
      <c r="H3261" s="32"/>
    </row>
    <row r="3262" spans="1:8" x14ac:dyDescent="0.3">
      <c r="A3262" s="27"/>
      <c r="B3262" s="28"/>
      <c r="C3262" s="24"/>
      <c r="D3262" s="25"/>
      <c r="E3262" s="25"/>
      <c r="F3262" s="25"/>
      <c r="G3262" s="28"/>
      <c r="H3262" s="32"/>
    </row>
    <row r="3263" spans="1:8" x14ac:dyDescent="0.3">
      <c r="A3263" s="27"/>
      <c r="B3263" s="28"/>
      <c r="C3263" s="24"/>
      <c r="D3263" s="25"/>
      <c r="E3263" s="25"/>
      <c r="F3263" s="25"/>
      <c r="G3263" s="28"/>
      <c r="H3263" s="32"/>
    </row>
    <row r="3264" spans="1:8" ht="15.6" x14ac:dyDescent="0.3">
      <c r="A3264" s="497" t="s">
        <v>97</v>
      </c>
      <c r="B3264" s="498"/>
      <c r="C3264" s="24"/>
      <c r="D3264" s="25"/>
      <c r="E3264" s="25"/>
      <c r="F3264" s="116" t="s">
        <v>46</v>
      </c>
      <c r="G3264" s="26"/>
      <c r="H3264" s="66">
        <v>5100</v>
      </c>
    </row>
    <row r="3265" spans="1:8" ht="15.6" x14ac:dyDescent="0.3">
      <c r="A3265" s="497" t="s">
        <v>642</v>
      </c>
      <c r="B3265" s="498"/>
      <c r="C3265" s="498"/>
      <c r="D3265" s="498"/>
      <c r="E3265" s="67"/>
      <c r="F3265" s="116" t="s">
        <v>47</v>
      </c>
      <c r="G3265" s="26"/>
      <c r="H3265" s="66">
        <f>H3264*9%</f>
        <v>459</v>
      </c>
    </row>
    <row r="3266" spans="1:8" ht="15.6" x14ac:dyDescent="0.3">
      <c r="A3266" s="27"/>
      <c r="B3266" s="28"/>
      <c r="C3266" s="24"/>
      <c r="D3266" s="25"/>
      <c r="E3266" s="25"/>
      <c r="F3266" s="116" t="s">
        <v>48</v>
      </c>
      <c r="G3266" s="26"/>
      <c r="H3266" s="66">
        <f>H3264*9%</f>
        <v>459</v>
      </c>
    </row>
    <row r="3267" spans="1:8" ht="15.6" x14ac:dyDescent="0.3">
      <c r="A3267" s="497" t="s">
        <v>49</v>
      </c>
      <c r="B3267" s="498"/>
      <c r="C3267" s="498"/>
      <c r="D3267" s="25"/>
      <c r="E3267" s="25"/>
      <c r="F3267" s="116" t="s">
        <v>50</v>
      </c>
      <c r="G3267" s="26"/>
      <c r="H3267" s="66">
        <v>6018</v>
      </c>
    </row>
    <row r="3268" spans="1:8" ht="27" x14ac:dyDescent="0.3">
      <c r="A3268" s="68" t="s">
        <v>22</v>
      </c>
      <c r="B3268" s="69" t="s">
        <v>51</v>
      </c>
      <c r="C3268" s="70" t="s">
        <v>24</v>
      </c>
      <c r="D3268" s="31" t="s">
        <v>25</v>
      </c>
      <c r="E3268" s="528" t="s">
        <v>52</v>
      </c>
      <c r="F3268" s="528"/>
      <c r="G3268" s="28"/>
      <c r="H3268" s="32"/>
    </row>
    <row r="3269" spans="1:8" x14ac:dyDescent="0.3">
      <c r="A3269" s="72">
        <v>0.18</v>
      </c>
      <c r="B3269" s="73">
        <f>H3264</f>
        <v>5100</v>
      </c>
      <c r="C3269" s="155">
        <f>H3265</f>
        <v>459</v>
      </c>
      <c r="D3269" s="155">
        <f>H3266</f>
        <v>459</v>
      </c>
      <c r="E3269" s="507">
        <f>C3269+D3269</f>
        <v>918</v>
      </c>
      <c r="F3269" s="507"/>
      <c r="G3269" s="74"/>
      <c r="H3269" s="75"/>
    </row>
    <row r="3270" spans="1:8" x14ac:dyDescent="0.3">
      <c r="A3270" s="452" t="s">
        <v>643</v>
      </c>
      <c r="B3270" s="453"/>
      <c r="C3270" s="453"/>
      <c r="D3270" s="453"/>
      <c r="E3270" s="453"/>
      <c r="F3270" s="453"/>
      <c r="G3270" s="453"/>
      <c r="H3270" s="79"/>
    </row>
    <row r="3271" spans="1:8" ht="15.6" x14ac:dyDescent="0.3">
      <c r="A3271" s="455" t="s">
        <v>53</v>
      </c>
      <c r="B3271" s="456"/>
      <c r="C3271" s="456"/>
      <c r="D3271" s="456"/>
      <c r="E3271" s="458" t="s">
        <v>54</v>
      </c>
      <c r="F3271" s="459"/>
      <c r="G3271" s="459"/>
      <c r="H3271" s="460"/>
    </row>
    <row r="3272" spans="1:8" x14ac:dyDescent="0.3">
      <c r="A3272" s="461" t="s">
        <v>55</v>
      </c>
      <c r="B3272" s="462"/>
      <c r="C3272" s="462"/>
      <c r="D3272" s="462"/>
      <c r="E3272" s="39"/>
      <c r="F3272" s="25"/>
      <c r="G3272" s="28"/>
      <c r="H3272" s="32"/>
    </row>
    <row r="3273" spans="1:8" x14ac:dyDescent="0.3">
      <c r="A3273" s="461" t="s">
        <v>56</v>
      </c>
      <c r="B3273" s="462"/>
      <c r="C3273" s="462"/>
      <c r="D3273" s="462"/>
      <c r="E3273" s="39"/>
      <c r="F3273" s="25"/>
      <c r="G3273" s="28"/>
      <c r="H3273" s="32"/>
    </row>
    <row r="3274" spans="1:8" x14ac:dyDescent="0.3">
      <c r="A3274" s="461" t="s">
        <v>57</v>
      </c>
      <c r="B3274" s="462"/>
      <c r="C3274" s="462"/>
      <c r="D3274" s="462"/>
      <c r="E3274" s="39"/>
      <c r="F3274" s="25"/>
      <c r="G3274" s="28"/>
      <c r="H3274" s="32"/>
    </row>
    <row r="3275" spans="1:8" ht="15.6" x14ac:dyDescent="0.3">
      <c r="A3275" s="464" t="s">
        <v>58</v>
      </c>
      <c r="B3275" s="465"/>
      <c r="C3275" s="465"/>
      <c r="D3275" s="465"/>
      <c r="E3275" s="466" t="s">
        <v>59</v>
      </c>
      <c r="F3275" s="467"/>
      <c r="G3275" s="467"/>
      <c r="H3275" s="468"/>
    </row>
    <row r="3277" spans="1:8" ht="44.4" x14ac:dyDescent="0.7">
      <c r="A3277" s="469" t="s">
        <v>0</v>
      </c>
      <c r="B3277" s="470"/>
      <c r="C3277" s="470"/>
      <c r="D3277" s="470"/>
      <c r="E3277" s="471" t="s">
        <v>1</v>
      </c>
      <c r="F3277" s="472"/>
      <c r="G3277" s="472"/>
      <c r="H3277" s="473"/>
    </row>
    <row r="3278" spans="1:8" ht="20.399999999999999" x14ac:dyDescent="0.35">
      <c r="A3278" s="1"/>
      <c r="B3278" s="476" t="s">
        <v>2</v>
      </c>
      <c r="C3278" s="476"/>
      <c r="D3278" s="476"/>
      <c r="E3278" s="474"/>
      <c r="F3278" s="474"/>
      <c r="G3278" s="474"/>
      <c r="H3278" s="475"/>
    </row>
    <row r="3279" spans="1:8" x14ac:dyDescent="0.3">
      <c r="A3279" s="477" t="s">
        <v>3</v>
      </c>
      <c r="B3279" s="478"/>
      <c r="C3279" s="479" t="s">
        <v>4</v>
      </c>
      <c r="D3279" s="479"/>
      <c r="E3279" s="480" t="s">
        <v>5</v>
      </c>
      <c r="F3279" s="480"/>
      <c r="G3279" s="480"/>
      <c r="H3279" s="480"/>
    </row>
    <row r="3280" spans="1:8" ht="15.6" x14ac:dyDescent="0.3">
      <c r="A3280" s="4" t="s">
        <v>6</v>
      </c>
      <c r="B3280" s="5"/>
      <c r="C3280" s="481" t="s">
        <v>7</v>
      </c>
      <c r="D3280" s="481"/>
      <c r="E3280" s="482">
        <v>72</v>
      </c>
      <c r="F3280" s="482"/>
      <c r="G3280" s="7" t="s">
        <v>8</v>
      </c>
      <c r="H3280" s="250" t="s">
        <v>644</v>
      </c>
    </row>
    <row r="3281" spans="1:9" ht="15.6" x14ac:dyDescent="0.3">
      <c r="A3281" s="551" t="s">
        <v>458</v>
      </c>
      <c r="B3281" s="552"/>
      <c r="C3281" s="481" t="s">
        <v>10</v>
      </c>
      <c r="D3281" s="481"/>
      <c r="E3281" s="482">
        <v>6</v>
      </c>
      <c r="F3281" s="482"/>
      <c r="G3281" s="7" t="s">
        <v>8</v>
      </c>
      <c r="H3281" s="251" t="s">
        <v>372</v>
      </c>
    </row>
    <row r="3282" spans="1:9" ht="24.75" customHeight="1" x14ac:dyDescent="0.3">
      <c r="A3282" s="560" t="s">
        <v>459</v>
      </c>
      <c r="B3282" s="561"/>
      <c r="C3282" s="483" t="s">
        <v>12</v>
      </c>
      <c r="D3282" s="484"/>
      <c r="E3282" s="564" t="s">
        <v>466</v>
      </c>
      <c r="F3282" s="593"/>
      <c r="G3282" s="10" t="s">
        <v>8</v>
      </c>
      <c r="H3282" s="252" t="s">
        <v>465</v>
      </c>
    </row>
    <row r="3283" spans="1:9" ht="15.6" x14ac:dyDescent="0.3">
      <c r="A3283" s="253" t="s">
        <v>460</v>
      </c>
      <c r="B3283" s="254"/>
      <c r="C3283" s="481" t="s">
        <v>15</v>
      </c>
      <c r="D3283" s="481"/>
      <c r="E3283" s="489" t="s">
        <v>461</v>
      </c>
      <c r="F3283" s="490"/>
      <c r="G3283" s="490"/>
      <c r="H3283" s="491"/>
    </row>
    <row r="3284" spans="1:9" ht="15.6" x14ac:dyDescent="0.3">
      <c r="A3284" s="255" t="s">
        <v>645</v>
      </c>
      <c r="B3284" s="256"/>
      <c r="C3284" s="489"/>
      <c r="D3284" s="490"/>
      <c r="E3284" s="490"/>
      <c r="F3284" s="490"/>
      <c r="G3284" s="490"/>
      <c r="H3284" s="491"/>
    </row>
    <row r="3285" spans="1:9" ht="15" x14ac:dyDescent="0.3">
      <c r="A3285" s="492" t="s">
        <v>17</v>
      </c>
      <c r="B3285" s="494" t="s">
        <v>18</v>
      </c>
      <c r="C3285" s="494" t="s">
        <v>19</v>
      </c>
      <c r="D3285" s="495" t="s">
        <v>20</v>
      </c>
      <c r="E3285" s="494" t="s">
        <v>21</v>
      </c>
      <c r="F3285" s="494" t="s">
        <v>22</v>
      </c>
      <c r="G3285" s="494"/>
      <c r="H3285" s="492" t="s">
        <v>23</v>
      </c>
    </row>
    <row r="3286" spans="1:9" ht="27.6" x14ac:dyDescent="0.3">
      <c r="A3286" s="492"/>
      <c r="B3286" s="494"/>
      <c r="C3286" s="494"/>
      <c r="D3286" s="505"/>
      <c r="E3286" s="494"/>
      <c r="F3286" s="53" t="s">
        <v>24</v>
      </c>
      <c r="G3286" s="53" t="s">
        <v>25</v>
      </c>
      <c r="H3286" s="492"/>
    </row>
    <row r="3287" spans="1:9" x14ac:dyDescent="0.3">
      <c r="A3287" s="55">
        <v>1</v>
      </c>
      <c r="B3287" s="84" t="s">
        <v>646</v>
      </c>
      <c r="C3287" s="55">
        <v>3</v>
      </c>
      <c r="D3287" s="86">
        <v>854690</v>
      </c>
      <c r="E3287" s="55">
        <v>3500</v>
      </c>
      <c r="F3287" s="55">
        <f>E3287*C3287*9%</f>
        <v>945</v>
      </c>
      <c r="G3287" s="55">
        <f>F3287</f>
        <v>945</v>
      </c>
      <c r="H3287" s="55">
        <f>G3287+F3287+E3287*C3287</f>
        <v>12390</v>
      </c>
      <c r="I3287" s="362">
        <f>E3287*C3287</f>
        <v>10500</v>
      </c>
    </row>
    <row r="3288" spans="1:9" x14ac:dyDescent="0.3">
      <c r="A3288" s="55">
        <v>2</v>
      </c>
      <c r="B3288" s="84" t="s">
        <v>647</v>
      </c>
      <c r="C3288" s="55">
        <v>3</v>
      </c>
      <c r="D3288" s="86">
        <v>85469090</v>
      </c>
      <c r="E3288" s="55">
        <v>1300</v>
      </c>
      <c r="F3288" s="55">
        <f>E3288*C3288*9%</f>
        <v>351</v>
      </c>
      <c r="G3288" s="55">
        <f>F3288</f>
        <v>351</v>
      </c>
      <c r="H3288" s="55">
        <f>G3288+F3288+E3288*C3288</f>
        <v>4602</v>
      </c>
      <c r="I3288" s="362">
        <f>E3288*C3288</f>
        <v>3900</v>
      </c>
    </row>
    <row r="3289" spans="1:9" x14ac:dyDescent="0.3">
      <c r="A3289" s="55">
        <v>3</v>
      </c>
      <c r="B3289" s="257" t="s">
        <v>648</v>
      </c>
      <c r="C3289" s="55">
        <v>1</v>
      </c>
      <c r="D3289" s="86">
        <v>998719</v>
      </c>
      <c r="E3289" s="55">
        <v>2500</v>
      </c>
      <c r="F3289" s="55">
        <f>E3289*C3289*9%</f>
        <v>225</v>
      </c>
      <c r="G3289" s="55">
        <f>F3289</f>
        <v>225</v>
      </c>
      <c r="H3289" s="55">
        <f>G3289+F3289+E3289*C3289</f>
        <v>2950</v>
      </c>
      <c r="I3289" s="362">
        <f>E3289*C3289</f>
        <v>2500</v>
      </c>
    </row>
    <row r="3290" spans="1:9" x14ac:dyDescent="0.3">
      <c r="A3290" s="55"/>
      <c r="B3290" s="257"/>
      <c r="C3290" s="20"/>
      <c r="D3290" s="86"/>
      <c r="E3290" s="55"/>
      <c r="F3290" s="55"/>
      <c r="G3290" s="55"/>
      <c r="H3290" s="55"/>
    </row>
    <row r="3291" spans="1:9" x14ac:dyDescent="0.3">
      <c r="A3291" s="55"/>
      <c r="B3291" s="257"/>
      <c r="C3291" s="20"/>
      <c r="D3291" s="86"/>
      <c r="E3291" s="55"/>
      <c r="F3291" s="55"/>
      <c r="G3291" s="55"/>
      <c r="H3291" s="55"/>
    </row>
    <row r="3292" spans="1:9" x14ac:dyDescent="0.3">
      <c r="A3292" s="55"/>
      <c r="B3292" s="257"/>
      <c r="C3292" s="20"/>
      <c r="D3292" s="86"/>
      <c r="E3292" s="55"/>
      <c r="F3292" s="55"/>
      <c r="G3292" s="55"/>
      <c r="H3292" s="55"/>
    </row>
    <row r="3293" spans="1:9" x14ac:dyDescent="0.3">
      <c r="A3293" s="55"/>
      <c r="B3293" s="257"/>
      <c r="C3293" s="20"/>
      <c r="D3293" s="86"/>
      <c r="E3293" s="55"/>
      <c r="F3293" s="55"/>
      <c r="G3293" s="55"/>
      <c r="H3293" s="55"/>
    </row>
    <row r="3294" spans="1:9" x14ac:dyDescent="0.3">
      <c r="A3294" s="55"/>
      <c r="B3294" s="257"/>
      <c r="C3294" s="20"/>
      <c r="D3294" s="86"/>
      <c r="E3294" s="55"/>
      <c r="F3294" s="55"/>
      <c r="G3294" s="55"/>
      <c r="H3294" s="55"/>
    </row>
    <row r="3295" spans="1:9" x14ac:dyDescent="0.3">
      <c r="A3295" s="55"/>
      <c r="B3295" s="257"/>
      <c r="C3295" s="20"/>
      <c r="D3295" s="86"/>
      <c r="E3295" s="55"/>
      <c r="F3295" s="55"/>
      <c r="G3295" s="55"/>
      <c r="H3295" s="55"/>
    </row>
    <row r="3296" spans="1:9" x14ac:dyDescent="0.3">
      <c r="A3296" s="55"/>
      <c r="B3296" s="257"/>
      <c r="C3296" s="20"/>
      <c r="D3296" s="86"/>
      <c r="E3296" s="55"/>
      <c r="F3296" s="55"/>
      <c r="G3296" s="55"/>
      <c r="H3296" s="55"/>
    </row>
    <row r="3297" spans="1:8" x14ac:dyDescent="0.3">
      <c r="A3297" s="55"/>
      <c r="B3297" s="257"/>
      <c r="C3297" s="20"/>
      <c r="D3297" s="86"/>
      <c r="E3297" s="55"/>
      <c r="F3297" s="55"/>
      <c r="G3297" s="55"/>
      <c r="H3297" s="55"/>
    </row>
    <row r="3298" spans="1:8" x14ac:dyDescent="0.3">
      <c r="A3298" s="55"/>
      <c r="B3298" s="257"/>
      <c r="C3298" s="20"/>
      <c r="D3298" s="86"/>
      <c r="E3298" s="55"/>
      <c r="F3298" s="55"/>
      <c r="G3298" s="55"/>
      <c r="H3298" s="55"/>
    </row>
    <row r="3299" spans="1:8" x14ac:dyDescent="0.3">
      <c r="A3299" s="163"/>
      <c r="B3299" s="163"/>
      <c r="C3299" s="163"/>
      <c r="D3299" s="163"/>
      <c r="E3299" s="163"/>
      <c r="F3299" s="163"/>
      <c r="G3299" s="163"/>
      <c r="H3299" s="163"/>
    </row>
    <row r="3300" spans="1:8" x14ac:dyDescent="0.3">
      <c r="A3300" s="258"/>
      <c r="B3300" s="257"/>
      <c r="C3300" s="258"/>
      <c r="D3300" s="86"/>
      <c r="E3300" s="55"/>
      <c r="F3300" s="259"/>
      <c r="G3300" s="259"/>
      <c r="H3300" s="258"/>
    </row>
    <row r="3301" spans="1:8" x14ac:dyDescent="0.3">
      <c r="A3301" s="55"/>
      <c r="B3301" s="84"/>
      <c r="C3301" s="55"/>
      <c r="D3301" s="55"/>
      <c r="E3301" s="55"/>
      <c r="F3301" s="55"/>
      <c r="G3301" s="55"/>
      <c r="H3301" s="55"/>
    </row>
    <row r="3302" spans="1:8" x14ac:dyDescent="0.3">
      <c r="A3302" s="163"/>
      <c r="B3302" s="163"/>
      <c r="C3302" s="163"/>
      <c r="D3302" s="163"/>
      <c r="E3302" s="163"/>
      <c r="F3302" s="163"/>
      <c r="G3302" s="163"/>
      <c r="H3302" s="163"/>
    </row>
    <row r="3303" spans="1:8" x14ac:dyDescent="0.3">
      <c r="A3303" s="55"/>
      <c r="B3303" s="257"/>
      <c r="C3303" s="55"/>
      <c r="D3303" s="55"/>
      <c r="E3303" s="55"/>
      <c r="F3303" s="55"/>
      <c r="G3303" s="55"/>
      <c r="H3303" s="55"/>
    </row>
    <row r="3304" spans="1:8" x14ac:dyDescent="0.3">
      <c r="A3304" s="57"/>
      <c r="B3304" s="84"/>
      <c r="C3304" s="85"/>
      <c r="D3304" s="86"/>
      <c r="E3304" s="87"/>
      <c r="F3304" s="47"/>
      <c r="G3304" s="47"/>
      <c r="H3304" s="47"/>
    </row>
    <row r="3305" spans="1:8" x14ac:dyDescent="0.3">
      <c r="A3305" s="57"/>
      <c r="B3305" s="84"/>
      <c r="C3305" s="85"/>
      <c r="D3305" s="86"/>
      <c r="E3305" s="47"/>
      <c r="F3305" s="47"/>
      <c r="G3305" s="47"/>
      <c r="H3305" s="47"/>
    </row>
    <row r="3306" spans="1:8" x14ac:dyDescent="0.3">
      <c r="A3306" s="55"/>
      <c r="B3306" s="84"/>
      <c r="C3306" s="55"/>
      <c r="D3306" s="86"/>
      <c r="E3306" s="47"/>
      <c r="F3306" s="47"/>
      <c r="G3306" s="47"/>
      <c r="H3306" s="47"/>
    </row>
    <row r="3307" spans="1:8" x14ac:dyDescent="0.3">
      <c r="A3307" s="27"/>
      <c r="B3307" s="28"/>
      <c r="C3307" s="24"/>
      <c r="D3307" s="25"/>
      <c r="E3307" s="25"/>
      <c r="F3307" s="28"/>
      <c r="G3307" s="28"/>
      <c r="H3307" s="32"/>
    </row>
    <row r="3308" spans="1:8" ht="15.6" x14ac:dyDescent="0.3">
      <c r="A3308" s="448" t="s">
        <v>45</v>
      </c>
      <c r="B3308" s="449"/>
      <c r="C3308" s="24"/>
      <c r="D3308" s="25"/>
      <c r="E3308" s="25"/>
      <c r="F3308" s="447" t="s">
        <v>46</v>
      </c>
      <c r="G3308" s="447"/>
      <c r="H3308" s="66">
        <v>16900</v>
      </c>
    </row>
    <row r="3309" spans="1:8" ht="15.6" x14ac:dyDescent="0.3">
      <c r="A3309" s="497" t="s">
        <v>649</v>
      </c>
      <c r="B3309" s="498"/>
      <c r="C3309" s="498"/>
      <c r="D3309" s="498"/>
      <c r="E3309" s="498"/>
      <c r="F3309" s="447" t="s">
        <v>47</v>
      </c>
      <c r="G3309" s="447"/>
      <c r="H3309" s="66">
        <f>H3308*9%</f>
        <v>1521</v>
      </c>
    </row>
    <row r="3310" spans="1:8" ht="15.6" x14ac:dyDescent="0.3">
      <c r="A3310" s="27"/>
      <c r="B3310" s="28"/>
      <c r="C3310" s="24"/>
      <c r="D3310" s="25"/>
      <c r="E3310" s="25"/>
      <c r="F3310" s="447" t="s">
        <v>48</v>
      </c>
      <c r="G3310" s="447"/>
      <c r="H3310" s="66">
        <f>H3309</f>
        <v>1521</v>
      </c>
    </row>
    <row r="3311" spans="1:8" ht="15.6" x14ac:dyDescent="0.3">
      <c r="A3311" s="64" t="s">
        <v>49</v>
      </c>
      <c r="B3311" s="65"/>
      <c r="C3311" s="24"/>
      <c r="D3311" s="25"/>
      <c r="E3311" s="25"/>
      <c r="F3311" s="447" t="s">
        <v>50</v>
      </c>
      <c r="G3311" s="447"/>
      <c r="H3311" s="66">
        <f>H3308+H3309+H3310</f>
        <v>19942</v>
      </c>
    </row>
    <row r="3312" spans="1:8" ht="27" x14ac:dyDescent="0.3">
      <c r="A3312" s="68" t="s">
        <v>22</v>
      </c>
      <c r="B3312" s="30" t="s">
        <v>51</v>
      </c>
      <c r="C3312" s="70" t="s">
        <v>24</v>
      </c>
      <c r="D3312" s="31" t="s">
        <v>25</v>
      </c>
      <c r="E3312" s="450" t="s">
        <v>52</v>
      </c>
      <c r="F3312" s="450"/>
      <c r="G3312" s="28"/>
      <c r="H3312" s="32"/>
    </row>
    <row r="3313" spans="1:8" x14ac:dyDescent="0.3">
      <c r="A3313" s="72">
        <v>0.18</v>
      </c>
      <c r="B3313" s="73">
        <f>H3308</f>
        <v>16900</v>
      </c>
      <c r="C3313" s="91">
        <f>H3309</f>
        <v>1521</v>
      </c>
      <c r="D3313" s="91">
        <f>H3309</f>
        <v>1521</v>
      </c>
      <c r="E3313" s="506">
        <f>C3313+D3313</f>
        <v>3042</v>
      </c>
      <c r="F3313" s="507"/>
      <c r="G3313" s="74"/>
      <c r="H3313" s="75"/>
    </row>
    <row r="3314" spans="1:8" x14ac:dyDescent="0.3">
      <c r="A3314" s="508" t="s">
        <v>650</v>
      </c>
      <c r="B3314" s="509"/>
      <c r="C3314" s="509"/>
      <c r="D3314" s="509"/>
      <c r="E3314" s="453"/>
      <c r="F3314" s="453"/>
      <c r="G3314" s="453"/>
      <c r="H3314" s="454"/>
    </row>
    <row r="3315" spans="1:8" ht="15.6" x14ac:dyDescent="0.3">
      <c r="A3315" s="455" t="s">
        <v>53</v>
      </c>
      <c r="B3315" s="456"/>
      <c r="C3315" s="456"/>
      <c r="D3315" s="457"/>
      <c r="E3315" s="458" t="s">
        <v>54</v>
      </c>
      <c r="F3315" s="459"/>
      <c r="G3315" s="459"/>
      <c r="H3315" s="460"/>
    </row>
    <row r="3316" spans="1:8" x14ac:dyDescent="0.3">
      <c r="A3316" s="461" t="s">
        <v>55</v>
      </c>
      <c r="B3316" s="462"/>
      <c r="C3316" s="462"/>
      <c r="D3316" s="463"/>
      <c r="E3316" s="39"/>
      <c r="F3316" s="28"/>
      <c r="G3316" s="28"/>
      <c r="H3316" s="32"/>
    </row>
    <row r="3317" spans="1:8" x14ac:dyDescent="0.3">
      <c r="A3317" s="461" t="s">
        <v>56</v>
      </c>
      <c r="B3317" s="462"/>
      <c r="C3317" s="462"/>
      <c r="D3317" s="463"/>
      <c r="E3317" s="39"/>
      <c r="F3317" s="28"/>
      <c r="G3317" s="28"/>
      <c r="H3317" s="32"/>
    </row>
    <row r="3318" spans="1:8" x14ac:dyDescent="0.3">
      <c r="A3318" s="461" t="s">
        <v>57</v>
      </c>
      <c r="B3318" s="462"/>
      <c r="C3318" s="462"/>
      <c r="D3318" s="463"/>
      <c r="E3318" s="39"/>
      <c r="F3318" s="28"/>
      <c r="G3318" s="28"/>
      <c r="H3318" s="32"/>
    </row>
    <row r="3319" spans="1:8" ht="15.6" x14ac:dyDescent="0.3">
      <c r="A3319" s="464" t="s">
        <v>58</v>
      </c>
      <c r="B3319" s="465"/>
      <c r="C3319" s="465"/>
      <c r="D3319" s="465"/>
      <c r="E3319" s="466" t="s">
        <v>59</v>
      </c>
      <c r="F3319" s="467"/>
      <c r="G3319" s="467"/>
      <c r="H3319" s="468"/>
    </row>
    <row r="3323" spans="1:8" ht="44.4" x14ac:dyDescent="0.7">
      <c r="A3323" s="469" t="s">
        <v>0</v>
      </c>
      <c r="B3323" s="470"/>
      <c r="C3323" s="470"/>
      <c r="D3323" s="470"/>
      <c r="E3323" s="471" t="s">
        <v>1</v>
      </c>
      <c r="F3323" s="472"/>
      <c r="G3323" s="472"/>
      <c r="H3323" s="473"/>
    </row>
    <row r="3324" spans="1:8" ht="20.399999999999999" x14ac:dyDescent="0.35">
      <c r="A3324" s="1"/>
      <c r="B3324" s="476" t="s">
        <v>2</v>
      </c>
      <c r="C3324" s="476"/>
      <c r="D3324" s="476"/>
      <c r="E3324" s="474"/>
      <c r="F3324" s="474"/>
      <c r="G3324" s="474"/>
      <c r="H3324" s="475"/>
    </row>
    <row r="3325" spans="1:8" x14ac:dyDescent="0.3">
      <c r="A3325" s="477" t="s">
        <v>3</v>
      </c>
      <c r="B3325" s="478"/>
      <c r="C3325" s="479" t="s">
        <v>4</v>
      </c>
      <c r="D3325" s="479"/>
      <c r="E3325" s="480" t="s">
        <v>5</v>
      </c>
      <c r="F3325" s="480"/>
      <c r="G3325" s="480"/>
      <c r="H3325" s="480"/>
    </row>
    <row r="3326" spans="1:8" ht="15.6" x14ac:dyDescent="0.3">
      <c r="A3326" s="4" t="s">
        <v>6</v>
      </c>
      <c r="B3326" s="5"/>
      <c r="C3326" s="481" t="s">
        <v>7</v>
      </c>
      <c r="D3326" s="481"/>
      <c r="E3326" s="482">
        <v>73</v>
      </c>
      <c r="F3326" s="482"/>
      <c r="G3326" s="7" t="s">
        <v>8</v>
      </c>
      <c r="H3326" s="250" t="s">
        <v>644</v>
      </c>
    </row>
    <row r="3327" spans="1:8" ht="15.6" x14ac:dyDescent="0.3">
      <c r="A3327" s="551" t="s">
        <v>458</v>
      </c>
      <c r="B3327" s="552"/>
      <c r="C3327" s="481" t="s">
        <v>10</v>
      </c>
      <c r="D3327" s="481"/>
      <c r="E3327" s="482">
        <v>117</v>
      </c>
      <c r="F3327" s="482"/>
      <c r="G3327" s="7" t="s">
        <v>8</v>
      </c>
      <c r="H3327" s="251">
        <v>45694</v>
      </c>
    </row>
    <row r="3328" spans="1:8" ht="27" customHeight="1" x14ac:dyDescent="0.3">
      <c r="A3328" s="560" t="s">
        <v>459</v>
      </c>
      <c r="B3328" s="561"/>
      <c r="C3328" s="483" t="s">
        <v>12</v>
      </c>
      <c r="D3328" s="484"/>
      <c r="E3328" s="564" t="s">
        <v>466</v>
      </c>
      <c r="F3328" s="593"/>
      <c r="G3328" s="10" t="s">
        <v>8</v>
      </c>
      <c r="H3328" s="252" t="s">
        <v>465</v>
      </c>
    </row>
    <row r="3329" spans="1:9" ht="15.6" x14ac:dyDescent="0.3">
      <c r="A3329" s="253" t="s">
        <v>460</v>
      </c>
      <c r="B3329" s="254"/>
      <c r="C3329" s="481" t="s">
        <v>15</v>
      </c>
      <c r="D3329" s="481"/>
      <c r="E3329" s="489" t="s">
        <v>461</v>
      </c>
      <c r="F3329" s="490"/>
      <c r="G3329" s="490"/>
      <c r="H3329" s="491"/>
    </row>
    <row r="3330" spans="1:9" ht="15.6" x14ac:dyDescent="0.3">
      <c r="A3330" s="255" t="s">
        <v>651</v>
      </c>
      <c r="B3330" s="256"/>
      <c r="C3330" s="489"/>
      <c r="D3330" s="490"/>
      <c r="E3330" s="490"/>
      <c r="F3330" s="490"/>
      <c r="G3330" s="490"/>
      <c r="H3330" s="491"/>
    </row>
    <row r="3331" spans="1:9" ht="15" x14ac:dyDescent="0.3">
      <c r="A3331" s="492" t="s">
        <v>17</v>
      </c>
      <c r="B3331" s="494" t="s">
        <v>18</v>
      </c>
      <c r="C3331" s="494" t="s">
        <v>19</v>
      </c>
      <c r="D3331" s="495" t="s">
        <v>20</v>
      </c>
      <c r="E3331" s="494" t="s">
        <v>21</v>
      </c>
      <c r="F3331" s="494" t="s">
        <v>22</v>
      </c>
      <c r="G3331" s="494"/>
      <c r="H3331" s="492" t="s">
        <v>23</v>
      </c>
    </row>
    <row r="3332" spans="1:9" ht="27.6" x14ac:dyDescent="0.3">
      <c r="A3332" s="492"/>
      <c r="B3332" s="494"/>
      <c r="C3332" s="494"/>
      <c r="D3332" s="505"/>
      <c r="E3332" s="494"/>
      <c r="F3332" s="53" t="s">
        <v>24</v>
      </c>
      <c r="G3332" s="53" t="s">
        <v>25</v>
      </c>
      <c r="H3332" s="492"/>
    </row>
    <row r="3333" spans="1:9" x14ac:dyDescent="0.3">
      <c r="A3333" s="55">
        <v>1</v>
      </c>
      <c r="B3333" s="84" t="s">
        <v>652</v>
      </c>
      <c r="C3333" s="55">
        <v>125</v>
      </c>
      <c r="D3333" s="86">
        <v>998719</v>
      </c>
      <c r="E3333" s="55">
        <v>50</v>
      </c>
      <c r="F3333" s="55">
        <f t="shared" ref="F3333:F3338" si="16">E3333*C3333*9%</f>
        <v>562.5</v>
      </c>
      <c r="G3333" s="55">
        <f t="shared" ref="G3333:G3338" si="17">F3333</f>
        <v>562.5</v>
      </c>
      <c r="H3333" s="55">
        <f t="shared" ref="H3333:H3338" si="18">G3333+F3333+E3333*C3333</f>
        <v>7375</v>
      </c>
      <c r="I3333" s="362">
        <f t="shared" ref="I3333:I3338" si="19">E3333*C3333</f>
        <v>6250</v>
      </c>
    </row>
    <row r="3334" spans="1:9" x14ac:dyDescent="0.3">
      <c r="A3334" s="55">
        <v>2</v>
      </c>
      <c r="B3334" s="84" t="s">
        <v>653</v>
      </c>
      <c r="C3334" s="55">
        <v>80</v>
      </c>
      <c r="D3334" s="86">
        <v>998719</v>
      </c>
      <c r="E3334" s="55">
        <v>80</v>
      </c>
      <c r="F3334" s="55">
        <f t="shared" si="16"/>
        <v>576</v>
      </c>
      <c r="G3334" s="55">
        <f t="shared" si="17"/>
        <v>576</v>
      </c>
      <c r="H3334" s="55">
        <f t="shared" si="18"/>
        <v>7552</v>
      </c>
      <c r="I3334" s="362">
        <f t="shared" si="19"/>
        <v>6400</v>
      </c>
    </row>
    <row r="3335" spans="1:9" x14ac:dyDescent="0.3">
      <c r="A3335" s="55">
        <v>3</v>
      </c>
      <c r="B3335" s="257" t="s">
        <v>485</v>
      </c>
      <c r="C3335" s="55">
        <v>3</v>
      </c>
      <c r="D3335" s="86">
        <v>998719</v>
      </c>
      <c r="E3335" s="55">
        <v>6000</v>
      </c>
      <c r="F3335" s="55">
        <f t="shared" si="16"/>
        <v>1620</v>
      </c>
      <c r="G3335" s="55">
        <f t="shared" si="17"/>
        <v>1620</v>
      </c>
      <c r="H3335" s="55">
        <f t="shared" si="18"/>
        <v>21240</v>
      </c>
      <c r="I3335" s="362">
        <f t="shared" si="19"/>
        <v>18000</v>
      </c>
    </row>
    <row r="3336" spans="1:9" ht="16.5" customHeight="1" x14ac:dyDescent="0.3">
      <c r="A3336" s="55">
        <v>4</v>
      </c>
      <c r="B3336" s="257" t="s">
        <v>654</v>
      </c>
      <c r="C3336" s="20">
        <v>3</v>
      </c>
      <c r="D3336" s="163">
        <v>854690</v>
      </c>
      <c r="E3336" s="55">
        <v>1850</v>
      </c>
      <c r="F3336" s="55">
        <f t="shared" si="16"/>
        <v>499.5</v>
      </c>
      <c r="G3336" s="55">
        <f t="shared" si="17"/>
        <v>499.5</v>
      </c>
      <c r="H3336" s="55">
        <f t="shared" si="18"/>
        <v>6549</v>
      </c>
      <c r="I3336" s="362">
        <f t="shared" si="19"/>
        <v>5550</v>
      </c>
    </row>
    <row r="3337" spans="1:9" ht="17.25" customHeight="1" x14ac:dyDescent="0.3">
      <c r="A3337" s="55">
        <v>5</v>
      </c>
      <c r="B3337" s="257" t="s">
        <v>655</v>
      </c>
      <c r="C3337" s="20">
        <v>1</v>
      </c>
      <c r="D3337" s="163">
        <v>854690</v>
      </c>
      <c r="E3337" s="55">
        <v>1850</v>
      </c>
      <c r="F3337" s="55">
        <f t="shared" si="16"/>
        <v>166.5</v>
      </c>
      <c r="G3337" s="55">
        <f t="shared" si="17"/>
        <v>166.5</v>
      </c>
      <c r="H3337" s="55">
        <f t="shared" si="18"/>
        <v>2183</v>
      </c>
      <c r="I3337" s="362">
        <f t="shared" si="19"/>
        <v>1850</v>
      </c>
    </row>
    <row r="3338" spans="1:9" ht="22.5" customHeight="1" x14ac:dyDescent="0.3">
      <c r="A3338" s="55">
        <v>6</v>
      </c>
      <c r="B3338" s="257" t="s">
        <v>656</v>
      </c>
      <c r="C3338" s="20">
        <v>4</v>
      </c>
      <c r="D3338" s="86">
        <v>998719</v>
      </c>
      <c r="E3338" s="55">
        <v>1600</v>
      </c>
      <c r="F3338" s="55">
        <f t="shared" si="16"/>
        <v>576</v>
      </c>
      <c r="G3338" s="55">
        <f t="shared" si="17"/>
        <v>576</v>
      </c>
      <c r="H3338" s="55">
        <f t="shared" si="18"/>
        <v>7552</v>
      </c>
      <c r="I3338" s="362">
        <f t="shared" si="19"/>
        <v>6400</v>
      </c>
    </row>
    <row r="3339" spans="1:9" x14ac:dyDescent="0.3">
      <c r="A3339" s="55"/>
      <c r="B3339" s="257"/>
      <c r="C3339" s="20"/>
      <c r="D3339" s="86"/>
      <c r="E3339" s="55"/>
      <c r="F3339" s="55"/>
      <c r="G3339" s="55"/>
      <c r="H3339" s="55"/>
    </row>
    <row r="3340" spans="1:9" x14ac:dyDescent="0.3">
      <c r="A3340" s="55"/>
      <c r="B3340" s="257"/>
      <c r="C3340" s="20"/>
      <c r="D3340" s="86"/>
      <c r="E3340" s="55"/>
      <c r="F3340" s="55"/>
      <c r="G3340" s="55"/>
      <c r="H3340" s="55"/>
    </row>
    <row r="3341" spans="1:9" x14ac:dyDescent="0.3">
      <c r="A3341" s="55"/>
      <c r="B3341" s="257"/>
      <c r="C3341" s="20"/>
      <c r="D3341" s="86"/>
      <c r="E3341" s="55"/>
      <c r="F3341" s="55"/>
      <c r="G3341" s="55"/>
      <c r="H3341" s="55"/>
    </row>
    <row r="3342" spans="1:9" x14ac:dyDescent="0.3">
      <c r="A3342" s="55"/>
      <c r="B3342" s="257"/>
      <c r="C3342" s="20"/>
      <c r="D3342" s="86"/>
      <c r="E3342" s="55"/>
      <c r="F3342" s="55"/>
      <c r="G3342" s="55"/>
      <c r="H3342" s="55"/>
    </row>
    <row r="3343" spans="1:9" x14ac:dyDescent="0.3">
      <c r="A3343" s="55"/>
      <c r="B3343" s="257"/>
      <c r="C3343" s="20"/>
      <c r="D3343" s="86"/>
      <c r="E3343" s="55"/>
      <c r="F3343" s="55"/>
      <c r="G3343" s="55"/>
      <c r="H3343" s="55"/>
    </row>
    <row r="3344" spans="1:9" x14ac:dyDescent="0.3">
      <c r="A3344" s="55"/>
      <c r="B3344" s="257"/>
      <c r="C3344" s="20"/>
      <c r="D3344" s="86"/>
      <c r="E3344" s="55"/>
      <c r="F3344" s="55"/>
      <c r="G3344" s="55"/>
      <c r="H3344" s="55"/>
    </row>
    <row r="3345" spans="1:8" x14ac:dyDescent="0.3">
      <c r="A3345" s="163"/>
      <c r="B3345" s="163"/>
      <c r="C3345" s="163"/>
      <c r="D3345" s="163"/>
      <c r="E3345" s="163"/>
      <c r="F3345" s="163"/>
      <c r="G3345" s="163"/>
      <c r="H3345" s="163"/>
    </row>
    <row r="3346" spans="1:8" x14ac:dyDescent="0.3">
      <c r="A3346" s="258"/>
      <c r="B3346" s="257"/>
      <c r="C3346" s="258"/>
      <c r="D3346" s="86"/>
      <c r="E3346" s="55"/>
      <c r="F3346" s="259"/>
      <c r="G3346" s="259"/>
      <c r="H3346" s="258"/>
    </row>
    <row r="3347" spans="1:8" x14ac:dyDescent="0.3">
      <c r="A3347" s="55"/>
      <c r="B3347" s="84"/>
      <c r="C3347" s="55"/>
      <c r="D3347" s="55"/>
      <c r="E3347" s="55"/>
      <c r="F3347" s="55"/>
      <c r="G3347" s="55"/>
      <c r="H3347" s="55"/>
    </row>
    <row r="3348" spans="1:8" x14ac:dyDescent="0.3">
      <c r="A3348" s="163"/>
      <c r="B3348" s="163"/>
      <c r="C3348" s="163"/>
      <c r="D3348" s="163"/>
      <c r="E3348" s="163"/>
      <c r="F3348" s="163"/>
      <c r="G3348" s="163"/>
      <c r="H3348" s="163"/>
    </row>
    <row r="3349" spans="1:8" x14ac:dyDescent="0.3">
      <c r="A3349" s="55"/>
      <c r="B3349" s="257"/>
      <c r="C3349" s="55"/>
      <c r="D3349" s="55"/>
      <c r="E3349" s="55"/>
      <c r="F3349" s="55"/>
      <c r="G3349" s="55"/>
      <c r="H3349" s="55"/>
    </row>
    <row r="3350" spans="1:8" x14ac:dyDescent="0.3">
      <c r="A3350" s="57"/>
      <c r="B3350" s="84"/>
      <c r="C3350" s="85"/>
      <c r="D3350" s="86"/>
      <c r="E3350" s="87"/>
      <c r="F3350" s="47"/>
      <c r="G3350" s="47"/>
      <c r="H3350" s="47"/>
    </row>
    <row r="3351" spans="1:8" x14ac:dyDescent="0.3">
      <c r="A3351" s="57"/>
      <c r="B3351" s="84"/>
      <c r="C3351" s="85"/>
      <c r="D3351" s="86"/>
      <c r="E3351" s="47"/>
      <c r="F3351" s="47"/>
      <c r="G3351" s="47"/>
      <c r="H3351" s="47"/>
    </row>
    <row r="3352" spans="1:8" x14ac:dyDescent="0.3">
      <c r="A3352" s="55"/>
      <c r="B3352" s="84"/>
      <c r="C3352" s="55"/>
      <c r="D3352" s="86"/>
      <c r="E3352" s="47"/>
      <c r="F3352" s="47"/>
      <c r="G3352" s="47"/>
      <c r="H3352" s="47"/>
    </row>
    <row r="3353" spans="1:8" x14ac:dyDescent="0.3">
      <c r="A3353" s="27"/>
      <c r="B3353" s="28"/>
      <c r="C3353" s="24"/>
      <c r="D3353" s="25"/>
      <c r="E3353" s="25"/>
      <c r="F3353" s="28"/>
      <c r="G3353" s="28"/>
      <c r="H3353" s="32"/>
    </row>
    <row r="3354" spans="1:8" ht="15.6" x14ac:dyDescent="0.3">
      <c r="A3354" s="448" t="s">
        <v>45</v>
      </c>
      <c r="B3354" s="449"/>
      <c r="C3354" s="24"/>
      <c r="D3354" s="25"/>
      <c r="E3354" s="25"/>
      <c r="F3354" s="447" t="s">
        <v>46</v>
      </c>
      <c r="G3354" s="447"/>
      <c r="H3354" s="66">
        <v>44450</v>
      </c>
    </row>
    <row r="3355" spans="1:8" ht="15.6" x14ac:dyDescent="0.3">
      <c r="A3355" s="497" t="s">
        <v>657</v>
      </c>
      <c r="B3355" s="498"/>
      <c r="C3355" s="498"/>
      <c r="D3355" s="498"/>
      <c r="E3355" s="498"/>
      <c r="F3355" s="447" t="s">
        <v>47</v>
      </c>
      <c r="G3355" s="447"/>
      <c r="H3355" s="66">
        <f>H3354*9%</f>
        <v>4000.5</v>
      </c>
    </row>
    <row r="3356" spans="1:8" ht="15.6" x14ac:dyDescent="0.3">
      <c r="A3356" s="27"/>
      <c r="B3356" s="28"/>
      <c r="C3356" s="24"/>
      <c r="D3356" s="25"/>
      <c r="E3356" s="25"/>
      <c r="F3356" s="447" t="s">
        <v>48</v>
      </c>
      <c r="G3356" s="447"/>
      <c r="H3356" s="66">
        <f>H3355</f>
        <v>4000.5</v>
      </c>
    </row>
    <row r="3357" spans="1:8" ht="15.6" x14ac:dyDescent="0.3">
      <c r="A3357" s="64" t="s">
        <v>49</v>
      </c>
      <c r="B3357" s="65"/>
      <c r="C3357" s="24"/>
      <c r="D3357" s="25"/>
      <c r="E3357" s="25"/>
      <c r="F3357" s="447" t="s">
        <v>50</v>
      </c>
      <c r="G3357" s="447"/>
      <c r="H3357" s="66">
        <f>H3354+H3355+H3356</f>
        <v>52451</v>
      </c>
    </row>
    <row r="3358" spans="1:8" ht="27" x14ac:dyDescent="0.3">
      <c r="A3358" s="68" t="s">
        <v>22</v>
      </c>
      <c r="B3358" s="30" t="s">
        <v>51</v>
      </c>
      <c r="C3358" s="70" t="s">
        <v>24</v>
      </c>
      <c r="D3358" s="31" t="s">
        <v>25</v>
      </c>
      <c r="E3358" s="450" t="s">
        <v>52</v>
      </c>
      <c r="F3358" s="450"/>
      <c r="G3358" s="28"/>
      <c r="H3358" s="32"/>
    </row>
    <row r="3359" spans="1:8" x14ac:dyDescent="0.3">
      <c r="A3359" s="72">
        <v>0.18</v>
      </c>
      <c r="B3359" s="73">
        <f>H3354</f>
        <v>44450</v>
      </c>
      <c r="C3359" s="91">
        <f>H3355</f>
        <v>4000.5</v>
      </c>
      <c r="D3359" s="91">
        <f>H3355</f>
        <v>4000.5</v>
      </c>
      <c r="E3359" s="506">
        <f>C3359+D3359</f>
        <v>8001</v>
      </c>
      <c r="F3359" s="507"/>
      <c r="G3359" s="74"/>
      <c r="H3359" s="75"/>
    </row>
    <row r="3360" spans="1:8" x14ac:dyDescent="0.3">
      <c r="A3360" s="508" t="s">
        <v>658</v>
      </c>
      <c r="B3360" s="509"/>
      <c r="C3360" s="509"/>
      <c r="D3360" s="509"/>
      <c r="E3360" s="453"/>
      <c r="F3360" s="453"/>
      <c r="G3360" s="453"/>
      <c r="H3360" s="454"/>
    </row>
    <row r="3361" spans="1:8" ht="15.6" x14ac:dyDescent="0.3">
      <c r="A3361" s="455" t="s">
        <v>53</v>
      </c>
      <c r="B3361" s="456"/>
      <c r="C3361" s="456"/>
      <c r="D3361" s="457"/>
      <c r="E3361" s="458" t="s">
        <v>54</v>
      </c>
      <c r="F3361" s="459"/>
      <c r="G3361" s="459"/>
      <c r="H3361" s="460"/>
    </row>
    <row r="3362" spans="1:8" x14ac:dyDescent="0.3">
      <c r="A3362" s="461" t="s">
        <v>55</v>
      </c>
      <c r="B3362" s="462"/>
      <c r="C3362" s="462"/>
      <c r="D3362" s="463"/>
      <c r="E3362" s="39"/>
      <c r="F3362" s="28"/>
      <c r="G3362" s="28"/>
      <c r="H3362" s="32"/>
    </row>
    <row r="3363" spans="1:8" x14ac:dyDescent="0.3">
      <c r="A3363" s="461" t="s">
        <v>56</v>
      </c>
      <c r="B3363" s="462"/>
      <c r="C3363" s="462"/>
      <c r="D3363" s="463"/>
      <c r="E3363" s="39"/>
      <c r="F3363" s="28"/>
      <c r="G3363" s="28"/>
      <c r="H3363" s="32"/>
    </row>
    <row r="3364" spans="1:8" x14ac:dyDescent="0.3">
      <c r="A3364" s="461" t="s">
        <v>57</v>
      </c>
      <c r="B3364" s="462"/>
      <c r="C3364" s="462"/>
      <c r="D3364" s="463"/>
      <c r="E3364" s="39"/>
      <c r="F3364" s="28"/>
      <c r="G3364" s="28"/>
      <c r="H3364" s="32"/>
    </row>
    <row r="3365" spans="1:8" ht="15.6" x14ac:dyDescent="0.3">
      <c r="A3365" s="464" t="s">
        <v>58</v>
      </c>
      <c r="B3365" s="465"/>
      <c r="C3365" s="465"/>
      <c r="D3365" s="465"/>
      <c r="E3365" s="466" t="s">
        <v>59</v>
      </c>
      <c r="F3365" s="467"/>
      <c r="G3365" s="467"/>
      <c r="H3365" s="468"/>
    </row>
    <row r="3369" spans="1:8" ht="44.4" x14ac:dyDescent="0.7">
      <c r="A3369" s="469" t="s">
        <v>0</v>
      </c>
      <c r="B3369" s="470"/>
      <c r="C3369" s="470"/>
      <c r="D3369" s="470"/>
      <c r="E3369" s="471" t="s">
        <v>1</v>
      </c>
      <c r="F3369" s="472"/>
      <c r="G3369" s="472"/>
      <c r="H3369" s="473"/>
    </row>
    <row r="3370" spans="1:8" ht="20.399999999999999" x14ac:dyDescent="0.35">
      <c r="A3370" s="1"/>
      <c r="B3370" s="476" t="s">
        <v>2</v>
      </c>
      <c r="C3370" s="476"/>
      <c r="D3370" s="476"/>
      <c r="E3370" s="474"/>
      <c r="F3370" s="474"/>
      <c r="G3370" s="474"/>
      <c r="H3370" s="475"/>
    </row>
    <row r="3371" spans="1:8" x14ac:dyDescent="0.3">
      <c r="A3371" s="477" t="s">
        <v>3</v>
      </c>
      <c r="B3371" s="478"/>
      <c r="C3371" s="479" t="s">
        <v>4</v>
      </c>
      <c r="D3371" s="479"/>
      <c r="E3371" s="480" t="s">
        <v>5</v>
      </c>
      <c r="F3371" s="480"/>
      <c r="G3371" s="480"/>
      <c r="H3371" s="480"/>
    </row>
    <row r="3372" spans="1:8" ht="15.6" x14ac:dyDescent="0.3">
      <c r="A3372" s="4" t="s">
        <v>6</v>
      </c>
      <c r="B3372" s="5"/>
      <c r="C3372" s="481" t="s">
        <v>7</v>
      </c>
      <c r="D3372" s="481"/>
      <c r="E3372" s="482">
        <v>74</v>
      </c>
      <c r="F3372" s="482"/>
      <c r="G3372" s="7" t="s">
        <v>8</v>
      </c>
      <c r="H3372" s="250" t="s">
        <v>644</v>
      </c>
    </row>
    <row r="3373" spans="1:8" ht="15.6" x14ac:dyDescent="0.3">
      <c r="A3373" s="551" t="s">
        <v>458</v>
      </c>
      <c r="B3373" s="552"/>
      <c r="C3373" s="481" t="s">
        <v>10</v>
      </c>
      <c r="D3373" s="481"/>
      <c r="E3373" s="482">
        <v>116</v>
      </c>
      <c r="F3373" s="482"/>
      <c r="G3373" s="7" t="s">
        <v>8</v>
      </c>
      <c r="H3373" s="251" t="s">
        <v>455</v>
      </c>
    </row>
    <row r="3374" spans="1:8" ht="32.25" customHeight="1" x14ac:dyDescent="0.3">
      <c r="A3374" s="560" t="s">
        <v>459</v>
      </c>
      <c r="B3374" s="561"/>
      <c r="C3374" s="483" t="s">
        <v>12</v>
      </c>
      <c r="D3374" s="484"/>
      <c r="E3374" s="652" t="s">
        <v>661</v>
      </c>
      <c r="F3374" s="653"/>
      <c r="G3374" s="10" t="s">
        <v>8</v>
      </c>
      <c r="H3374" s="252" t="s">
        <v>660</v>
      </c>
    </row>
    <row r="3375" spans="1:8" ht="15.6" x14ac:dyDescent="0.3">
      <c r="A3375" s="253" t="s">
        <v>460</v>
      </c>
      <c r="B3375" s="254"/>
      <c r="C3375" s="481" t="s">
        <v>15</v>
      </c>
      <c r="D3375" s="481"/>
      <c r="E3375" s="489" t="s">
        <v>461</v>
      </c>
      <c r="F3375" s="490"/>
      <c r="G3375" s="490"/>
      <c r="H3375" s="491"/>
    </row>
    <row r="3376" spans="1:8" ht="15.6" x14ac:dyDescent="0.3">
      <c r="A3376" s="255" t="s">
        <v>659</v>
      </c>
      <c r="B3376" s="256"/>
      <c r="C3376" s="489"/>
      <c r="D3376" s="490"/>
      <c r="E3376" s="490"/>
      <c r="F3376" s="490"/>
      <c r="G3376" s="490"/>
      <c r="H3376" s="491"/>
    </row>
    <row r="3377" spans="1:9" ht="15" x14ac:dyDescent="0.3">
      <c r="A3377" s="492" t="s">
        <v>17</v>
      </c>
      <c r="B3377" s="494" t="s">
        <v>18</v>
      </c>
      <c r="C3377" s="494" t="s">
        <v>19</v>
      </c>
      <c r="D3377" s="495" t="s">
        <v>20</v>
      </c>
      <c r="E3377" s="494" t="s">
        <v>21</v>
      </c>
      <c r="F3377" s="494" t="s">
        <v>22</v>
      </c>
      <c r="G3377" s="494"/>
      <c r="H3377" s="492" t="s">
        <v>23</v>
      </c>
    </row>
    <row r="3378" spans="1:9" ht="27.6" x14ac:dyDescent="0.3">
      <c r="A3378" s="492"/>
      <c r="B3378" s="494"/>
      <c r="C3378" s="494"/>
      <c r="D3378" s="505"/>
      <c r="E3378" s="494"/>
      <c r="F3378" s="53" t="s">
        <v>24</v>
      </c>
      <c r="G3378" s="53" t="s">
        <v>25</v>
      </c>
      <c r="H3378" s="492"/>
    </row>
    <row r="3379" spans="1:9" x14ac:dyDescent="0.3">
      <c r="A3379" s="55">
        <v>1</v>
      </c>
      <c r="B3379" s="84" t="s">
        <v>662</v>
      </c>
      <c r="C3379" s="55">
        <v>2</v>
      </c>
      <c r="D3379" s="86">
        <v>8538</v>
      </c>
      <c r="E3379" s="55">
        <v>5420</v>
      </c>
      <c r="F3379" s="55">
        <f>E3379*C3379*9%</f>
        <v>975.59999999999991</v>
      </c>
      <c r="G3379" s="55">
        <f>F3379</f>
        <v>975.59999999999991</v>
      </c>
      <c r="H3379" s="55">
        <f>G3379+F3379+E3379*C3379</f>
        <v>12791.2</v>
      </c>
      <c r="I3379" s="362">
        <f>E3379*C3379</f>
        <v>10840</v>
      </c>
    </row>
    <row r="3380" spans="1:9" x14ac:dyDescent="0.3">
      <c r="A3380" s="55">
        <v>2</v>
      </c>
      <c r="B3380" s="84" t="s">
        <v>663</v>
      </c>
      <c r="C3380" s="55">
        <v>2</v>
      </c>
      <c r="D3380" s="86">
        <v>8538</v>
      </c>
      <c r="E3380" s="55">
        <v>3500</v>
      </c>
      <c r="F3380" s="55">
        <f>E3380*C3380*9%</f>
        <v>630</v>
      </c>
      <c r="G3380" s="55">
        <f t="shared" ref="G3380:G3385" si="20">F3380</f>
        <v>630</v>
      </c>
      <c r="H3380" s="55">
        <f t="shared" ref="H3380:H3385" si="21">G3380+F3380+E3380*C3380</f>
        <v>8260</v>
      </c>
      <c r="I3380" s="362">
        <f t="shared" ref="I3380:I3385" si="22">E3380*C3380</f>
        <v>7000</v>
      </c>
    </row>
    <row r="3381" spans="1:9" x14ac:dyDescent="0.3">
      <c r="A3381" s="55">
        <v>3</v>
      </c>
      <c r="B3381" s="84" t="s">
        <v>664</v>
      </c>
      <c r="C3381" s="55">
        <v>7</v>
      </c>
      <c r="D3381" s="86">
        <v>8538</v>
      </c>
      <c r="E3381" s="55">
        <v>2025</v>
      </c>
      <c r="F3381" s="55">
        <f>E3381*C3381*9%</f>
        <v>1275.75</v>
      </c>
      <c r="G3381" s="55">
        <f t="shared" si="20"/>
        <v>1275.75</v>
      </c>
      <c r="H3381" s="55">
        <f t="shared" si="21"/>
        <v>16726.5</v>
      </c>
      <c r="I3381" s="362">
        <f t="shared" si="22"/>
        <v>14175</v>
      </c>
    </row>
    <row r="3382" spans="1:9" x14ac:dyDescent="0.3">
      <c r="A3382" s="55">
        <v>4</v>
      </c>
      <c r="B3382" s="84" t="s">
        <v>665</v>
      </c>
      <c r="C3382" s="20">
        <v>3</v>
      </c>
      <c r="D3382" s="86">
        <v>8538</v>
      </c>
      <c r="E3382" s="55">
        <v>2510</v>
      </c>
      <c r="F3382" s="55">
        <f>E3382*C3382*9%</f>
        <v>677.69999999999993</v>
      </c>
      <c r="G3382" s="55">
        <f t="shared" si="20"/>
        <v>677.69999999999993</v>
      </c>
      <c r="H3382" s="55">
        <f t="shared" si="21"/>
        <v>8885.4</v>
      </c>
      <c r="I3382" s="362">
        <f t="shared" si="22"/>
        <v>7530</v>
      </c>
    </row>
    <row r="3383" spans="1:9" ht="17.25" customHeight="1" x14ac:dyDescent="0.3">
      <c r="A3383" s="55">
        <v>5</v>
      </c>
      <c r="B3383" s="257" t="s">
        <v>667</v>
      </c>
      <c r="C3383" s="20">
        <v>14</v>
      </c>
      <c r="D3383" s="86">
        <v>998719</v>
      </c>
      <c r="E3383" s="55">
        <v>1418</v>
      </c>
      <c r="F3383" s="55">
        <f>E3383*C3383*9%</f>
        <v>1786.6799999999998</v>
      </c>
      <c r="G3383" s="55">
        <f t="shared" si="20"/>
        <v>1786.6799999999998</v>
      </c>
      <c r="H3383" s="55">
        <f t="shared" si="21"/>
        <v>23425.360000000001</v>
      </c>
      <c r="I3383" s="362">
        <f t="shared" si="22"/>
        <v>19852</v>
      </c>
    </row>
    <row r="3384" spans="1:9" ht="32.25" customHeight="1" x14ac:dyDescent="0.3">
      <c r="A3384" s="55"/>
      <c r="B3384" s="257"/>
      <c r="C3384" s="20"/>
      <c r="D3384" s="86"/>
      <c r="E3384" s="55"/>
      <c r="F3384" s="53" t="s">
        <v>668</v>
      </c>
      <c r="G3384" s="53" t="s">
        <v>668</v>
      </c>
      <c r="H3384" s="55"/>
      <c r="I3384" s="362">
        <f t="shared" si="22"/>
        <v>0</v>
      </c>
    </row>
    <row r="3385" spans="1:9" x14ac:dyDescent="0.3">
      <c r="A3385" s="55">
        <v>5</v>
      </c>
      <c r="B3385" s="84" t="s">
        <v>666</v>
      </c>
      <c r="C3385" s="20">
        <v>19</v>
      </c>
      <c r="D3385" s="86">
        <v>2508</v>
      </c>
      <c r="E3385" s="55">
        <v>400</v>
      </c>
      <c r="F3385" s="55">
        <v>190</v>
      </c>
      <c r="G3385" s="55">
        <f t="shared" si="20"/>
        <v>190</v>
      </c>
      <c r="H3385" s="55">
        <f t="shared" si="21"/>
        <v>7980</v>
      </c>
      <c r="I3385" s="362">
        <f t="shared" si="22"/>
        <v>7600</v>
      </c>
    </row>
    <row r="3386" spans="1:9" x14ac:dyDescent="0.3">
      <c r="A3386" s="55"/>
      <c r="B3386" s="84"/>
      <c r="C3386" s="20"/>
      <c r="D3386" s="163"/>
      <c r="E3386" s="55"/>
      <c r="F3386" s="55"/>
      <c r="G3386" s="55"/>
      <c r="H3386" s="55"/>
    </row>
    <row r="3387" spans="1:9" x14ac:dyDescent="0.3">
      <c r="A3387" s="55"/>
      <c r="B3387" s="257"/>
      <c r="C3387" s="20"/>
      <c r="D3387" s="86"/>
      <c r="E3387" s="55"/>
      <c r="F3387" s="55"/>
      <c r="G3387" s="55"/>
      <c r="H3387" s="55"/>
    </row>
    <row r="3388" spans="1:9" x14ac:dyDescent="0.3">
      <c r="A3388" s="55"/>
      <c r="B3388" s="257"/>
      <c r="C3388" s="20"/>
      <c r="D3388" s="86"/>
      <c r="E3388" s="55"/>
      <c r="F3388" s="55"/>
      <c r="G3388" s="55"/>
      <c r="H3388" s="55"/>
    </row>
    <row r="3389" spans="1:9" x14ac:dyDescent="0.3">
      <c r="A3389" s="55"/>
      <c r="B3389" s="257"/>
      <c r="C3389" s="20"/>
      <c r="D3389" s="86"/>
      <c r="E3389" s="55"/>
      <c r="F3389" s="55"/>
      <c r="G3389" s="55"/>
      <c r="H3389" s="55"/>
    </row>
    <row r="3390" spans="1:9" x14ac:dyDescent="0.3">
      <c r="A3390" s="163"/>
      <c r="B3390" s="163"/>
      <c r="C3390" s="163"/>
      <c r="D3390" s="163"/>
      <c r="E3390" s="163"/>
      <c r="F3390" s="163"/>
      <c r="G3390" s="163"/>
      <c r="H3390" s="163"/>
    </row>
    <row r="3391" spans="1:9" x14ac:dyDescent="0.3">
      <c r="A3391" s="258"/>
      <c r="B3391" s="257"/>
      <c r="C3391" s="258"/>
      <c r="D3391" s="86"/>
      <c r="E3391" s="55"/>
      <c r="F3391" s="259"/>
      <c r="G3391" s="259"/>
      <c r="H3391" s="258"/>
    </row>
    <row r="3392" spans="1:9" x14ac:dyDescent="0.3">
      <c r="A3392" s="55"/>
      <c r="B3392" s="84"/>
      <c r="C3392" s="55"/>
      <c r="D3392" s="55"/>
      <c r="E3392" s="55"/>
      <c r="F3392" s="55"/>
      <c r="G3392" s="55"/>
      <c r="H3392" s="55"/>
    </row>
    <row r="3393" spans="1:9" x14ac:dyDescent="0.3">
      <c r="A3393" s="163"/>
      <c r="B3393" s="163"/>
      <c r="C3393" s="163"/>
      <c r="D3393" s="163"/>
      <c r="E3393" s="163"/>
      <c r="F3393" s="163"/>
      <c r="G3393" s="163"/>
      <c r="H3393" s="163"/>
    </row>
    <row r="3394" spans="1:9" x14ac:dyDescent="0.3">
      <c r="A3394" s="55"/>
      <c r="B3394" s="257"/>
      <c r="C3394" s="55"/>
      <c r="D3394" s="55"/>
      <c r="E3394" s="55"/>
      <c r="F3394" s="55"/>
      <c r="G3394" s="55"/>
      <c r="H3394" s="55"/>
    </row>
    <row r="3395" spans="1:9" x14ac:dyDescent="0.3">
      <c r="A3395" s="57"/>
      <c r="B3395" s="84"/>
      <c r="C3395" s="85"/>
      <c r="D3395" s="86"/>
      <c r="E3395" s="87"/>
      <c r="F3395" s="47"/>
      <c r="G3395" s="47"/>
      <c r="H3395" s="47"/>
    </row>
    <row r="3396" spans="1:9" x14ac:dyDescent="0.3">
      <c r="A3396" s="57"/>
      <c r="B3396" s="84"/>
      <c r="C3396" s="85"/>
      <c r="D3396" s="86"/>
      <c r="E3396" s="47"/>
      <c r="F3396" s="47"/>
      <c r="G3396" s="47"/>
      <c r="H3396" s="47"/>
    </row>
    <row r="3397" spans="1:9" x14ac:dyDescent="0.3">
      <c r="A3397" s="55"/>
      <c r="B3397" s="84"/>
      <c r="C3397" s="55"/>
      <c r="D3397" s="86"/>
      <c r="E3397" s="47"/>
      <c r="F3397" s="47"/>
      <c r="G3397" s="47"/>
      <c r="H3397" s="47"/>
    </row>
    <row r="3398" spans="1:9" x14ac:dyDescent="0.3">
      <c r="A3398" s="27"/>
      <c r="B3398" s="28"/>
      <c r="C3398" s="24"/>
      <c r="D3398" s="25"/>
      <c r="E3398" s="25"/>
      <c r="F3398" s="28"/>
      <c r="G3398" s="28"/>
      <c r="H3398" s="32"/>
    </row>
    <row r="3399" spans="1:9" ht="15.6" x14ac:dyDescent="0.3">
      <c r="A3399" s="448" t="s">
        <v>45</v>
      </c>
      <c r="B3399" s="449"/>
      <c r="C3399" s="24"/>
      <c r="D3399" s="25"/>
      <c r="E3399" s="25"/>
      <c r="F3399" s="447" t="s">
        <v>46</v>
      </c>
      <c r="G3399" s="447"/>
      <c r="H3399" s="66">
        <v>66997</v>
      </c>
    </row>
    <row r="3400" spans="1:9" x14ac:dyDescent="0.3">
      <c r="A3400" s="497" t="s">
        <v>676</v>
      </c>
      <c r="B3400" s="498"/>
      <c r="C3400" s="498"/>
      <c r="D3400" s="498"/>
      <c r="E3400" s="498"/>
      <c r="F3400" s="498" t="s">
        <v>669</v>
      </c>
      <c r="G3400" s="498"/>
      <c r="H3400" s="66">
        <v>5345.73</v>
      </c>
      <c r="I3400" s="369">
        <f>H3400+H3402</f>
        <v>5535.73</v>
      </c>
    </row>
    <row r="3401" spans="1:9" x14ac:dyDescent="0.3">
      <c r="A3401" s="27"/>
      <c r="B3401" s="28"/>
      <c r="C3401" s="24"/>
      <c r="D3401" s="25"/>
      <c r="E3401" s="25"/>
      <c r="F3401" s="498" t="s">
        <v>670</v>
      </c>
      <c r="G3401" s="498"/>
      <c r="H3401" s="66">
        <f>H3400</f>
        <v>5345.73</v>
      </c>
    </row>
    <row r="3402" spans="1:9" x14ac:dyDescent="0.3">
      <c r="A3402" s="27"/>
      <c r="B3402" s="28"/>
      <c r="C3402" s="24"/>
      <c r="D3402" s="25"/>
      <c r="E3402" s="25"/>
      <c r="F3402" s="498" t="s">
        <v>671</v>
      </c>
      <c r="G3402" s="498"/>
      <c r="H3402" s="66">
        <v>190</v>
      </c>
    </row>
    <row r="3403" spans="1:9" x14ac:dyDescent="0.3">
      <c r="A3403" s="27"/>
      <c r="B3403" s="28"/>
      <c r="C3403" s="24"/>
      <c r="D3403" s="25"/>
      <c r="E3403" s="25"/>
      <c r="F3403" s="498" t="s">
        <v>672</v>
      </c>
      <c r="G3403" s="498"/>
      <c r="H3403" s="66">
        <v>190</v>
      </c>
    </row>
    <row r="3404" spans="1:9" ht="15.6" x14ac:dyDescent="0.3">
      <c r="A3404" s="64" t="s">
        <v>49</v>
      </c>
      <c r="B3404" s="65"/>
      <c r="C3404" s="24"/>
      <c r="D3404" s="25"/>
      <c r="E3404" s="25"/>
      <c r="F3404" s="447" t="s">
        <v>50</v>
      </c>
      <c r="G3404" s="447"/>
      <c r="H3404" s="66">
        <v>78068</v>
      </c>
    </row>
    <row r="3405" spans="1:9" ht="27" x14ac:dyDescent="0.3">
      <c r="A3405" s="68" t="s">
        <v>22</v>
      </c>
      <c r="B3405" s="30" t="s">
        <v>51</v>
      </c>
      <c r="C3405" s="70" t="s">
        <v>673</v>
      </c>
      <c r="D3405" s="31" t="s">
        <v>674</v>
      </c>
      <c r="E3405" s="450" t="s">
        <v>52</v>
      </c>
      <c r="F3405" s="450"/>
      <c r="G3405" s="28"/>
      <c r="H3405" s="32"/>
    </row>
    <row r="3406" spans="1:9" x14ac:dyDescent="0.3">
      <c r="A3406" s="72"/>
      <c r="B3406" s="73">
        <f>H3399</f>
        <v>66997</v>
      </c>
      <c r="C3406" s="91">
        <v>5535.73</v>
      </c>
      <c r="D3406" s="91">
        <v>5535.73</v>
      </c>
      <c r="E3406" s="506">
        <f>C3406+D3406</f>
        <v>11071.46</v>
      </c>
      <c r="F3406" s="507"/>
      <c r="G3406" s="74"/>
      <c r="H3406" s="75"/>
    </row>
    <row r="3407" spans="1:9" x14ac:dyDescent="0.3">
      <c r="A3407" s="508" t="s">
        <v>675</v>
      </c>
      <c r="B3407" s="509"/>
      <c r="C3407" s="509"/>
      <c r="D3407" s="509"/>
      <c r="E3407" s="453"/>
      <c r="F3407" s="453"/>
      <c r="G3407" s="453"/>
      <c r="H3407" s="454"/>
    </row>
    <row r="3408" spans="1:9" ht="15.6" x14ac:dyDescent="0.3">
      <c r="A3408" s="455" t="s">
        <v>53</v>
      </c>
      <c r="B3408" s="456"/>
      <c r="C3408" s="456"/>
      <c r="D3408" s="457"/>
      <c r="E3408" s="458" t="s">
        <v>54</v>
      </c>
      <c r="F3408" s="459"/>
      <c r="G3408" s="459"/>
      <c r="H3408" s="460"/>
    </row>
    <row r="3409" spans="1:8" x14ac:dyDescent="0.3">
      <c r="A3409" s="461" t="s">
        <v>55</v>
      </c>
      <c r="B3409" s="462"/>
      <c r="C3409" s="462"/>
      <c r="D3409" s="463"/>
      <c r="E3409" s="39"/>
      <c r="F3409" s="28"/>
      <c r="G3409" s="28"/>
      <c r="H3409" s="32"/>
    </row>
    <row r="3410" spans="1:8" x14ac:dyDescent="0.3">
      <c r="A3410" s="461" t="s">
        <v>56</v>
      </c>
      <c r="B3410" s="462"/>
      <c r="C3410" s="462"/>
      <c r="D3410" s="463"/>
      <c r="E3410" s="39"/>
      <c r="F3410" s="28"/>
      <c r="G3410" s="28"/>
      <c r="H3410" s="32"/>
    </row>
    <row r="3411" spans="1:8" x14ac:dyDescent="0.3">
      <c r="A3411" s="461" t="s">
        <v>57</v>
      </c>
      <c r="B3411" s="462"/>
      <c r="C3411" s="462"/>
      <c r="D3411" s="463"/>
      <c r="E3411" s="39"/>
      <c r="F3411" s="28"/>
      <c r="G3411" s="28"/>
      <c r="H3411" s="32"/>
    </row>
    <row r="3412" spans="1:8" ht="15.6" x14ac:dyDescent="0.3">
      <c r="A3412" s="464" t="s">
        <v>58</v>
      </c>
      <c r="B3412" s="465"/>
      <c r="C3412" s="465"/>
      <c r="D3412" s="465"/>
      <c r="E3412" s="466" t="s">
        <v>59</v>
      </c>
      <c r="F3412" s="467"/>
      <c r="G3412" s="467"/>
      <c r="H3412" s="468"/>
    </row>
    <row r="3416" spans="1:8" ht="44.4" x14ac:dyDescent="0.7">
      <c r="A3416" s="469" t="s">
        <v>0</v>
      </c>
      <c r="B3416" s="470"/>
      <c r="C3416" s="470"/>
      <c r="D3416" s="470"/>
      <c r="E3416" s="471" t="s">
        <v>1</v>
      </c>
      <c r="F3416" s="472"/>
      <c r="G3416" s="472"/>
      <c r="H3416" s="473"/>
    </row>
    <row r="3417" spans="1:8" ht="20.399999999999999" x14ac:dyDescent="0.35">
      <c r="A3417" s="1"/>
      <c r="B3417" s="476" t="s">
        <v>2</v>
      </c>
      <c r="C3417" s="476"/>
      <c r="D3417" s="476"/>
      <c r="E3417" s="474"/>
      <c r="F3417" s="474"/>
      <c r="G3417" s="474"/>
      <c r="H3417" s="475"/>
    </row>
    <row r="3418" spans="1:8" x14ac:dyDescent="0.3">
      <c r="A3418" s="477" t="s">
        <v>3</v>
      </c>
      <c r="B3418" s="478"/>
      <c r="C3418" s="479" t="s">
        <v>4</v>
      </c>
      <c r="D3418" s="479"/>
      <c r="E3418" s="480" t="s">
        <v>5</v>
      </c>
      <c r="F3418" s="480"/>
      <c r="G3418" s="480"/>
      <c r="H3418" s="480"/>
    </row>
    <row r="3419" spans="1:8" ht="15.6" x14ac:dyDescent="0.3">
      <c r="A3419" s="4" t="s">
        <v>6</v>
      </c>
      <c r="B3419" s="5"/>
      <c r="C3419" s="481" t="s">
        <v>7</v>
      </c>
      <c r="D3419" s="481"/>
      <c r="E3419" s="482">
        <v>75</v>
      </c>
      <c r="F3419" s="482"/>
      <c r="G3419" s="7" t="s">
        <v>8</v>
      </c>
      <c r="H3419" s="250" t="s">
        <v>644</v>
      </c>
    </row>
    <row r="3420" spans="1:8" ht="15.6" x14ac:dyDescent="0.3">
      <c r="A3420" s="551" t="s">
        <v>458</v>
      </c>
      <c r="B3420" s="552"/>
      <c r="C3420" s="481" t="s">
        <v>10</v>
      </c>
      <c r="D3420" s="481"/>
      <c r="E3420" s="482">
        <v>6</v>
      </c>
      <c r="F3420" s="482"/>
      <c r="G3420" s="7" t="s">
        <v>8</v>
      </c>
      <c r="H3420" s="251">
        <v>45967</v>
      </c>
    </row>
    <row r="3421" spans="1:8" ht="25.5" customHeight="1" x14ac:dyDescent="0.3">
      <c r="A3421" s="560" t="s">
        <v>459</v>
      </c>
      <c r="B3421" s="561"/>
      <c r="C3421" s="483" t="s">
        <v>12</v>
      </c>
      <c r="D3421" s="484"/>
      <c r="E3421" s="564" t="s">
        <v>466</v>
      </c>
      <c r="F3421" s="593"/>
      <c r="G3421" s="10" t="s">
        <v>8</v>
      </c>
      <c r="H3421" s="252" t="s">
        <v>465</v>
      </c>
    </row>
    <row r="3422" spans="1:8" ht="15.6" x14ac:dyDescent="0.3">
      <c r="A3422" s="253" t="s">
        <v>460</v>
      </c>
      <c r="B3422" s="254"/>
      <c r="C3422" s="481" t="s">
        <v>15</v>
      </c>
      <c r="D3422" s="481"/>
      <c r="E3422" s="489" t="s">
        <v>461</v>
      </c>
      <c r="F3422" s="490"/>
      <c r="G3422" s="490"/>
      <c r="H3422" s="491"/>
    </row>
    <row r="3423" spans="1:8" ht="15.6" x14ac:dyDescent="0.3">
      <c r="A3423" s="255" t="s">
        <v>677</v>
      </c>
      <c r="B3423" s="256"/>
      <c r="C3423" s="489"/>
      <c r="D3423" s="490"/>
      <c r="E3423" s="490"/>
      <c r="F3423" s="490"/>
      <c r="G3423" s="490"/>
      <c r="H3423" s="491"/>
    </row>
    <row r="3424" spans="1:8" ht="15" x14ac:dyDescent="0.3">
      <c r="A3424" s="492" t="s">
        <v>17</v>
      </c>
      <c r="B3424" s="494" t="s">
        <v>18</v>
      </c>
      <c r="C3424" s="494" t="s">
        <v>19</v>
      </c>
      <c r="D3424" s="495" t="s">
        <v>20</v>
      </c>
      <c r="E3424" s="494" t="s">
        <v>21</v>
      </c>
      <c r="F3424" s="494" t="s">
        <v>22</v>
      </c>
      <c r="G3424" s="494"/>
      <c r="H3424" s="492" t="s">
        <v>23</v>
      </c>
    </row>
    <row r="3425" spans="1:8" ht="27.6" x14ac:dyDescent="0.3">
      <c r="A3425" s="492"/>
      <c r="B3425" s="494"/>
      <c r="C3425" s="494"/>
      <c r="D3425" s="505"/>
      <c r="E3425" s="494"/>
      <c r="F3425" s="53" t="s">
        <v>24</v>
      </c>
      <c r="G3425" s="53" t="s">
        <v>25</v>
      </c>
      <c r="H3425" s="492"/>
    </row>
    <row r="3426" spans="1:8" x14ac:dyDescent="0.3">
      <c r="A3426" s="55">
        <v>1</v>
      </c>
      <c r="B3426" s="84" t="s">
        <v>678</v>
      </c>
      <c r="C3426" s="55">
        <v>1</v>
      </c>
      <c r="D3426" s="86">
        <v>998719</v>
      </c>
      <c r="E3426" s="55">
        <v>3000</v>
      </c>
      <c r="F3426" s="55">
        <f>E3426*C3426*9%</f>
        <v>270</v>
      </c>
      <c r="G3426" s="55">
        <f>F3426</f>
        <v>270</v>
      </c>
      <c r="H3426" s="55">
        <f>G3426+F3426+E3426*C3426</f>
        <v>3540</v>
      </c>
    </row>
    <row r="3427" spans="1:8" x14ac:dyDescent="0.3">
      <c r="A3427" s="55"/>
      <c r="B3427" s="84"/>
      <c r="C3427" s="55"/>
      <c r="D3427" s="86"/>
      <c r="E3427" s="55"/>
      <c r="F3427" s="55"/>
      <c r="G3427" s="55"/>
      <c r="H3427" s="55"/>
    </row>
    <row r="3428" spans="1:8" x14ac:dyDescent="0.3">
      <c r="A3428" s="55"/>
      <c r="B3428" s="257"/>
      <c r="C3428" s="55"/>
      <c r="D3428" s="86"/>
      <c r="E3428" s="55"/>
      <c r="F3428" s="55"/>
      <c r="G3428" s="55"/>
      <c r="H3428" s="55"/>
    </row>
    <row r="3429" spans="1:8" x14ac:dyDescent="0.3">
      <c r="A3429" s="55"/>
      <c r="B3429" s="257"/>
      <c r="C3429" s="20"/>
      <c r="D3429" s="163"/>
      <c r="E3429" s="55"/>
      <c r="F3429" s="55"/>
      <c r="G3429" s="55"/>
      <c r="H3429" s="55"/>
    </row>
    <row r="3430" spans="1:8" x14ac:dyDescent="0.3">
      <c r="A3430" s="55"/>
      <c r="B3430" s="257"/>
      <c r="C3430" s="20"/>
      <c r="D3430" s="163"/>
      <c r="E3430" s="55"/>
      <c r="F3430" s="55"/>
      <c r="G3430" s="55"/>
      <c r="H3430" s="55"/>
    </row>
    <row r="3431" spans="1:8" x14ac:dyDescent="0.3">
      <c r="A3431" s="55"/>
      <c r="B3431" s="257"/>
      <c r="C3431" s="20"/>
      <c r="D3431" s="86"/>
      <c r="E3431" s="55"/>
      <c r="F3431" s="55"/>
      <c r="G3431" s="55"/>
      <c r="H3431" s="55"/>
    </row>
    <row r="3432" spans="1:8" x14ac:dyDescent="0.3">
      <c r="A3432" s="55"/>
      <c r="B3432" s="257"/>
      <c r="C3432" s="20"/>
      <c r="D3432" s="86"/>
      <c r="E3432" s="55"/>
      <c r="F3432" s="55"/>
      <c r="G3432" s="55"/>
      <c r="H3432" s="55"/>
    </row>
    <row r="3433" spans="1:8" x14ac:dyDescent="0.3">
      <c r="A3433" s="55"/>
      <c r="B3433" s="257"/>
      <c r="C3433" s="20"/>
      <c r="D3433" s="86"/>
      <c r="E3433" s="55"/>
      <c r="F3433" s="55"/>
      <c r="G3433" s="55"/>
      <c r="H3433" s="55"/>
    </row>
    <row r="3434" spans="1:8" x14ac:dyDescent="0.3">
      <c r="A3434" s="55"/>
      <c r="B3434" s="257"/>
      <c r="C3434" s="20"/>
      <c r="D3434" s="86"/>
      <c r="E3434" s="55"/>
      <c r="F3434" s="55"/>
      <c r="G3434" s="55"/>
      <c r="H3434" s="55"/>
    </row>
    <row r="3435" spans="1:8" x14ac:dyDescent="0.3">
      <c r="A3435" s="55"/>
      <c r="B3435" s="257"/>
      <c r="C3435" s="20"/>
      <c r="D3435" s="86"/>
      <c r="E3435" s="55"/>
      <c r="F3435" s="55"/>
      <c r="G3435" s="55"/>
      <c r="H3435" s="55"/>
    </row>
    <row r="3436" spans="1:8" x14ac:dyDescent="0.3">
      <c r="A3436" s="55"/>
      <c r="B3436" s="257"/>
      <c r="C3436" s="20"/>
      <c r="D3436" s="86"/>
      <c r="E3436" s="55"/>
      <c r="F3436" s="55"/>
      <c r="G3436" s="55"/>
      <c r="H3436" s="55"/>
    </row>
    <row r="3437" spans="1:8" x14ac:dyDescent="0.3">
      <c r="A3437" s="55"/>
      <c r="B3437" s="257"/>
      <c r="C3437" s="20"/>
      <c r="D3437" s="86"/>
      <c r="E3437" s="55"/>
      <c r="F3437" s="55"/>
      <c r="G3437" s="55"/>
      <c r="H3437" s="55"/>
    </row>
    <row r="3438" spans="1:8" x14ac:dyDescent="0.3">
      <c r="A3438" s="163"/>
      <c r="B3438" s="163"/>
      <c r="C3438" s="163"/>
      <c r="D3438" s="163"/>
      <c r="E3438" s="163"/>
      <c r="F3438" s="163"/>
      <c r="G3438" s="163"/>
      <c r="H3438" s="163"/>
    </row>
    <row r="3439" spans="1:8" x14ac:dyDescent="0.3">
      <c r="A3439" s="258"/>
      <c r="B3439" s="257"/>
      <c r="C3439" s="258"/>
      <c r="D3439" s="86"/>
      <c r="E3439" s="55"/>
      <c r="F3439" s="259"/>
      <c r="G3439" s="259"/>
      <c r="H3439" s="258"/>
    </row>
    <row r="3440" spans="1:8" x14ac:dyDescent="0.3">
      <c r="A3440" s="55"/>
      <c r="B3440" s="84"/>
      <c r="C3440" s="55"/>
      <c r="D3440" s="55"/>
      <c r="E3440" s="55"/>
      <c r="F3440" s="55"/>
      <c r="G3440" s="55"/>
      <c r="H3440" s="55"/>
    </row>
    <row r="3441" spans="1:8" x14ac:dyDescent="0.3">
      <c r="A3441" s="163"/>
      <c r="B3441" s="163"/>
      <c r="C3441" s="163"/>
      <c r="D3441" s="163"/>
      <c r="E3441" s="163"/>
      <c r="F3441" s="163"/>
      <c r="G3441" s="163"/>
      <c r="H3441" s="163"/>
    </row>
    <row r="3442" spans="1:8" x14ac:dyDescent="0.3">
      <c r="A3442" s="55"/>
      <c r="B3442" s="257"/>
      <c r="C3442" s="55"/>
      <c r="D3442" s="55"/>
      <c r="E3442" s="55"/>
      <c r="F3442" s="55"/>
      <c r="G3442" s="55"/>
      <c r="H3442" s="55"/>
    </row>
    <row r="3443" spans="1:8" x14ac:dyDescent="0.3">
      <c r="A3443" s="57"/>
      <c r="B3443" s="84"/>
      <c r="C3443" s="85"/>
      <c r="D3443" s="86"/>
      <c r="E3443" s="87"/>
      <c r="F3443" s="47"/>
      <c r="G3443" s="47"/>
      <c r="H3443" s="47"/>
    </row>
    <row r="3444" spans="1:8" x14ac:dyDescent="0.3">
      <c r="A3444" s="57"/>
      <c r="B3444" s="84"/>
      <c r="C3444" s="85"/>
      <c r="D3444" s="86"/>
      <c r="E3444" s="47"/>
      <c r="F3444" s="47"/>
      <c r="G3444" s="47"/>
      <c r="H3444" s="47"/>
    </row>
    <row r="3445" spans="1:8" x14ac:dyDescent="0.3">
      <c r="A3445" s="55"/>
      <c r="B3445" s="84"/>
      <c r="C3445" s="55"/>
      <c r="D3445" s="86"/>
      <c r="E3445" s="47"/>
      <c r="F3445" s="47"/>
      <c r="G3445" s="47"/>
      <c r="H3445" s="47"/>
    </row>
    <row r="3446" spans="1:8" x14ac:dyDescent="0.3">
      <c r="A3446" s="27"/>
      <c r="B3446" s="28"/>
      <c r="C3446" s="24"/>
      <c r="D3446" s="25"/>
      <c r="E3446" s="25"/>
      <c r="F3446" s="28"/>
      <c r="G3446" s="28"/>
      <c r="H3446" s="32"/>
    </row>
    <row r="3447" spans="1:8" ht="15.6" x14ac:dyDescent="0.3">
      <c r="A3447" s="448" t="s">
        <v>45</v>
      </c>
      <c r="B3447" s="449"/>
      <c r="C3447" s="24"/>
      <c r="D3447" s="25"/>
      <c r="E3447" s="25"/>
      <c r="F3447" s="447" t="s">
        <v>46</v>
      </c>
      <c r="G3447" s="447"/>
      <c r="H3447" s="66">
        <v>3000</v>
      </c>
    </row>
    <row r="3448" spans="1:8" ht="15.6" x14ac:dyDescent="0.3">
      <c r="A3448" s="497" t="s">
        <v>679</v>
      </c>
      <c r="B3448" s="498"/>
      <c r="C3448" s="498"/>
      <c r="D3448" s="498"/>
      <c r="E3448" s="498"/>
      <c r="F3448" s="447" t="s">
        <v>47</v>
      </c>
      <c r="G3448" s="447"/>
      <c r="H3448" s="66">
        <f>H3447*9%</f>
        <v>270</v>
      </c>
    </row>
    <row r="3449" spans="1:8" ht="15.6" x14ac:dyDescent="0.3">
      <c r="A3449" s="27"/>
      <c r="B3449" s="28"/>
      <c r="C3449" s="24"/>
      <c r="D3449" s="25"/>
      <c r="E3449" s="25"/>
      <c r="F3449" s="447" t="s">
        <v>48</v>
      </c>
      <c r="G3449" s="447"/>
      <c r="H3449" s="66">
        <f>H3448</f>
        <v>270</v>
      </c>
    </row>
    <row r="3450" spans="1:8" ht="15.6" x14ac:dyDescent="0.3">
      <c r="A3450" s="64" t="s">
        <v>49</v>
      </c>
      <c r="B3450" s="65"/>
      <c r="C3450" s="24"/>
      <c r="D3450" s="25"/>
      <c r="E3450" s="25"/>
      <c r="F3450" s="447" t="s">
        <v>50</v>
      </c>
      <c r="G3450" s="447"/>
      <c r="H3450" s="66">
        <f>H3447+H3448+H3449</f>
        <v>3540</v>
      </c>
    </row>
    <row r="3451" spans="1:8" ht="27" x14ac:dyDescent="0.3">
      <c r="A3451" s="68" t="s">
        <v>22</v>
      </c>
      <c r="B3451" s="30" t="s">
        <v>51</v>
      </c>
      <c r="C3451" s="70" t="s">
        <v>24</v>
      </c>
      <c r="D3451" s="31" t="s">
        <v>25</v>
      </c>
      <c r="E3451" s="450" t="s">
        <v>52</v>
      </c>
      <c r="F3451" s="450"/>
      <c r="G3451" s="28"/>
      <c r="H3451" s="32"/>
    </row>
    <row r="3452" spans="1:8" x14ac:dyDescent="0.3">
      <c r="A3452" s="72">
        <v>0.18</v>
      </c>
      <c r="B3452" s="73">
        <f>H3447</f>
        <v>3000</v>
      </c>
      <c r="C3452" s="91">
        <f>H3448</f>
        <v>270</v>
      </c>
      <c r="D3452" s="91">
        <f>H3448</f>
        <v>270</v>
      </c>
      <c r="E3452" s="506">
        <f>C3452+D3452</f>
        <v>540</v>
      </c>
      <c r="F3452" s="507"/>
      <c r="G3452" s="74"/>
      <c r="H3452" s="75"/>
    </row>
    <row r="3453" spans="1:8" x14ac:dyDescent="0.3">
      <c r="A3453" s="508" t="s">
        <v>680</v>
      </c>
      <c r="B3453" s="509"/>
      <c r="C3453" s="509"/>
      <c r="D3453" s="509"/>
      <c r="E3453" s="453"/>
      <c r="F3453" s="453"/>
      <c r="G3453" s="453"/>
      <c r="H3453" s="454"/>
    </row>
    <row r="3454" spans="1:8" ht="15.6" x14ac:dyDescent="0.3">
      <c r="A3454" s="455" t="s">
        <v>53</v>
      </c>
      <c r="B3454" s="456"/>
      <c r="C3454" s="456"/>
      <c r="D3454" s="457"/>
      <c r="E3454" s="458" t="s">
        <v>54</v>
      </c>
      <c r="F3454" s="459"/>
      <c r="G3454" s="459"/>
      <c r="H3454" s="460"/>
    </row>
    <row r="3455" spans="1:8" x14ac:dyDescent="0.3">
      <c r="A3455" s="461" t="s">
        <v>55</v>
      </c>
      <c r="B3455" s="462"/>
      <c r="C3455" s="462"/>
      <c r="D3455" s="463"/>
      <c r="E3455" s="39"/>
      <c r="F3455" s="28"/>
      <c r="G3455" s="28"/>
      <c r="H3455" s="32"/>
    </row>
    <row r="3456" spans="1:8" x14ac:dyDescent="0.3">
      <c r="A3456" s="461" t="s">
        <v>56</v>
      </c>
      <c r="B3456" s="462"/>
      <c r="C3456" s="462"/>
      <c r="D3456" s="463"/>
      <c r="E3456" s="39"/>
      <c r="F3456" s="28"/>
      <c r="G3456" s="28"/>
      <c r="H3456" s="32"/>
    </row>
    <row r="3457" spans="1:9" x14ac:dyDescent="0.3">
      <c r="A3457" s="461" t="s">
        <v>57</v>
      </c>
      <c r="B3457" s="462"/>
      <c r="C3457" s="462"/>
      <c r="D3457" s="463"/>
      <c r="E3457" s="39"/>
      <c r="F3457" s="28"/>
      <c r="G3457" s="28"/>
      <c r="H3457" s="32"/>
    </row>
    <row r="3458" spans="1:9" ht="15.6" x14ac:dyDescent="0.3">
      <c r="A3458" s="464" t="s">
        <v>58</v>
      </c>
      <c r="B3458" s="465"/>
      <c r="C3458" s="465"/>
      <c r="D3458" s="465"/>
      <c r="E3458" s="466" t="s">
        <v>59</v>
      </c>
      <c r="F3458" s="467"/>
      <c r="G3458" s="467"/>
      <c r="H3458" s="468"/>
    </row>
    <row r="3461" spans="1:9" ht="44.4" x14ac:dyDescent="0.7">
      <c r="A3461" s="469" t="s">
        <v>0</v>
      </c>
      <c r="B3461" s="470"/>
      <c r="C3461" s="470"/>
      <c r="D3461" s="470"/>
      <c r="E3461" s="471" t="s">
        <v>1</v>
      </c>
      <c r="F3461" s="472"/>
      <c r="G3461" s="472"/>
      <c r="H3461" s="473"/>
    </row>
    <row r="3462" spans="1:9" ht="20.399999999999999" x14ac:dyDescent="0.35">
      <c r="A3462" s="1"/>
      <c r="B3462" s="476" t="s">
        <v>2</v>
      </c>
      <c r="C3462" s="476"/>
      <c r="D3462" s="476"/>
      <c r="E3462" s="474"/>
      <c r="F3462" s="474"/>
      <c r="G3462" s="474"/>
      <c r="H3462" s="475"/>
    </row>
    <row r="3463" spans="1:9" x14ac:dyDescent="0.3">
      <c r="A3463" s="477" t="s">
        <v>3</v>
      </c>
      <c r="B3463" s="478"/>
      <c r="C3463" s="479" t="s">
        <v>4</v>
      </c>
      <c r="D3463" s="479"/>
      <c r="E3463" s="480" t="s">
        <v>5</v>
      </c>
      <c r="F3463" s="480"/>
      <c r="G3463" s="480"/>
      <c r="H3463" s="480"/>
    </row>
    <row r="3464" spans="1:9" ht="15.6" x14ac:dyDescent="0.3">
      <c r="A3464" s="4" t="s">
        <v>6</v>
      </c>
      <c r="B3464" s="5"/>
      <c r="C3464" s="481" t="s">
        <v>7</v>
      </c>
      <c r="D3464" s="481"/>
      <c r="E3464" s="482">
        <v>76</v>
      </c>
      <c r="F3464" s="482"/>
      <c r="G3464" s="7" t="s">
        <v>8</v>
      </c>
      <c r="H3464" s="250" t="s">
        <v>644</v>
      </c>
    </row>
    <row r="3465" spans="1:9" ht="15.6" x14ac:dyDescent="0.3">
      <c r="A3465" s="551" t="s">
        <v>458</v>
      </c>
      <c r="B3465" s="552"/>
      <c r="C3465" s="481" t="s">
        <v>10</v>
      </c>
      <c r="D3465" s="481"/>
      <c r="E3465" s="482">
        <v>13</v>
      </c>
      <c r="F3465" s="482"/>
      <c r="G3465" s="7" t="s">
        <v>8</v>
      </c>
      <c r="H3465" s="251" t="s">
        <v>681</v>
      </c>
    </row>
    <row r="3466" spans="1:9" ht="27" customHeight="1" x14ac:dyDescent="0.3">
      <c r="A3466" s="560" t="s">
        <v>459</v>
      </c>
      <c r="B3466" s="561"/>
      <c r="C3466" s="483" t="s">
        <v>12</v>
      </c>
      <c r="D3466" s="484"/>
      <c r="E3466" s="564" t="s">
        <v>466</v>
      </c>
      <c r="F3466" s="593"/>
      <c r="G3466" s="10" t="s">
        <v>8</v>
      </c>
      <c r="H3466" s="252" t="s">
        <v>465</v>
      </c>
    </row>
    <row r="3467" spans="1:9" ht="15.6" x14ac:dyDescent="0.3">
      <c r="A3467" s="253" t="s">
        <v>460</v>
      </c>
      <c r="B3467" s="254"/>
      <c r="C3467" s="481" t="s">
        <v>15</v>
      </c>
      <c r="D3467" s="481"/>
      <c r="E3467" s="489" t="s">
        <v>461</v>
      </c>
      <c r="F3467" s="490"/>
      <c r="G3467" s="490"/>
      <c r="H3467" s="491"/>
    </row>
    <row r="3468" spans="1:9" ht="15.6" x14ac:dyDescent="0.3">
      <c r="A3468" s="255" t="s">
        <v>682</v>
      </c>
      <c r="B3468" s="256"/>
      <c r="C3468" s="489"/>
      <c r="D3468" s="490"/>
      <c r="E3468" s="490"/>
      <c r="F3468" s="490"/>
      <c r="G3468" s="490"/>
      <c r="H3468" s="491"/>
    </row>
    <row r="3469" spans="1:9" ht="15" x14ac:dyDescent="0.3">
      <c r="A3469" s="492" t="s">
        <v>17</v>
      </c>
      <c r="B3469" s="494" t="s">
        <v>18</v>
      </c>
      <c r="C3469" s="494" t="s">
        <v>19</v>
      </c>
      <c r="D3469" s="495" t="s">
        <v>20</v>
      </c>
      <c r="E3469" s="494" t="s">
        <v>21</v>
      </c>
      <c r="F3469" s="494" t="s">
        <v>22</v>
      </c>
      <c r="G3469" s="494"/>
      <c r="H3469" s="492" t="s">
        <v>23</v>
      </c>
    </row>
    <row r="3470" spans="1:9" ht="27.6" x14ac:dyDescent="0.3">
      <c r="A3470" s="492"/>
      <c r="B3470" s="494"/>
      <c r="C3470" s="494"/>
      <c r="D3470" s="505"/>
      <c r="E3470" s="494"/>
      <c r="F3470" s="53" t="s">
        <v>24</v>
      </c>
      <c r="G3470" s="53" t="s">
        <v>25</v>
      </c>
      <c r="H3470" s="492"/>
    </row>
    <row r="3471" spans="1:9" x14ac:dyDescent="0.3">
      <c r="A3471" s="55">
        <v>1</v>
      </c>
      <c r="B3471" s="84" t="s">
        <v>683</v>
      </c>
      <c r="C3471" s="55">
        <v>4</v>
      </c>
      <c r="D3471" s="86">
        <v>854690</v>
      </c>
      <c r="E3471" s="55">
        <v>1850</v>
      </c>
      <c r="F3471" s="55">
        <f>E3471*C3471*9%</f>
        <v>666</v>
      </c>
      <c r="G3471" s="55">
        <f>F3471</f>
        <v>666</v>
      </c>
      <c r="H3471" s="55">
        <f>G3471+F3471+E3471*C3471</f>
        <v>8732</v>
      </c>
      <c r="I3471" s="362">
        <f>E3471*C3471</f>
        <v>7400</v>
      </c>
    </row>
    <row r="3472" spans="1:9" x14ac:dyDescent="0.3">
      <c r="A3472" s="55">
        <v>2</v>
      </c>
      <c r="B3472" s="84" t="s">
        <v>684</v>
      </c>
      <c r="C3472" s="55">
        <v>4</v>
      </c>
      <c r="D3472" s="86">
        <v>998719</v>
      </c>
      <c r="E3472" s="55">
        <v>1600</v>
      </c>
      <c r="F3472" s="55">
        <f>E3472*C3472*9%</f>
        <v>576</v>
      </c>
      <c r="G3472" s="55">
        <f>F3472</f>
        <v>576</v>
      </c>
      <c r="H3472" s="55">
        <f>G3472+F3472+E3472*C3472</f>
        <v>7552</v>
      </c>
      <c r="I3472" s="362">
        <f>E3472*C3472</f>
        <v>6400</v>
      </c>
    </row>
    <row r="3473" spans="1:8" x14ac:dyDescent="0.3">
      <c r="A3473" s="55"/>
      <c r="B3473" s="257"/>
      <c r="C3473" s="55"/>
      <c r="D3473" s="86"/>
      <c r="E3473" s="55"/>
      <c r="F3473" s="55"/>
      <c r="G3473" s="55"/>
      <c r="H3473" s="55"/>
    </row>
    <row r="3474" spans="1:8" x14ac:dyDescent="0.3">
      <c r="A3474" s="55"/>
      <c r="B3474" s="257"/>
      <c r="C3474" s="20"/>
      <c r="D3474" s="163"/>
      <c r="E3474" s="55"/>
      <c r="F3474" s="55"/>
      <c r="G3474" s="55"/>
      <c r="H3474" s="55"/>
    </row>
    <row r="3475" spans="1:8" x14ac:dyDescent="0.3">
      <c r="A3475" s="55"/>
      <c r="B3475" s="257"/>
      <c r="C3475" s="20"/>
      <c r="D3475" s="163"/>
      <c r="E3475" s="55"/>
      <c r="F3475" s="55"/>
      <c r="G3475" s="55"/>
      <c r="H3475" s="55"/>
    </row>
    <row r="3476" spans="1:8" x14ac:dyDescent="0.3">
      <c r="A3476" s="55"/>
      <c r="B3476" s="257"/>
      <c r="C3476" s="20"/>
      <c r="D3476" s="86"/>
      <c r="E3476" s="55"/>
      <c r="F3476" s="55"/>
      <c r="G3476" s="55"/>
      <c r="H3476" s="55"/>
    </row>
    <row r="3477" spans="1:8" x14ac:dyDescent="0.3">
      <c r="A3477" s="55"/>
      <c r="B3477" s="257"/>
      <c r="C3477" s="20"/>
      <c r="D3477" s="86"/>
      <c r="E3477" s="55"/>
      <c r="F3477" s="55"/>
      <c r="G3477" s="55"/>
      <c r="H3477" s="55"/>
    </row>
    <row r="3478" spans="1:8" x14ac:dyDescent="0.3">
      <c r="A3478" s="55"/>
      <c r="B3478" s="257"/>
      <c r="C3478" s="20"/>
      <c r="D3478" s="86"/>
      <c r="E3478" s="55"/>
      <c r="F3478" s="55"/>
      <c r="G3478" s="55"/>
      <c r="H3478" s="55"/>
    </row>
    <row r="3479" spans="1:8" x14ac:dyDescent="0.3">
      <c r="A3479" s="55"/>
      <c r="B3479" s="257"/>
      <c r="C3479" s="20"/>
      <c r="D3479" s="86"/>
      <c r="E3479" s="55"/>
      <c r="F3479" s="55"/>
      <c r="G3479" s="55"/>
      <c r="H3479" s="55"/>
    </row>
    <row r="3480" spans="1:8" x14ac:dyDescent="0.3">
      <c r="A3480" s="55"/>
      <c r="B3480" s="257"/>
      <c r="C3480" s="20"/>
      <c r="D3480" s="86"/>
      <c r="E3480" s="55"/>
      <c r="F3480" s="55"/>
      <c r="G3480" s="55"/>
      <c r="H3480" s="55"/>
    </row>
    <row r="3481" spans="1:8" x14ac:dyDescent="0.3">
      <c r="A3481" s="55"/>
      <c r="B3481" s="257"/>
      <c r="C3481" s="20"/>
      <c r="D3481" s="86"/>
      <c r="E3481" s="55"/>
      <c r="F3481" s="55"/>
      <c r="G3481" s="55"/>
      <c r="H3481" s="55"/>
    </row>
    <row r="3482" spans="1:8" x14ac:dyDescent="0.3">
      <c r="A3482" s="55"/>
      <c r="B3482" s="257"/>
      <c r="C3482" s="20"/>
      <c r="D3482" s="86"/>
      <c r="E3482" s="55"/>
      <c r="F3482" s="55"/>
      <c r="G3482" s="55"/>
      <c r="H3482" s="55"/>
    </row>
    <row r="3483" spans="1:8" x14ac:dyDescent="0.3">
      <c r="A3483" s="163"/>
      <c r="B3483" s="163"/>
      <c r="C3483" s="163"/>
      <c r="D3483" s="163"/>
      <c r="E3483" s="163"/>
      <c r="F3483" s="163"/>
      <c r="G3483" s="163"/>
      <c r="H3483" s="163"/>
    </row>
    <row r="3484" spans="1:8" x14ac:dyDescent="0.3">
      <c r="A3484" s="258"/>
      <c r="B3484" s="257"/>
      <c r="C3484" s="258"/>
      <c r="D3484" s="86"/>
      <c r="E3484" s="55"/>
      <c r="F3484" s="259"/>
      <c r="G3484" s="259"/>
      <c r="H3484" s="258"/>
    </row>
    <row r="3485" spans="1:8" x14ac:dyDescent="0.3">
      <c r="A3485" s="55"/>
      <c r="B3485" s="84"/>
      <c r="C3485" s="55"/>
      <c r="D3485" s="55"/>
      <c r="E3485" s="55"/>
      <c r="F3485" s="55"/>
      <c r="G3485" s="55"/>
      <c r="H3485" s="55"/>
    </row>
    <row r="3486" spans="1:8" x14ac:dyDescent="0.3">
      <c r="A3486" s="163"/>
      <c r="B3486" s="163"/>
      <c r="C3486" s="163"/>
      <c r="D3486" s="163"/>
      <c r="E3486" s="163"/>
      <c r="F3486" s="163"/>
      <c r="G3486" s="163"/>
      <c r="H3486" s="163"/>
    </row>
    <row r="3487" spans="1:8" x14ac:dyDescent="0.3">
      <c r="A3487" s="55"/>
      <c r="B3487" s="257"/>
      <c r="C3487" s="55"/>
      <c r="D3487" s="55"/>
      <c r="E3487" s="55"/>
      <c r="F3487" s="55"/>
      <c r="G3487" s="55"/>
      <c r="H3487" s="55"/>
    </row>
    <row r="3488" spans="1:8" x14ac:dyDescent="0.3">
      <c r="A3488" s="57"/>
      <c r="B3488" s="84"/>
      <c r="C3488" s="85"/>
      <c r="D3488" s="86"/>
      <c r="E3488" s="87"/>
      <c r="F3488" s="47"/>
      <c r="G3488" s="47"/>
      <c r="H3488" s="47"/>
    </row>
    <row r="3489" spans="1:8" x14ac:dyDescent="0.3">
      <c r="A3489" s="57"/>
      <c r="B3489" s="84"/>
      <c r="C3489" s="85"/>
      <c r="D3489" s="86"/>
      <c r="E3489" s="47"/>
      <c r="F3489" s="47"/>
      <c r="G3489" s="47"/>
      <c r="H3489" s="47"/>
    </row>
    <row r="3490" spans="1:8" x14ac:dyDescent="0.3">
      <c r="A3490" s="55"/>
      <c r="B3490" s="84"/>
      <c r="C3490" s="55"/>
      <c r="D3490" s="86"/>
      <c r="E3490" s="47"/>
      <c r="F3490" s="47"/>
      <c r="G3490" s="47"/>
      <c r="H3490" s="47"/>
    </row>
    <row r="3491" spans="1:8" x14ac:dyDescent="0.3">
      <c r="A3491" s="27"/>
      <c r="B3491" s="28"/>
      <c r="C3491" s="24"/>
      <c r="D3491" s="25"/>
      <c r="E3491" s="25"/>
      <c r="F3491" s="28"/>
      <c r="G3491" s="28"/>
      <c r="H3491" s="32"/>
    </row>
    <row r="3492" spans="1:8" ht="15.6" x14ac:dyDescent="0.3">
      <c r="A3492" s="448" t="s">
        <v>45</v>
      </c>
      <c r="B3492" s="449"/>
      <c r="C3492" s="24"/>
      <c r="D3492" s="25"/>
      <c r="E3492" s="25"/>
      <c r="F3492" s="447" t="s">
        <v>46</v>
      </c>
      <c r="G3492" s="447"/>
      <c r="H3492" s="66">
        <v>13800</v>
      </c>
    </row>
    <row r="3493" spans="1:8" ht="15.6" x14ac:dyDescent="0.3">
      <c r="A3493" s="497" t="s">
        <v>685</v>
      </c>
      <c r="B3493" s="498"/>
      <c r="C3493" s="498"/>
      <c r="D3493" s="498"/>
      <c r="E3493" s="498"/>
      <c r="F3493" s="447" t="s">
        <v>47</v>
      </c>
      <c r="G3493" s="447"/>
      <c r="H3493" s="66">
        <f>H3492*9%</f>
        <v>1242</v>
      </c>
    </row>
    <row r="3494" spans="1:8" ht="15.6" x14ac:dyDescent="0.3">
      <c r="A3494" s="27"/>
      <c r="B3494" s="28" t="s">
        <v>687</v>
      </c>
      <c r="C3494" s="24"/>
      <c r="D3494" s="25"/>
      <c r="E3494" s="25"/>
      <c r="F3494" s="447" t="s">
        <v>48</v>
      </c>
      <c r="G3494" s="447"/>
      <c r="H3494" s="66">
        <f>H3493</f>
        <v>1242</v>
      </c>
    </row>
    <row r="3495" spans="1:8" ht="15.6" x14ac:dyDescent="0.3">
      <c r="A3495" s="64" t="s">
        <v>49</v>
      </c>
      <c r="B3495" s="65"/>
      <c r="C3495" s="24"/>
      <c r="D3495" s="25"/>
      <c r="E3495" s="25"/>
      <c r="F3495" s="447" t="s">
        <v>50</v>
      </c>
      <c r="G3495" s="447"/>
      <c r="H3495" s="66">
        <f>H3492+H3493+H3494</f>
        <v>16284</v>
      </c>
    </row>
    <row r="3496" spans="1:8" ht="27" x14ac:dyDescent="0.3">
      <c r="A3496" s="68" t="s">
        <v>22</v>
      </c>
      <c r="B3496" s="30" t="s">
        <v>51</v>
      </c>
      <c r="C3496" s="70" t="s">
        <v>24</v>
      </c>
      <c r="D3496" s="31" t="s">
        <v>25</v>
      </c>
      <c r="E3496" s="450" t="s">
        <v>52</v>
      </c>
      <c r="F3496" s="450"/>
      <c r="G3496" s="28"/>
      <c r="H3496" s="32"/>
    </row>
    <row r="3497" spans="1:8" x14ac:dyDescent="0.3">
      <c r="A3497" s="72">
        <v>0.18</v>
      </c>
      <c r="B3497" s="73">
        <f>H3492</f>
        <v>13800</v>
      </c>
      <c r="C3497" s="91">
        <f>H3493</f>
        <v>1242</v>
      </c>
      <c r="D3497" s="91">
        <f>H3493</f>
        <v>1242</v>
      </c>
      <c r="E3497" s="506">
        <f>C3497+D3497</f>
        <v>2484</v>
      </c>
      <c r="F3497" s="507"/>
      <c r="G3497" s="74"/>
      <c r="H3497" s="75"/>
    </row>
    <row r="3498" spans="1:8" x14ac:dyDescent="0.3">
      <c r="A3498" s="508" t="s">
        <v>686</v>
      </c>
      <c r="B3498" s="509"/>
      <c r="C3498" s="509"/>
      <c r="D3498" s="509"/>
      <c r="E3498" s="453"/>
      <c r="F3498" s="453"/>
      <c r="G3498" s="453"/>
      <c r="H3498" s="454"/>
    </row>
    <row r="3499" spans="1:8" ht="15.6" x14ac:dyDescent="0.3">
      <c r="A3499" s="455" t="s">
        <v>53</v>
      </c>
      <c r="B3499" s="456"/>
      <c r="C3499" s="456"/>
      <c r="D3499" s="457"/>
      <c r="E3499" s="458" t="s">
        <v>54</v>
      </c>
      <c r="F3499" s="459"/>
      <c r="G3499" s="459"/>
      <c r="H3499" s="460"/>
    </row>
    <row r="3500" spans="1:8" x14ac:dyDescent="0.3">
      <c r="A3500" s="461" t="s">
        <v>55</v>
      </c>
      <c r="B3500" s="462"/>
      <c r="C3500" s="462"/>
      <c r="D3500" s="463"/>
      <c r="E3500" s="39"/>
      <c r="F3500" s="28"/>
      <c r="G3500" s="28"/>
      <c r="H3500" s="32"/>
    </row>
    <row r="3501" spans="1:8" x14ac:dyDescent="0.3">
      <c r="A3501" s="461" t="s">
        <v>56</v>
      </c>
      <c r="B3501" s="462"/>
      <c r="C3501" s="462"/>
      <c r="D3501" s="463"/>
      <c r="E3501" s="39"/>
      <c r="F3501" s="28"/>
      <c r="G3501" s="28"/>
      <c r="H3501" s="32"/>
    </row>
    <row r="3502" spans="1:8" x14ac:dyDescent="0.3">
      <c r="A3502" s="461" t="s">
        <v>57</v>
      </c>
      <c r="B3502" s="462"/>
      <c r="C3502" s="462"/>
      <c r="D3502" s="463"/>
      <c r="E3502" s="39"/>
      <c r="F3502" s="28"/>
      <c r="G3502" s="28"/>
      <c r="H3502" s="32"/>
    </row>
    <row r="3503" spans="1:8" ht="15.6" x14ac:dyDescent="0.3">
      <c r="A3503" s="464" t="s">
        <v>58</v>
      </c>
      <c r="B3503" s="465"/>
      <c r="C3503" s="465"/>
      <c r="D3503" s="465"/>
      <c r="E3503" s="466" t="s">
        <v>59</v>
      </c>
      <c r="F3503" s="467"/>
      <c r="G3503" s="467"/>
      <c r="H3503" s="468"/>
    </row>
    <row r="3507" spans="1:9" ht="44.4" x14ac:dyDescent="0.7">
      <c r="A3507" s="469" t="s">
        <v>0</v>
      </c>
      <c r="B3507" s="470"/>
      <c r="C3507" s="470"/>
      <c r="D3507" s="470"/>
      <c r="E3507" s="471" t="s">
        <v>1</v>
      </c>
      <c r="F3507" s="472"/>
      <c r="G3507" s="472"/>
      <c r="H3507" s="473"/>
    </row>
    <row r="3508" spans="1:9" ht="20.399999999999999" x14ac:dyDescent="0.35">
      <c r="A3508" s="1"/>
      <c r="B3508" s="476" t="s">
        <v>2</v>
      </c>
      <c r="C3508" s="476"/>
      <c r="D3508" s="476"/>
      <c r="E3508" s="474"/>
      <c r="F3508" s="474"/>
      <c r="G3508" s="474"/>
      <c r="H3508" s="475"/>
    </row>
    <row r="3509" spans="1:9" x14ac:dyDescent="0.3">
      <c r="A3509" s="477" t="s">
        <v>3</v>
      </c>
      <c r="B3509" s="478"/>
      <c r="C3509" s="479" t="s">
        <v>4</v>
      </c>
      <c r="D3509" s="479"/>
      <c r="E3509" s="480" t="s">
        <v>5</v>
      </c>
      <c r="F3509" s="480"/>
      <c r="G3509" s="480"/>
      <c r="H3509" s="480"/>
    </row>
    <row r="3510" spans="1:9" ht="15.6" x14ac:dyDescent="0.3">
      <c r="A3510" s="4" t="s">
        <v>6</v>
      </c>
      <c r="B3510" s="5"/>
      <c r="C3510" s="481" t="s">
        <v>7</v>
      </c>
      <c r="D3510" s="481"/>
      <c r="E3510" s="482">
        <v>77</v>
      </c>
      <c r="F3510" s="482"/>
      <c r="G3510" s="7" t="s">
        <v>8</v>
      </c>
      <c r="H3510" s="250" t="s">
        <v>644</v>
      </c>
    </row>
    <row r="3511" spans="1:9" ht="15.6" x14ac:dyDescent="0.3">
      <c r="A3511" s="551" t="s">
        <v>458</v>
      </c>
      <c r="B3511" s="552"/>
      <c r="C3511" s="481" t="s">
        <v>10</v>
      </c>
      <c r="D3511" s="481"/>
      <c r="E3511" s="482" t="s">
        <v>725</v>
      </c>
      <c r="F3511" s="482"/>
      <c r="G3511" s="7" t="s">
        <v>8</v>
      </c>
      <c r="H3511" s="251" t="s">
        <v>465</v>
      </c>
    </row>
    <row r="3512" spans="1:9" ht="30" customHeight="1" x14ac:dyDescent="0.3">
      <c r="A3512" s="560" t="s">
        <v>459</v>
      </c>
      <c r="B3512" s="561"/>
      <c r="C3512" s="483" t="s">
        <v>12</v>
      </c>
      <c r="D3512" s="484"/>
      <c r="E3512" s="564" t="s">
        <v>466</v>
      </c>
      <c r="F3512" s="593"/>
      <c r="G3512" s="10" t="s">
        <v>8</v>
      </c>
      <c r="H3512" s="252" t="s">
        <v>465</v>
      </c>
    </row>
    <row r="3513" spans="1:9" ht="15.6" x14ac:dyDescent="0.3">
      <c r="A3513" s="253" t="s">
        <v>460</v>
      </c>
      <c r="B3513" s="254"/>
      <c r="C3513" s="481" t="s">
        <v>15</v>
      </c>
      <c r="D3513" s="481"/>
      <c r="E3513" s="489" t="s">
        <v>461</v>
      </c>
      <c r="F3513" s="490"/>
      <c r="G3513" s="490"/>
      <c r="H3513" s="491"/>
    </row>
    <row r="3514" spans="1:9" ht="15.6" x14ac:dyDescent="0.3">
      <c r="A3514" s="255" t="s">
        <v>688</v>
      </c>
      <c r="B3514" s="256"/>
      <c r="C3514" s="489"/>
      <c r="D3514" s="490"/>
      <c r="E3514" s="490"/>
      <c r="F3514" s="490"/>
      <c r="G3514" s="490"/>
      <c r="H3514" s="491"/>
    </row>
    <row r="3515" spans="1:9" ht="15" x14ac:dyDescent="0.3">
      <c r="A3515" s="492" t="s">
        <v>17</v>
      </c>
      <c r="B3515" s="494" t="s">
        <v>18</v>
      </c>
      <c r="C3515" s="494" t="s">
        <v>19</v>
      </c>
      <c r="D3515" s="495" t="s">
        <v>20</v>
      </c>
      <c r="E3515" s="494" t="s">
        <v>21</v>
      </c>
      <c r="F3515" s="494" t="s">
        <v>22</v>
      </c>
      <c r="G3515" s="494"/>
      <c r="H3515" s="492" t="s">
        <v>23</v>
      </c>
    </row>
    <row r="3516" spans="1:9" ht="27.6" x14ac:dyDescent="0.3">
      <c r="A3516" s="492"/>
      <c r="B3516" s="494"/>
      <c r="C3516" s="494"/>
      <c r="D3516" s="505"/>
      <c r="E3516" s="494"/>
      <c r="F3516" s="53" t="s">
        <v>24</v>
      </c>
      <c r="G3516" s="53" t="s">
        <v>25</v>
      </c>
      <c r="H3516" s="492"/>
    </row>
    <row r="3517" spans="1:9" x14ac:dyDescent="0.3">
      <c r="A3517" s="55">
        <v>1</v>
      </c>
      <c r="B3517" s="84" t="s">
        <v>689</v>
      </c>
      <c r="C3517" s="55">
        <v>1</v>
      </c>
      <c r="D3517" s="86">
        <v>998719</v>
      </c>
      <c r="E3517" s="55">
        <v>3000</v>
      </c>
      <c r="F3517" s="55">
        <f t="shared" ref="F3517:F3522" si="23">E3517*C3517*9%</f>
        <v>270</v>
      </c>
      <c r="G3517" s="55">
        <f t="shared" ref="G3517:G3522" si="24">F3517</f>
        <v>270</v>
      </c>
      <c r="H3517" s="55">
        <f t="shared" ref="H3517:H3522" si="25">G3517+F3517+E3517*C3517</f>
        <v>3540</v>
      </c>
      <c r="I3517" s="362">
        <f t="shared" ref="I3517:I3522" si="26">E3517*C3517</f>
        <v>3000</v>
      </c>
    </row>
    <row r="3518" spans="1:9" x14ac:dyDescent="0.3">
      <c r="A3518" s="55">
        <v>2</v>
      </c>
      <c r="B3518" s="84" t="s">
        <v>690</v>
      </c>
      <c r="C3518" s="55">
        <v>5</v>
      </c>
      <c r="D3518" s="86">
        <v>998719</v>
      </c>
      <c r="E3518" s="55">
        <v>3000</v>
      </c>
      <c r="F3518" s="55">
        <f t="shared" si="23"/>
        <v>1350</v>
      </c>
      <c r="G3518" s="55">
        <f t="shared" si="24"/>
        <v>1350</v>
      </c>
      <c r="H3518" s="55">
        <f t="shared" si="25"/>
        <v>17700</v>
      </c>
      <c r="I3518" s="362">
        <f t="shared" si="26"/>
        <v>15000</v>
      </c>
    </row>
    <row r="3519" spans="1:9" x14ac:dyDescent="0.3">
      <c r="A3519" s="55">
        <v>3</v>
      </c>
      <c r="B3519" s="84" t="s">
        <v>691</v>
      </c>
      <c r="C3519" s="55">
        <v>1</v>
      </c>
      <c r="D3519" s="86">
        <v>998719</v>
      </c>
      <c r="E3519" s="55">
        <v>3000</v>
      </c>
      <c r="F3519" s="55">
        <f t="shared" si="23"/>
        <v>270</v>
      </c>
      <c r="G3519" s="55">
        <f t="shared" si="24"/>
        <v>270</v>
      </c>
      <c r="H3519" s="55">
        <f t="shared" si="25"/>
        <v>3540</v>
      </c>
      <c r="I3519" s="362">
        <f t="shared" si="26"/>
        <v>3000</v>
      </c>
    </row>
    <row r="3520" spans="1:9" x14ac:dyDescent="0.3">
      <c r="A3520" s="55">
        <v>4</v>
      </c>
      <c r="B3520" s="84" t="s">
        <v>692</v>
      </c>
      <c r="C3520" s="20">
        <v>3</v>
      </c>
      <c r="D3520" s="86">
        <v>998719</v>
      </c>
      <c r="E3520" s="55">
        <v>4300</v>
      </c>
      <c r="F3520" s="55">
        <f t="shared" si="23"/>
        <v>1161</v>
      </c>
      <c r="G3520" s="55">
        <f t="shared" si="24"/>
        <v>1161</v>
      </c>
      <c r="H3520" s="55">
        <f t="shared" si="25"/>
        <v>15222</v>
      </c>
      <c r="I3520" s="362">
        <f t="shared" si="26"/>
        <v>12900</v>
      </c>
    </row>
    <row r="3521" spans="1:9" ht="27.6" x14ac:dyDescent="0.3">
      <c r="A3521" s="55">
        <v>5</v>
      </c>
      <c r="B3521" s="257" t="s">
        <v>693</v>
      </c>
      <c r="C3521" s="20">
        <v>1</v>
      </c>
      <c r="D3521" s="86">
        <v>998719</v>
      </c>
      <c r="E3521" s="55">
        <v>5000</v>
      </c>
      <c r="F3521" s="55">
        <f t="shared" si="23"/>
        <v>450</v>
      </c>
      <c r="G3521" s="55">
        <f t="shared" si="24"/>
        <v>450</v>
      </c>
      <c r="H3521" s="55">
        <f t="shared" si="25"/>
        <v>5900</v>
      </c>
      <c r="I3521" s="362">
        <f t="shared" si="26"/>
        <v>5000</v>
      </c>
    </row>
    <row r="3522" spans="1:9" x14ac:dyDescent="0.3">
      <c r="A3522" s="55">
        <v>6</v>
      </c>
      <c r="B3522" s="257" t="s">
        <v>694</v>
      </c>
      <c r="C3522" s="20">
        <v>1</v>
      </c>
      <c r="D3522" s="86">
        <v>998719</v>
      </c>
      <c r="E3522" s="55">
        <v>2500</v>
      </c>
      <c r="F3522" s="55">
        <f t="shared" si="23"/>
        <v>225</v>
      </c>
      <c r="G3522" s="55">
        <f t="shared" si="24"/>
        <v>225</v>
      </c>
      <c r="H3522" s="55">
        <f t="shared" si="25"/>
        <v>2950</v>
      </c>
      <c r="I3522" s="362">
        <f t="shared" si="26"/>
        <v>2500</v>
      </c>
    </row>
    <row r="3523" spans="1:9" x14ac:dyDescent="0.3">
      <c r="A3523" s="55"/>
      <c r="B3523" s="257"/>
      <c r="C3523" s="20"/>
      <c r="D3523" s="86"/>
      <c r="E3523" s="55"/>
      <c r="F3523" s="55"/>
      <c r="G3523" s="55"/>
      <c r="H3523" s="55"/>
    </row>
    <row r="3524" spans="1:9" x14ac:dyDescent="0.3">
      <c r="A3524" s="55"/>
      <c r="B3524" s="257"/>
      <c r="C3524" s="20"/>
      <c r="D3524" s="86"/>
      <c r="E3524" s="55"/>
      <c r="F3524" s="55"/>
      <c r="G3524" s="55"/>
      <c r="H3524" s="55"/>
    </row>
    <row r="3525" spans="1:9" x14ac:dyDescent="0.3">
      <c r="A3525" s="55"/>
      <c r="B3525" s="257"/>
      <c r="C3525" s="20"/>
      <c r="D3525" s="86"/>
      <c r="E3525" s="55"/>
      <c r="F3525" s="55"/>
      <c r="G3525" s="55"/>
      <c r="H3525" s="55"/>
    </row>
    <row r="3526" spans="1:9" x14ac:dyDescent="0.3">
      <c r="A3526" s="55"/>
      <c r="B3526" s="257"/>
      <c r="C3526" s="20"/>
      <c r="D3526" s="86"/>
      <c r="E3526" s="55"/>
      <c r="F3526" s="55"/>
      <c r="G3526" s="55"/>
      <c r="H3526" s="55"/>
    </row>
    <row r="3527" spans="1:9" x14ac:dyDescent="0.3">
      <c r="A3527" s="55"/>
      <c r="B3527" s="257"/>
      <c r="C3527" s="20"/>
      <c r="D3527" s="86"/>
      <c r="E3527" s="55"/>
      <c r="F3527" s="55"/>
      <c r="G3527" s="55"/>
      <c r="H3527" s="55"/>
    </row>
    <row r="3528" spans="1:9" x14ac:dyDescent="0.3">
      <c r="A3528" s="55"/>
      <c r="B3528" s="257"/>
      <c r="C3528" s="20"/>
      <c r="D3528" s="86"/>
      <c r="E3528" s="55"/>
      <c r="F3528" s="55"/>
      <c r="G3528" s="55"/>
      <c r="H3528" s="55"/>
    </row>
    <row r="3529" spans="1:9" x14ac:dyDescent="0.3">
      <c r="A3529" s="163"/>
      <c r="B3529" s="163"/>
      <c r="C3529" s="163"/>
      <c r="D3529" s="163"/>
      <c r="E3529" s="163"/>
      <c r="F3529" s="163"/>
      <c r="G3529" s="163"/>
      <c r="H3529" s="163"/>
    </row>
    <row r="3530" spans="1:9" x14ac:dyDescent="0.3">
      <c r="A3530" s="258"/>
      <c r="B3530" s="257"/>
      <c r="C3530" s="258"/>
      <c r="D3530" s="86"/>
      <c r="E3530" s="55"/>
      <c r="F3530" s="259"/>
      <c r="G3530" s="259"/>
      <c r="H3530" s="258"/>
    </row>
    <row r="3531" spans="1:9" x14ac:dyDescent="0.3">
      <c r="A3531" s="55"/>
      <c r="B3531" s="84"/>
      <c r="C3531" s="55"/>
      <c r="D3531" s="55"/>
      <c r="E3531" s="55"/>
      <c r="F3531" s="55"/>
      <c r="G3531" s="55"/>
      <c r="H3531" s="55"/>
    </row>
    <row r="3532" spans="1:9" x14ac:dyDescent="0.3">
      <c r="A3532" s="163"/>
      <c r="B3532" s="163"/>
      <c r="C3532" s="163"/>
      <c r="D3532" s="163"/>
      <c r="E3532" s="163"/>
      <c r="F3532" s="163"/>
      <c r="G3532" s="163"/>
      <c r="H3532" s="163"/>
    </row>
    <row r="3533" spans="1:9" x14ac:dyDescent="0.3">
      <c r="A3533" s="55"/>
      <c r="B3533" s="257"/>
      <c r="C3533" s="55"/>
      <c r="D3533" s="55"/>
      <c r="E3533" s="55"/>
      <c r="F3533" s="55"/>
      <c r="G3533" s="55"/>
      <c r="H3533" s="55"/>
    </row>
    <row r="3534" spans="1:9" x14ac:dyDescent="0.3">
      <c r="A3534" s="57"/>
      <c r="B3534" s="84"/>
      <c r="C3534" s="85"/>
      <c r="D3534" s="86"/>
      <c r="E3534" s="87"/>
      <c r="F3534" s="47"/>
      <c r="G3534" s="47"/>
      <c r="H3534" s="47"/>
    </row>
    <row r="3535" spans="1:9" x14ac:dyDescent="0.3">
      <c r="A3535" s="57"/>
      <c r="B3535" s="84"/>
      <c r="C3535" s="85"/>
      <c r="D3535" s="86"/>
      <c r="E3535" s="47"/>
      <c r="F3535" s="47"/>
      <c r="G3535" s="47"/>
      <c r="H3535" s="47"/>
    </row>
    <row r="3536" spans="1:9" x14ac:dyDescent="0.3">
      <c r="A3536" s="55"/>
      <c r="B3536" s="84"/>
      <c r="C3536" s="55"/>
      <c r="D3536" s="86"/>
      <c r="E3536" s="47"/>
      <c r="F3536" s="47"/>
      <c r="G3536" s="47"/>
      <c r="H3536" s="47"/>
    </row>
    <row r="3537" spans="1:8" x14ac:dyDescent="0.3">
      <c r="A3537" s="27"/>
      <c r="B3537" s="28"/>
      <c r="C3537" s="24"/>
      <c r="D3537" s="25"/>
      <c r="E3537" s="25"/>
      <c r="F3537" s="28"/>
      <c r="G3537" s="28"/>
      <c r="H3537" s="32"/>
    </row>
    <row r="3538" spans="1:8" ht="15.6" x14ac:dyDescent="0.3">
      <c r="A3538" s="448" t="s">
        <v>45</v>
      </c>
      <c r="B3538" s="449"/>
      <c r="C3538" s="24"/>
      <c r="D3538" s="25"/>
      <c r="E3538" s="25"/>
      <c r="F3538" s="447" t="s">
        <v>46</v>
      </c>
      <c r="G3538" s="447"/>
      <c r="H3538" s="66">
        <v>41400</v>
      </c>
    </row>
    <row r="3539" spans="1:8" ht="15.6" x14ac:dyDescent="0.3">
      <c r="A3539" s="497" t="s">
        <v>695</v>
      </c>
      <c r="B3539" s="498"/>
      <c r="C3539" s="498"/>
      <c r="D3539" s="498"/>
      <c r="E3539" s="498"/>
      <c r="F3539" s="447" t="s">
        <v>47</v>
      </c>
      <c r="G3539" s="447"/>
      <c r="H3539" s="66">
        <f>H3538*9%</f>
        <v>3726</v>
      </c>
    </row>
    <row r="3540" spans="1:8" ht="15.6" x14ac:dyDescent="0.3">
      <c r="A3540" s="27"/>
      <c r="B3540" s="28" t="s">
        <v>687</v>
      </c>
      <c r="C3540" s="24"/>
      <c r="D3540" s="25"/>
      <c r="E3540" s="25"/>
      <c r="F3540" s="447" t="s">
        <v>48</v>
      </c>
      <c r="G3540" s="447"/>
      <c r="H3540" s="66">
        <f>H3539</f>
        <v>3726</v>
      </c>
    </row>
    <row r="3541" spans="1:8" ht="15.6" x14ac:dyDescent="0.3">
      <c r="A3541" s="64" t="s">
        <v>49</v>
      </c>
      <c r="B3541" s="65"/>
      <c r="C3541" s="24"/>
      <c r="D3541" s="25"/>
      <c r="E3541" s="25"/>
      <c r="F3541" s="447" t="s">
        <v>50</v>
      </c>
      <c r="G3541" s="447"/>
      <c r="H3541" s="66">
        <f>H3538+H3539+H3540</f>
        <v>48852</v>
      </c>
    </row>
    <row r="3542" spans="1:8" ht="27" x14ac:dyDescent="0.3">
      <c r="A3542" s="68" t="s">
        <v>22</v>
      </c>
      <c r="B3542" s="30" t="s">
        <v>51</v>
      </c>
      <c r="C3542" s="70" t="s">
        <v>24</v>
      </c>
      <c r="D3542" s="31" t="s">
        <v>25</v>
      </c>
      <c r="E3542" s="450" t="s">
        <v>52</v>
      </c>
      <c r="F3542" s="450"/>
      <c r="G3542" s="28"/>
      <c r="H3542" s="32"/>
    </row>
    <row r="3543" spans="1:8" x14ac:dyDescent="0.3">
      <c r="A3543" s="72">
        <v>0.18</v>
      </c>
      <c r="B3543" s="73">
        <f>H3538</f>
        <v>41400</v>
      </c>
      <c r="C3543" s="91">
        <f>H3539</f>
        <v>3726</v>
      </c>
      <c r="D3543" s="91">
        <f>H3539</f>
        <v>3726</v>
      </c>
      <c r="E3543" s="506">
        <f>C3543+D3543</f>
        <v>7452</v>
      </c>
      <c r="F3543" s="507"/>
      <c r="G3543" s="74"/>
      <c r="H3543" s="75"/>
    </row>
    <row r="3544" spans="1:8" x14ac:dyDescent="0.3">
      <c r="A3544" s="508" t="s">
        <v>696</v>
      </c>
      <c r="B3544" s="509"/>
      <c r="C3544" s="509"/>
      <c r="D3544" s="509"/>
      <c r="E3544" s="453"/>
      <c r="F3544" s="453"/>
      <c r="G3544" s="453"/>
      <c r="H3544" s="454"/>
    </row>
    <row r="3545" spans="1:8" ht="15.6" x14ac:dyDescent="0.3">
      <c r="A3545" s="455" t="s">
        <v>53</v>
      </c>
      <c r="B3545" s="456"/>
      <c r="C3545" s="456"/>
      <c r="D3545" s="457"/>
      <c r="E3545" s="458" t="s">
        <v>54</v>
      </c>
      <c r="F3545" s="459"/>
      <c r="G3545" s="459"/>
      <c r="H3545" s="460"/>
    </row>
    <row r="3546" spans="1:8" x14ac:dyDescent="0.3">
      <c r="A3546" s="461" t="s">
        <v>55</v>
      </c>
      <c r="B3546" s="462"/>
      <c r="C3546" s="462"/>
      <c r="D3546" s="463"/>
      <c r="E3546" s="39"/>
      <c r="F3546" s="28"/>
      <c r="G3546" s="28"/>
      <c r="H3546" s="32"/>
    </row>
    <row r="3547" spans="1:8" x14ac:dyDescent="0.3">
      <c r="A3547" s="461" t="s">
        <v>56</v>
      </c>
      <c r="B3547" s="462"/>
      <c r="C3547" s="462"/>
      <c r="D3547" s="463"/>
      <c r="E3547" s="39"/>
      <c r="F3547" s="28"/>
      <c r="G3547" s="28"/>
      <c r="H3547" s="32"/>
    </row>
    <row r="3548" spans="1:8" x14ac:dyDescent="0.3">
      <c r="A3548" s="461" t="s">
        <v>57</v>
      </c>
      <c r="B3548" s="462"/>
      <c r="C3548" s="462"/>
      <c r="D3548" s="463"/>
      <c r="E3548" s="39"/>
      <c r="F3548" s="28"/>
      <c r="G3548" s="28"/>
      <c r="H3548" s="32"/>
    </row>
    <row r="3549" spans="1:8" ht="15.6" x14ac:dyDescent="0.3">
      <c r="A3549" s="464" t="s">
        <v>58</v>
      </c>
      <c r="B3549" s="465"/>
      <c r="C3549" s="465"/>
      <c r="D3549" s="465"/>
      <c r="E3549" s="466" t="s">
        <v>59</v>
      </c>
      <c r="F3549" s="467"/>
      <c r="G3549" s="467"/>
      <c r="H3549" s="468"/>
    </row>
    <row r="3553" spans="1:9" ht="44.4" x14ac:dyDescent="0.7">
      <c r="A3553" s="469" t="s">
        <v>0</v>
      </c>
      <c r="B3553" s="470"/>
      <c r="C3553" s="470"/>
      <c r="D3553" s="470"/>
      <c r="E3553" s="471" t="s">
        <v>1</v>
      </c>
      <c r="F3553" s="472"/>
      <c r="G3553" s="472"/>
      <c r="H3553" s="473"/>
    </row>
    <row r="3554" spans="1:9" ht="20.399999999999999" x14ac:dyDescent="0.35">
      <c r="A3554" s="1"/>
      <c r="B3554" s="476" t="s">
        <v>2</v>
      </c>
      <c r="C3554" s="476"/>
      <c r="D3554" s="476"/>
      <c r="E3554" s="474"/>
      <c r="F3554" s="474"/>
      <c r="G3554" s="474"/>
      <c r="H3554" s="475"/>
    </row>
    <row r="3555" spans="1:9" x14ac:dyDescent="0.3">
      <c r="A3555" s="477" t="s">
        <v>3</v>
      </c>
      <c r="B3555" s="478"/>
      <c r="C3555" s="479" t="s">
        <v>4</v>
      </c>
      <c r="D3555" s="479"/>
      <c r="E3555" s="480" t="s">
        <v>5</v>
      </c>
      <c r="F3555" s="480"/>
      <c r="G3555" s="480"/>
      <c r="H3555" s="480"/>
    </row>
    <row r="3556" spans="1:9" ht="15.6" x14ac:dyDescent="0.3">
      <c r="A3556" s="4" t="s">
        <v>6</v>
      </c>
      <c r="B3556" s="5"/>
      <c r="C3556" s="481" t="s">
        <v>7</v>
      </c>
      <c r="D3556" s="481"/>
      <c r="E3556" s="482">
        <v>78</v>
      </c>
      <c r="F3556" s="482"/>
      <c r="G3556" s="7" t="s">
        <v>8</v>
      </c>
      <c r="H3556" s="250" t="s">
        <v>644</v>
      </c>
    </row>
    <row r="3557" spans="1:9" ht="15.6" x14ac:dyDescent="0.3">
      <c r="A3557" s="551" t="s">
        <v>458</v>
      </c>
      <c r="B3557" s="552"/>
      <c r="C3557" s="481" t="s">
        <v>10</v>
      </c>
      <c r="D3557" s="481"/>
      <c r="E3557" s="482"/>
      <c r="F3557" s="482"/>
      <c r="G3557" s="7" t="s">
        <v>8</v>
      </c>
      <c r="H3557" s="251"/>
    </row>
    <row r="3558" spans="1:9" ht="24.75" customHeight="1" x14ac:dyDescent="0.3">
      <c r="A3558" s="560" t="s">
        <v>459</v>
      </c>
      <c r="B3558" s="561"/>
      <c r="C3558" s="483" t="s">
        <v>12</v>
      </c>
      <c r="D3558" s="484"/>
      <c r="E3558" s="564" t="s">
        <v>700</v>
      </c>
      <c r="F3558" s="593"/>
      <c r="G3558" s="10" t="s">
        <v>8</v>
      </c>
      <c r="H3558" s="252">
        <v>45633</v>
      </c>
    </row>
    <row r="3559" spans="1:9" ht="15.6" x14ac:dyDescent="0.3">
      <c r="A3559" s="253" t="s">
        <v>460</v>
      </c>
      <c r="B3559" s="254"/>
      <c r="C3559" s="481" t="s">
        <v>15</v>
      </c>
      <c r="D3559" s="481"/>
      <c r="E3559" s="489" t="s">
        <v>461</v>
      </c>
      <c r="F3559" s="490"/>
      <c r="G3559" s="490"/>
      <c r="H3559" s="491"/>
    </row>
    <row r="3560" spans="1:9" ht="15.6" x14ac:dyDescent="0.3">
      <c r="A3560" s="255" t="s">
        <v>697</v>
      </c>
      <c r="B3560" s="256"/>
      <c r="C3560" s="489"/>
      <c r="D3560" s="490"/>
      <c r="E3560" s="490"/>
      <c r="F3560" s="490"/>
      <c r="G3560" s="490"/>
      <c r="H3560" s="491"/>
    </row>
    <row r="3561" spans="1:9" ht="15" x14ac:dyDescent="0.3">
      <c r="A3561" s="492" t="s">
        <v>17</v>
      </c>
      <c r="B3561" s="494" t="s">
        <v>18</v>
      </c>
      <c r="C3561" s="494" t="s">
        <v>19</v>
      </c>
      <c r="D3561" s="495" t="s">
        <v>20</v>
      </c>
      <c r="E3561" s="494" t="s">
        <v>21</v>
      </c>
      <c r="F3561" s="494" t="s">
        <v>22</v>
      </c>
      <c r="G3561" s="494"/>
      <c r="H3561" s="492" t="s">
        <v>23</v>
      </c>
    </row>
    <row r="3562" spans="1:9" ht="27.6" x14ac:dyDescent="0.3">
      <c r="A3562" s="492"/>
      <c r="B3562" s="494"/>
      <c r="C3562" s="494"/>
      <c r="D3562" s="505"/>
      <c r="E3562" s="494"/>
      <c r="F3562" s="53" t="s">
        <v>24</v>
      </c>
      <c r="G3562" s="53" t="s">
        <v>25</v>
      </c>
      <c r="H3562" s="492"/>
    </row>
    <row r="3563" spans="1:9" x14ac:dyDescent="0.3">
      <c r="A3563" s="55">
        <v>1</v>
      </c>
      <c r="B3563" s="84" t="s">
        <v>698</v>
      </c>
      <c r="C3563" s="55">
        <v>2</v>
      </c>
      <c r="D3563" s="86">
        <v>998719</v>
      </c>
      <c r="E3563" s="55">
        <v>16665</v>
      </c>
      <c r="F3563" s="55">
        <f>E3563*C3563*9%</f>
        <v>2999.7</v>
      </c>
      <c r="G3563" s="55">
        <f>F3563</f>
        <v>2999.7</v>
      </c>
      <c r="H3563" s="55">
        <f>G3563+F3563+E3563*C3563</f>
        <v>39329.4</v>
      </c>
      <c r="I3563" s="362">
        <f>E3563*C3563</f>
        <v>33330</v>
      </c>
    </row>
    <row r="3564" spans="1:9" x14ac:dyDescent="0.3">
      <c r="A3564" s="55">
        <v>2</v>
      </c>
      <c r="B3564" s="84" t="s">
        <v>699</v>
      </c>
      <c r="C3564" s="55">
        <v>2</v>
      </c>
      <c r="D3564" s="86">
        <v>998719</v>
      </c>
      <c r="E3564" s="55">
        <v>1300</v>
      </c>
      <c r="F3564" s="55">
        <f>E3564*C3564*9%</f>
        <v>234</v>
      </c>
      <c r="G3564" s="55">
        <f>F3564</f>
        <v>234</v>
      </c>
      <c r="H3564" s="55">
        <f>G3564+F3564+E3564*C3564</f>
        <v>3068</v>
      </c>
      <c r="I3564" s="362">
        <f>E3564*C3564</f>
        <v>2600</v>
      </c>
    </row>
    <row r="3565" spans="1:9" x14ac:dyDescent="0.3">
      <c r="A3565" s="55"/>
      <c r="B3565" s="84"/>
      <c r="C3565" s="55"/>
      <c r="D3565" s="86"/>
      <c r="E3565" s="55"/>
      <c r="F3565" s="55"/>
      <c r="G3565" s="55"/>
      <c r="H3565" s="55"/>
    </row>
    <row r="3566" spans="1:9" x14ac:dyDescent="0.3">
      <c r="A3566" s="55"/>
      <c r="B3566" s="84"/>
      <c r="C3566" s="20"/>
      <c r="D3566" s="86"/>
      <c r="E3566" s="55"/>
      <c r="F3566" s="55"/>
      <c r="G3566" s="55"/>
      <c r="H3566" s="55"/>
    </row>
    <row r="3567" spans="1:9" x14ac:dyDescent="0.3">
      <c r="A3567" s="55"/>
      <c r="B3567" s="257"/>
      <c r="C3567" s="20"/>
      <c r="D3567" s="86"/>
      <c r="E3567" s="55"/>
      <c r="F3567" s="55"/>
      <c r="G3567" s="55"/>
      <c r="H3567" s="55"/>
    </row>
    <row r="3568" spans="1:9" x14ac:dyDescent="0.3">
      <c r="A3568" s="55"/>
      <c r="B3568" s="257"/>
      <c r="C3568" s="20"/>
      <c r="D3568" s="86"/>
      <c r="E3568" s="55"/>
      <c r="F3568" s="55"/>
      <c r="G3568" s="55"/>
      <c r="H3568" s="55"/>
    </row>
    <row r="3569" spans="1:8" x14ac:dyDescent="0.3">
      <c r="A3569" s="55"/>
      <c r="B3569" s="257"/>
      <c r="C3569" s="20"/>
      <c r="D3569" s="86"/>
      <c r="E3569" s="55"/>
      <c r="F3569" s="55"/>
      <c r="G3569" s="55"/>
      <c r="H3569" s="55"/>
    </row>
    <row r="3570" spans="1:8" x14ac:dyDescent="0.3">
      <c r="A3570" s="55"/>
      <c r="B3570" s="257"/>
      <c r="C3570" s="20"/>
      <c r="D3570" s="86"/>
      <c r="E3570" s="55"/>
      <c r="F3570" s="55"/>
      <c r="G3570" s="55"/>
      <c r="H3570" s="55"/>
    </row>
    <row r="3571" spans="1:8" x14ac:dyDescent="0.3">
      <c r="A3571" s="55"/>
      <c r="B3571" s="257"/>
      <c r="C3571" s="20"/>
      <c r="D3571" s="86"/>
      <c r="E3571" s="55"/>
      <c r="F3571" s="55"/>
      <c r="G3571" s="55"/>
      <c r="H3571" s="55"/>
    </row>
    <row r="3572" spans="1:8" x14ac:dyDescent="0.3">
      <c r="A3572" s="55"/>
      <c r="B3572" s="257"/>
      <c r="C3572" s="20"/>
      <c r="D3572" s="86"/>
      <c r="E3572" s="55"/>
      <c r="F3572" s="55"/>
      <c r="G3572" s="55"/>
      <c r="H3572" s="55"/>
    </row>
    <row r="3573" spans="1:8" x14ac:dyDescent="0.3">
      <c r="A3573" s="55"/>
      <c r="B3573" s="257"/>
      <c r="C3573" s="20"/>
      <c r="D3573" s="86"/>
      <c r="E3573" s="55"/>
      <c r="F3573" s="55"/>
      <c r="G3573" s="55"/>
      <c r="H3573" s="55"/>
    </row>
    <row r="3574" spans="1:8" x14ac:dyDescent="0.3">
      <c r="A3574" s="55"/>
      <c r="B3574" s="257"/>
      <c r="C3574" s="20"/>
      <c r="D3574" s="86"/>
      <c r="E3574" s="55"/>
      <c r="F3574" s="55"/>
      <c r="G3574" s="55"/>
      <c r="H3574" s="55"/>
    </row>
    <row r="3575" spans="1:8" x14ac:dyDescent="0.3">
      <c r="A3575" s="163"/>
      <c r="B3575" s="163"/>
      <c r="C3575" s="163"/>
      <c r="D3575" s="163"/>
      <c r="E3575" s="163"/>
      <c r="F3575" s="163"/>
      <c r="G3575" s="163"/>
      <c r="H3575" s="163"/>
    </row>
    <row r="3576" spans="1:8" x14ac:dyDescent="0.3">
      <c r="A3576" s="258"/>
      <c r="B3576" s="257"/>
      <c r="C3576" s="258"/>
      <c r="D3576" s="86"/>
      <c r="E3576" s="55"/>
      <c r="F3576" s="259"/>
      <c r="G3576" s="259"/>
      <c r="H3576" s="258"/>
    </row>
    <row r="3577" spans="1:8" x14ac:dyDescent="0.3">
      <c r="A3577" s="55"/>
      <c r="B3577" s="84"/>
      <c r="C3577" s="55"/>
      <c r="D3577" s="55"/>
      <c r="E3577" s="55"/>
      <c r="F3577" s="55"/>
      <c r="G3577" s="55"/>
      <c r="H3577" s="55"/>
    </row>
    <row r="3578" spans="1:8" x14ac:dyDescent="0.3">
      <c r="A3578" s="163"/>
      <c r="B3578" s="163"/>
      <c r="C3578" s="163"/>
      <c r="D3578" s="163"/>
      <c r="E3578" s="163"/>
      <c r="F3578" s="163"/>
      <c r="G3578" s="163"/>
      <c r="H3578" s="163"/>
    </row>
    <row r="3579" spans="1:8" x14ac:dyDescent="0.3">
      <c r="A3579" s="55"/>
      <c r="B3579" s="257"/>
      <c r="C3579" s="55"/>
      <c r="D3579" s="55"/>
      <c r="E3579" s="55"/>
      <c r="F3579" s="55"/>
      <c r="G3579" s="55"/>
      <c r="H3579" s="55"/>
    </row>
    <row r="3580" spans="1:8" x14ac:dyDescent="0.3">
      <c r="A3580" s="57"/>
      <c r="B3580" s="84"/>
      <c r="C3580" s="85"/>
      <c r="D3580" s="86"/>
      <c r="E3580" s="87"/>
      <c r="F3580" s="47"/>
      <c r="G3580" s="47"/>
      <c r="H3580" s="47"/>
    </row>
    <row r="3581" spans="1:8" x14ac:dyDescent="0.3">
      <c r="A3581" s="57"/>
      <c r="B3581" s="84"/>
      <c r="C3581" s="85"/>
      <c r="D3581" s="86"/>
      <c r="E3581" s="47"/>
      <c r="F3581" s="47"/>
      <c r="G3581" s="47"/>
      <c r="H3581" s="47"/>
    </row>
    <row r="3582" spans="1:8" x14ac:dyDescent="0.3">
      <c r="A3582" s="55"/>
      <c r="B3582" s="84"/>
      <c r="C3582" s="55"/>
      <c r="D3582" s="86"/>
      <c r="E3582" s="47"/>
      <c r="F3582" s="47"/>
      <c r="G3582" s="47"/>
      <c r="H3582" s="47"/>
    </row>
    <row r="3583" spans="1:8" x14ac:dyDescent="0.3">
      <c r="A3583" s="27"/>
      <c r="B3583" s="28"/>
      <c r="C3583" s="24"/>
      <c r="D3583" s="25"/>
      <c r="E3583" s="25"/>
      <c r="F3583" s="28"/>
      <c r="G3583" s="28"/>
      <c r="H3583" s="32"/>
    </row>
    <row r="3584" spans="1:8" ht="15.6" x14ac:dyDescent="0.3">
      <c r="A3584" s="448" t="s">
        <v>45</v>
      </c>
      <c r="B3584" s="449"/>
      <c r="C3584" s="24"/>
      <c r="D3584" s="25"/>
      <c r="E3584" s="25"/>
      <c r="F3584" s="447" t="s">
        <v>46</v>
      </c>
      <c r="G3584" s="447"/>
      <c r="H3584" s="66">
        <v>35930</v>
      </c>
    </row>
    <row r="3585" spans="1:8" ht="15.6" x14ac:dyDescent="0.3">
      <c r="A3585" s="497" t="s">
        <v>701</v>
      </c>
      <c r="B3585" s="498"/>
      <c r="C3585" s="498"/>
      <c r="D3585" s="498"/>
      <c r="E3585" s="498"/>
      <c r="F3585" s="447" t="s">
        <v>47</v>
      </c>
      <c r="G3585" s="447"/>
      <c r="H3585" s="66">
        <f>H3584*9%</f>
        <v>3233.7</v>
      </c>
    </row>
    <row r="3586" spans="1:8" ht="15.6" x14ac:dyDescent="0.3">
      <c r="A3586" s="27"/>
      <c r="B3586" s="28" t="s">
        <v>687</v>
      </c>
      <c r="C3586" s="24"/>
      <c r="D3586" s="25"/>
      <c r="E3586" s="25"/>
      <c r="F3586" s="447" t="s">
        <v>48</v>
      </c>
      <c r="G3586" s="447"/>
      <c r="H3586" s="66">
        <f>H3585</f>
        <v>3233.7</v>
      </c>
    </row>
    <row r="3587" spans="1:8" ht="15.6" x14ac:dyDescent="0.3">
      <c r="A3587" s="64" t="s">
        <v>49</v>
      </c>
      <c r="B3587" s="65"/>
      <c r="C3587" s="24"/>
      <c r="D3587" s="25"/>
      <c r="E3587" s="25"/>
      <c r="F3587" s="447" t="s">
        <v>50</v>
      </c>
      <c r="G3587" s="447"/>
      <c r="H3587" s="66">
        <f>H3584+H3585+H3586</f>
        <v>42397.399999999994</v>
      </c>
    </row>
    <row r="3588" spans="1:8" ht="27" x14ac:dyDescent="0.3">
      <c r="A3588" s="68" t="s">
        <v>22</v>
      </c>
      <c r="B3588" s="30" t="s">
        <v>51</v>
      </c>
      <c r="C3588" s="70" t="s">
        <v>24</v>
      </c>
      <c r="D3588" s="31" t="s">
        <v>25</v>
      </c>
      <c r="E3588" s="450" t="s">
        <v>52</v>
      </c>
      <c r="F3588" s="450"/>
      <c r="G3588" s="28"/>
      <c r="H3588" s="32"/>
    </row>
    <row r="3589" spans="1:8" x14ac:dyDescent="0.3">
      <c r="A3589" s="72">
        <v>0.18</v>
      </c>
      <c r="B3589" s="73">
        <f>H3584</f>
        <v>35930</v>
      </c>
      <c r="C3589" s="91">
        <f>H3585</f>
        <v>3233.7</v>
      </c>
      <c r="D3589" s="91">
        <f>H3585</f>
        <v>3233.7</v>
      </c>
      <c r="E3589" s="506">
        <f>C3589+D3589</f>
        <v>6467.4</v>
      </c>
      <c r="F3589" s="507"/>
      <c r="G3589" s="74"/>
      <c r="H3589" s="75"/>
    </row>
    <row r="3590" spans="1:8" x14ac:dyDescent="0.3">
      <c r="A3590" s="508" t="s">
        <v>702</v>
      </c>
      <c r="B3590" s="509"/>
      <c r="C3590" s="509"/>
      <c r="D3590" s="509"/>
      <c r="E3590" s="453"/>
      <c r="F3590" s="453"/>
      <c r="G3590" s="453"/>
      <c r="H3590" s="454"/>
    </row>
    <row r="3591" spans="1:8" ht="15.6" x14ac:dyDescent="0.3">
      <c r="A3591" s="455" t="s">
        <v>53</v>
      </c>
      <c r="B3591" s="456"/>
      <c r="C3591" s="456"/>
      <c r="D3591" s="457"/>
      <c r="E3591" s="458" t="s">
        <v>54</v>
      </c>
      <c r="F3591" s="459"/>
      <c r="G3591" s="459"/>
      <c r="H3591" s="460"/>
    </row>
    <row r="3592" spans="1:8" x14ac:dyDescent="0.3">
      <c r="A3592" s="461" t="s">
        <v>55</v>
      </c>
      <c r="B3592" s="462"/>
      <c r="C3592" s="462"/>
      <c r="D3592" s="463"/>
      <c r="E3592" s="39"/>
      <c r="F3592" s="28"/>
      <c r="G3592" s="28"/>
      <c r="H3592" s="32"/>
    </row>
    <row r="3593" spans="1:8" x14ac:dyDescent="0.3">
      <c r="A3593" s="461" t="s">
        <v>56</v>
      </c>
      <c r="B3593" s="462"/>
      <c r="C3593" s="462"/>
      <c r="D3593" s="463"/>
      <c r="E3593" s="39"/>
      <c r="F3593" s="28"/>
      <c r="G3593" s="28"/>
      <c r="H3593" s="32"/>
    </row>
    <row r="3594" spans="1:8" x14ac:dyDescent="0.3">
      <c r="A3594" s="461" t="s">
        <v>57</v>
      </c>
      <c r="B3594" s="462"/>
      <c r="C3594" s="462"/>
      <c r="D3594" s="463"/>
      <c r="E3594" s="39"/>
      <c r="F3594" s="28"/>
      <c r="G3594" s="28"/>
      <c r="H3594" s="32"/>
    </row>
    <row r="3595" spans="1:8" ht="15.6" x14ac:dyDescent="0.3">
      <c r="A3595" s="464" t="s">
        <v>58</v>
      </c>
      <c r="B3595" s="465"/>
      <c r="C3595" s="465"/>
      <c r="D3595" s="465"/>
      <c r="E3595" s="466" t="s">
        <v>59</v>
      </c>
      <c r="F3595" s="467"/>
      <c r="G3595" s="467"/>
      <c r="H3595" s="468"/>
    </row>
    <row r="3598" spans="1:8" ht="44.4" x14ac:dyDescent="0.7">
      <c r="A3598" s="469" t="s">
        <v>0</v>
      </c>
      <c r="B3598" s="470"/>
      <c r="C3598" s="470"/>
      <c r="D3598" s="470"/>
      <c r="E3598" s="471" t="s">
        <v>1</v>
      </c>
      <c r="F3598" s="472"/>
      <c r="G3598" s="472"/>
      <c r="H3598" s="473"/>
    </row>
    <row r="3599" spans="1:8" ht="20.399999999999999" x14ac:dyDescent="0.35">
      <c r="A3599" s="1"/>
      <c r="B3599" s="476" t="s">
        <v>2</v>
      </c>
      <c r="C3599" s="476"/>
      <c r="D3599" s="476"/>
      <c r="E3599" s="474"/>
      <c r="F3599" s="474"/>
      <c r="G3599" s="474"/>
      <c r="H3599" s="475"/>
    </row>
    <row r="3600" spans="1:8" x14ac:dyDescent="0.3">
      <c r="A3600" s="477" t="s">
        <v>3</v>
      </c>
      <c r="B3600" s="478"/>
      <c r="C3600" s="499" t="s">
        <v>4</v>
      </c>
      <c r="D3600" s="499"/>
      <c r="E3600" s="480" t="s">
        <v>5</v>
      </c>
      <c r="F3600" s="480"/>
      <c r="G3600" s="480"/>
      <c r="H3600" s="480"/>
    </row>
    <row r="3601" spans="1:9" ht="15.6" x14ac:dyDescent="0.3">
      <c r="A3601" s="138" t="s">
        <v>6</v>
      </c>
      <c r="B3601" s="5"/>
      <c r="C3601" s="481" t="s">
        <v>7</v>
      </c>
      <c r="D3601" s="481"/>
      <c r="E3601" s="482">
        <v>79</v>
      </c>
      <c r="F3601" s="482"/>
      <c r="G3601" s="7" t="s">
        <v>8</v>
      </c>
      <c r="H3601" s="122" t="s">
        <v>707</v>
      </c>
    </row>
    <row r="3602" spans="1:9" ht="15.6" x14ac:dyDescent="0.3">
      <c r="A3602" s="551" t="s">
        <v>703</v>
      </c>
      <c r="B3602" s="552"/>
      <c r="C3602" s="481" t="s">
        <v>10</v>
      </c>
      <c r="D3602" s="481"/>
      <c r="E3602" s="482">
        <v>26</v>
      </c>
      <c r="F3602" s="482"/>
      <c r="G3602" s="7" t="s">
        <v>8</v>
      </c>
      <c r="H3602" s="122" t="s">
        <v>708</v>
      </c>
    </row>
    <row r="3603" spans="1:9" ht="30" customHeight="1" x14ac:dyDescent="0.3">
      <c r="A3603" s="517" t="s">
        <v>704</v>
      </c>
      <c r="B3603" s="553"/>
      <c r="C3603" s="483" t="s">
        <v>12</v>
      </c>
      <c r="D3603" s="484"/>
      <c r="E3603" s="584" t="s">
        <v>711</v>
      </c>
      <c r="F3603" s="585"/>
      <c r="G3603" s="10" t="s">
        <v>8</v>
      </c>
      <c r="H3603" s="298" t="s">
        <v>709</v>
      </c>
    </row>
    <row r="3604" spans="1:9" ht="15.6" x14ac:dyDescent="0.3">
      <c r="A3604" s="556" t="s">
        <v>705</v>
      </c>
      <c r="B3604" s="557"/>
      <c r="C3604" s="481" t="s">
        <v>15</v>
      </c>
      <c r="D3604" s="481"/>
      <c r="E3604" s="673" t="s">
        <v>706</v>
      </c>
      <c r="F3604" s="674"/>
      <c r="G3604" s="674"/>
      <c r="H3604" s="675"/>
    </row>
    <row r="3605" spans="1:9" ht="15.6" x14ac:dyDescent="0.3">
      <c r="A3605" s="558" t="s">
        <v>710</v>
      </c>
      <c r="B3605" s="559"/>
      <c r="C3605" s="489"/>
      <c r="D3605" s="490"/>
      <c r="E3605" s="490"/>
      <c r="F3605" s="490"/>
      <c r="G3605" s="490"/>
      <c r="H3605" s="491"/>
    </row>
    <row r="3606" spans="1:9" ht="15" x14ac:dyDescent="0.3">
      <c r="A3606" s="492" t="s">
        <v>17</v>
      </c>
      <c r="B3606" s="494" t="s">
        <v>18</v>
      </c>
      <c r="C3606" s="494" t="s">
        <v>19</v>
      </c>
      <c r="D3606" s="494" t="s">
        <v>20</v>
      </c>
      <c r="E3606" s="494" t="s">
        <v>21</v>
      </c>
      <c r="F3606" s="494" t="s">
        <v>22</v>
      </c>
      <c r="G3606" s="494"/>
      <c r="H3606" s="492" t="s">
        <v>23</v>
      </c>
    </row>
    <row r="3607" spans="1:9" ht="27.6" x14ac:dyDescent="0.3">
      <c r="A3607" s="492"/>
      <c r="B3607" s="494"/>
      <c r="C3607" s="494"/>
      <c r="D3607" s="494"/>
      <c r="E3607" s="494"/>
      <c r="F3607" s="53" t="s">
        <v>24</v>
      </c>
      <c r="G3607" s="53" t="s">
        <v>25</v>
      </c>
      <c r="H3607" s="492"/>
    </row>
    <row r="3608" spans="1:9" ht="27.6" x14ac:dyDescent="0.3">
      <c r="A3608" s="55">
        <v>1</v>
      </c>
      <c r="B3608" s="130" t="s">
        <v>712</v>
      </c>
      <c r="C3608" s="297">
        <v>2</v>
      </c>
      <c r="D3608" s="83">
        <v>8544</v>
      </c>
      <c r="E3608" s="57">
        <v>519556</v>
      </c>
      <c r="F3608" s="57">
        <f>E3608*C3608*9%</f>
        <v>93520.08</v>
      </c>
      <c r="G3608" s="57">
        <f>F3608</f>
        <v>93520.08</v>
      </c>
      <c r="H3608" s="57">
        <f>G3608+F3608+E3608*C3608</f>
        <v>1226152.1599999999</v>
      </c>
      <c r="I3608" s="362">
        <f>E3608*C3608</f>
        <v>1039112</v>
      </c>
    </row>
    <row r="3609" spans="1:9" x14ac:dyDescent="0.3">
      <c r="A3609" s="57">
        <v>2</v>
      </c>
      <c r="B3609" s="60" t="s">
        <v>713</v>
      </c>
      <c r="C3609" s="83">
        <v>2</v>
      </c>
      <c r="D3609" s="83">
        <v>998719</v>
      </c>
      <c r="E3609" s="57">
        <v>15000</v>
      </c>
      <c r="F3609" s="57">
        <f>E3609*C3609*9%</f>
        <v>2700</v>
      </c>
      <c r="G3609" s="57">
        <f>F3609</f>
        <v>2700</v>
      </c>
      <c r="H3609" s="57">
        <f>G3609+F3609+E3609*C3609</f>
        <v>35400</v>
      </c>
      <c r="I3609" s="362">
        <f>E3609*C3609</f>
        <v>30000</v>
      </c>
    </row>
    <row r="3610" spans="1:9" x14ac:dyDescent="0.3">
      <c r="A3610" s="57">
        <v>3</v>
      </c>
      <c r="B3610" s="60" t="s">
        <v>714</v>
      </c>
      <c r="C3610" s="83">
        <v>1</v>
      </c>
      <c r="D3610" s="83">
        <v>998719</v>
      </c>
      <c r="E3610" s="57">
        <v>3000</v>
      </c>
      <c r="F3610" s="57">
        <f>E3610*C3610*9%</f>
        <v>270</v>
      </c>
      <c r="G3610" s="57">
        <f>F3610</f>
        <v>270</v>
      </c>
      <c r="H3610" s="57">
        <f>G3610+F3610+E3610*C3610</f>
        <v>3540</v>
      </c>
      <c r="I3610" s="362">
        <f>E3610*C3610</f>
        <v>3000</v>
      </c>
    </row>
    <row r="3611" spans="1:9" x14ac:dyDescent="0.3">
      <c r="A3611" s="57"/>
      <c r="B3611" s="60"/>
      <c r="C3611" s="83"/>
      <c r="D3611" s="83"/>
      <c r="E3611" s="57"/>
      <c r="F3611" s="57"/>
      <c r="G3611" s="57"/>
      <c r="H3611" s="57"/>
    </row>
    <row r="3612" spans="1:9" x14ac:dyDescent="0.3">
      <c r="A3612" s="57"/>
      <c r="B3612" s="60"/>
      <c r="C3612" s="83"/>
      <c r="D3612" s="83"/>
      <c r="E3612" s="57"/>
      <c r="F3612" s="57"/>
      <c r="G3612" s="57"/>
      <c r="H3612" s="57"/>
    </row>
    <row r="3613" spans="1:9" x14ac:dyDescent="0.3">
      <c r="A3613" s="57"/>
      <c r="B3613" s="60"/>
      <c r="C3613" s="83"/>
      <c r="D3613" s="83"/>
      <c r="E3613" s="57"/>
      <c r="F3613" s="57"/>
      <c r="G3613" s="57"/>
      <c r="H3613" s="57"/>
    </row>
    <row r="3614" spans="1:9" x14ac:dyDescent="0.3">
      <c r="A3614" s="57"/>
      <c r="B3614" s="60"/>
      <c r="C3614" s="83"/>
      <c r="D3614" s="83"/>
      <c r="E3614" s="57"/>
      <c r="F3614" s="57"/>
      <c r="G3614" s="57"/>
      <c r="H3614" s="57"/>
    </row>
    <row r="3615" spans="1:9" x14ac:dyDescent="0.3">
      <c r="A3615" s="57"/>
      <c r="B3615" s="60"/>
      <c r="C3615" s="83"/>
      <c r="D3615" s="83"/>
      <c r="E3615" s="57"/>
      <c r="F3615" s="57"/>
      <c r="G3615" s="57"/>
      <c r="H3615" s="57"/>
    </row>
    <row r="3616" spans="1:9" x14ac:dyDescent="0.3">
      <c r="A3616" s="57"/>
      <c r="B3616" s="84"/>
      <c r="C3616" s="85"/>
      <c r="D3616" s="86"/>
      <c r="E3616" s="87"/>
      <c r="F3616" s="47"/>
      <c r="G3616" s="47"/>
      <c r="H3616" s="47"/>
    </row>
    <row r="3617" spans="1:8" x14ac:dyDescent="0.3">
      <c r="A3617" s="178"/>
      <c r="B3617" s="163"/>
      <c r="C3617" s="178"/>
      <c r="D3617" s="178"/>
      <c r="E3617" s="178"/>
      <c r="F3617" s="163"/>
      <c r="G3617" s="163"/>
      <c r="H3617" s="178"/>
    </row>
    <row r="3618" spans="1:8" x14ac:dyDescent="0.3">
      <c r="A3618" s="57"/>
      <c r="B3618" s="84"/>
      <c r="C3618" s="85"/>
      <c r="D3618" s="86"/>
      <c r="E3618" s="87"/>
      <c r="F3618" s="47"/>
      <c r="G3618" s="47"/>
      <c r="H3618" s="47"/>
    </row>
    <row r="3619" spans="1:8" x14ac:dyDescent="0.3">
      <c r="A3619" s="57"/>
      <c r="B3619" s="84"/>
      <c r="C3619" s="85"/>
      <c r="D3619" s="86"/>
      <c r="E3619" s="87"/>
      <c r="F3619" s="47"/>
      <c r="G3619" s="47"/>
      <c r="H3619" s="47"/>
    </row>
    <row r="3620" spans="1:8" x14ac:dyDescent="0.3">
      <c r="A3620" s="57"/>
      <c r="B3620" s="84"/>
      <c r="C3620" s="85"/>
      <c r="D3620" s="86"/>
      <c r="E3620" s="87"/>
      <c r="F3620" s="47"/>
      <c r="G3620" s="47"/>
      <c r="H3620" s="47"/>
    </row>
    <row r="3621" spans="1:8" x14ac:dyDescent="0.3">
      <c r="A3621" s="57"/>
      <c r="B3621" s="84"/>
      <c r="C3621" s="85"/>
      <c r="D3621" s="86"/>
      <c r="E3621" s="87"/>
      <c r="F3621" s="47"/>
      <c r="G3621" s="47"/>
      <c r="H3621" s="47"/>
    </row>
    <row r="3622" spans="1:8" x14ac:dyDescent="0.3">
      <c r="A3622" s="57"/>
      <c r="B3622" s="84"/>
      <c r="C3622" s="85"/>
      <c r="D3622" s="86"/>
      <c r="E3622" s="47"/>
      <c r="F3622" s="47"/>
      <c r="G3622" s="47"/>
      <c r="H3622" s="47"/>
    </row>
    <row r="3623" spans="1:8" x14ac:dyDescent="0.3">
      <c r="A3623" s="55"/>
      <c r="B3623" s="84"/>
      <c r="C3623" s="55"/>
      <c r="D3623" s="86"/>
      <c r="E3623" s="47"/>
      <c r="F3623" s="47"/>
      <c r="G3623" s="47"/>
      <c r="H3623" s="47"/>
    </row>
    <row r="3624" spans="1:8" x14ac:dyDescent="0.3">
      <c r="A3624" s="27"/>
      <c r="B3624" s="28"/>
      <c r="C3624" s="24"/>
      <c r="D3624" s="25"/>
      <c r="E3624" s="25"/>
      <c r="F3624" s="28"/>
      <c r="G3624" s="28"/>
      <c r="H3624" s="32"/>
    </row>
    <row r="3625" spans="1:8" ht="15.6" x14ac:dyDescent="0.3">
      <c r="A3625" s="448" t="s">
        <v>45</v>
      </c>
      <c r="B3625" s="449"/>
      <c r="C3625" s="24"/>
      <c r="D3625" s="25"/>
      <c r="E3625" s="25"/>
      <c r="F3625" s="447" t="s">
        <v>46</v>
      </c>
      <c r="G3625" s="447"/>
      <c r="H3625" s="66">
        <v>1072112</v>
      </c>
    </row>
    <row r="3626" spans="1:8" ht="15.6" x14ac:dyDescent="0.3">
      <c r="A3626" s="497" t="s">
        <v>715</v>
      </c>
      <c r="B3626" s="498"/>
      <c r="C3626" s="498"/>
      <c r="D3626" s="498"/>
      <c r="E3626" s="498"/>
      <c r="F3626" s="447" t="s">
        <v>47</v>
      </c>
      <c r="G3626" s="447"/>
      <c r="H3626" s="66">
        <f>H3625*9%</f>
        <v>96490.08</v>
      </c>
    </row>
    <row r="3627" spans="1:8" ht="15.6" x14ac:dyDescent="0.3">
      <c r="A3627" s="27"/>
      <c r="B3627" s="28"/>
      <c r="C3627" s="24"/>
      <c r="D3627" s="25"/>
      <c r="E3627" s="25"/>
      <c r="F3627" s="447" t="s">
        <v>48</v>
      </c>
      <c r="G3627" s="447"/>
      <c r="H3627" s="66">
        <f>H3626</f>
        <v>96490.08</v>
      </c>
    </row>
    <row r="3628" spans="1:8" ht="15.6" x14ac:dyDescent="0.3">
      <c r="A3628" s="90" t="s">
        <v>49</v>
      </c>
      <c r="B3628" s="28"/>
      <c r="C3628" s="24"/>
      <c r="D3628" s="25"/>
      <c r="E3628" s="25"/>
      <c r="F3628" s="447" t="s">
        <v>50</v>
      </c>
      <c r="G3628" s="447"/>
      <c r="H3628" s="66">
        <v>1265092</v>
      </c>
    </row>
    <row r="3629" spans="1:8" ht="27" x14ac:dyDescent="0.3">
      <c r="A3629" s="68" t="s">
        <v>22</v>
      </c>
      <c r="B3629" s="30" t="s">
        <v>51</v>
      </c>
      <c r="C3629" s="70" t="s">
        <v>24</v>
      </c>
      <c r="D3629" s="31" t="s">
        <v>25</v>
      </c>
      <c r="E3629" s="450" t="s">
        <v>52</v>
      </c>
      <c r="F3629" s="450"/>
      <c r="G3629" s="28"/>
      <c r="H3629" s="32"/>
    </row>
    <row r="3630" spans="1:8" x14ac:dyDescent="0.3">
      <c r="A3630" s="72">
        <v>0.18</v>
      </c>
      <c r="B3630" s="73">
        <f>H3625</f>
        <v>1072112</v>
      </c>
      <c r="C3630" s="91">
        <f>H3626</f>
        <v>96490.08</v>
      </c>
      <c r="D3630" s="91">
        <f>H3626</f>
        <v>96490.08</v>
      </c>
      <c r="E3630" s="506">
        <f>C3630+D3630</f>
        <v>192980.16</v>
      </c>
      <c r="F3630" s="507"/>
      <c r="G3630" s="74"/>
      <c r="H3630" s="75"/>
    </row>
    <row r="3631" spans="1:8" x14ac:dyDescent="0.3">
      <c r="A3631" s="508" t="s">
        <v>716</v>
      </c>
      <c r="B3631" s="509"/>
      <c r="C3631" s="509"/>
      <c r="D3631" s="509"/>
      <c r="E3631" s="453"/>
      <c r="F3631" s="453"/>
      <c r="G3631" s="453"/>
      <c r="H3631" s="454"/>
    </row>
    <row r="3632" spans="1:8" ht="15.6" x14ac:dyDescent="0.3">
      <c r="A3632" s="455" t="s">
        <v>53</v>
      </c>
      <c r="B3632" s="456"/>
      <c r="C3632" s="456"/>
      <c r="D3632" s="457"/>
      <c r="E3632" s="458" t="s">
        <v>54</v>
      </c>
      <c r="F3632" s="459"/>
      <c r="G3632" s="459"/>
      <c r="H3632" s="460"/>
    </row>
    <row r="3633" spans="1:8" x14ac:dyDescent="0.3">
      <c r="A3633" s="461" t="s">
        <v>55</v>
      </c>
      <c r="B3633" s="462"/>
      <c r="C3633" s="462"/>
      <c r="D3633" s="463"/>
      <c r="E3633" s="39"/>
      <c r="F3633" s="28"/>
      <c r="G3633" s="28"/>
      <c r="H3633" s="32"/>
    </row>
    <row r="3634" spans="1:8" x14ac:dyDescent="0.3">
      <c r="A3634" s="461" t="s">
        <v>56</v>
      </c>
      <c r="B3634" s="462"/>
      <c r="C3634" s="462"/>
      <c r="D3634" s="463"/>
      <c r="E3634" s="39"/>
      <c r="F3634" s="28"/>
      <c r="G3634" s="28"/>
      <c r="H3634" s="32"/>
    </row>
    <row r="3635" spans="1:8" x14ac:dyDescent="0.3">
      <c r="A3635" s="461" t="s">
        <v>57</v>
      </c>
      <c r="B3635" s="462"/>
      <c r="C3635" s="462"/>
      <c r="D3635" s="463"/>
      <c r="E3635" s="39"/>
      <c r="F3635" s="28"/>
      <c r="G3635" s="28"/>
      <c r="H3635" s="32"/>
    </row>
    <row r="3636" spans="1:8" ht="15.6" x14ac:dyDescent="0.3">
      <c r="A3636" s="464" t="s">
        <v>58</v>
      </c>
      <c r="B3636" s="465"/>
      <c r="C3636" s="465"/>
      <c r="D3636" s="465"/>
      <c r="E3636" s="466" t="s">
        <v>59</v>
      </c>
      <c r="F3636" s="467"/>
      <c r="G3636" s="467"/>
      <c r="H3636" s="468"/>
    </row>
    <row r="3644" spans="1:8" ht="44.4" x14ac:dyDescent="0.7">
      <c r="A3644" s="469" t="s">
        <v>0</v>
      </c>
      <c r="B3644" s="470"/>
      <c r="C3644" s="470"/>
      <c r="D3644" s="470"/>
      <c r="E3644" s="471" t="s">
        <v>1</v>
      </c>
      <c r="F3644" s="472"/>
      <c r="G3644" s="472"/>
      <c r="H3644" s="473"/>
    </row>
    <row r="3645" spans="1:8" ht="20.399999999999999" x14ac:dyDescent="0.35">
      <c r="A3645" s="1"/>
      <c r="B3645" s="476" t="s">
        <v>2</v>
      </c>
      <c r="C3645" s="476"/>
      <c r="D3645" s="476"/>
      <c r="E3645" s="474"/>
      <c r="F3645" s="474"/>
      <c r="G3645" s="474"/>
      <c r="H3645" s="475"/>
    </row>
    <row r="3646" spans="1:8" x14ac:dyDescent="0.3">
      <c r="A3646" s="477" t="s">
        <v>3</v>
      </c>
      <c r="B3646" s="478"/>
      <c r="C3646" s="499" t="s">
        <v>4</v>
      </c>
      <c r="D3646" s="499"/>
      <c r="E3646" s="480" t="s">
        <v>5</v>
      </c>
      <c r="F3646" s="480"/>
      <c r="G3646" s="480"/>
      <c r="H3646" s="480"/>
    </row>
    <row r="3647" spans="1:8" ht="15.6" x14ac:dyDescent="0.3">
      <c r="A3647" s="138" t="s">
        <v>6</v>
      </c>
      <c r="B3647" s="5"/>
      <c r="C3647" s="481" t="s">
        <v>7</v>
      </c>
      <c r="D3647" s="481"/>
      <c r="E3647" s="482">
        <v>80</v>
      </c>
      <c r="F3647" s="482"/>
      <c r="G3647" s="7" t="s">
        <v>8</v>
      </c>
      <c r="H3647" s="122" t="s">
        <v>717</v>
      </c>
    </row>
    <row r="3648" spans="1:8" ht="15.6" x14ac:dyDescent="0.3">
      <c r="A3648" s="551" t="s">
        <v>719</v>
      </c>
      <c r="B3648" s="552"/>
      <c r="C3648" s="481" t="s">
        <v>10</v>
      </c>
      <c r="D3648" s="481"/>
      <c r="E3648" s="482"/>
      <c r="F3648" s="482"/>
      <c r="G3648" s="7" t="s">
        <v>8</v>
      </c>
      <c r="H3648" s="122"/>
    </row>
    <row r="3649" spans="1:8" ht="15" x14ac:dyDescent="0.3">
      <c r="A3649" s="517" t="s">
        <v>720</v>
      </c>
      <c r="B3649" s="553"/>
      <c r="C3649" s="483" t="s">
        <v>12</v>
      </c>
      <c r="D3649" s="484"/>
      <c r="E3649" s="584"/>
      <c r="F3649" s="585"/>
      <c r="G3649" s="10" t="s">
        <v>8</v>
      </c>
      <c r="H3649" s="298"/>
    </row>
    <row r="3650" spans="1:8" ht="15.6" x14ac:dyDescent="0.3">
      <c r="A3650" s="556" t="s">
        <v>721</v>
      </c>
      <c r="B3650" s="557"/>
      <c r="C3650" s="481" t="s">
        <v>15</v>
      </c>
      <c r="D3650" s="481"/>
      <c r="E3650" s="673" t="s">
        <v>718</v>
      </c>
      <c r="F3650" s="674"/>
      <c r="G3650" s="674"/>
      <c r="H3650" s="675"/>
    </row>
    <row r="3651" spans="1:8" ht="15.6" x14ac:dyDescent="0.3">
      <c r="A3651" s="558"/>
      <c r="B3651" s="559"/>
      <c r="C3651" s="489"/>
      <c r="D3651" s="490"/>
      <c r="E3651" s="490"/>
      <c r="F3651" s="490"/>
      <c r="G3651" s="490"/>
      <c r="H3651" s="491"/>
    </row>
    <row r="3652" spans="1:8" ht="15" x14ac:dyDescent="0.3">
      <c r="A3652" s="492" t="s">
        <v>17</v>
      </c>
      <c r="B3652" s="494" t="s">
        <v>18</v>
      </c>
      <c r="C3652" s="494" t="s">
        <v>19</v>
      </c>
      <c r="D3652" s="494" t="s">
        <v>20</v>
      </c>
      <c r="E3652" s="494" t="s">
        <v>21</v>
      </c>
      <c r="F3652" s="494" t="s">
        <v>22</v>
      </c>
      <c r="G3652" s="494"/>
      <c r="H3652" s="492" t="s">
        <v>23</v>
      </c>
    </row>
    <row r="3653" spans="1:8" ht="27.6" x14ac:dyDescent="0.3">
      <c r="A3653" s="492"/>
      <c r="B3653" s="494"/>
      <c r="C3653" s="494"/>
      <c r="D3653" s="494"/>
      <c r="E3653" s="494"/>
      <c r="F3653" s="53" t="s">
        <v>24</v>
      </c>
      <c r="G3653" s="53" t="s">
        <v>25</v>
      </c>
      <c r="H3653" s="492"/>
    </row>
    <row r="3654" spans="1:8" x14ac:dyDescent="0.3">
      <c r="A3654" s="55">
        <v>1</v>
      </c>
      <c r="B3654" s="130" t="s">
        <v>724</v>
      </c>
      <c r="C3654" s="57">
        <v>198</v>
      </c>
      <c r="D3654" s="83">
        <v>998719</v>
      </c>
      <c r="E3654" s="57">
        <v>70</v>
      </c>
      <c r="F3654" s="57">
        <f>E3654*C3654*9%</f>
        <v>1247.3999999999999</v>
      </c>
      <c r="G3654" s="57">
        <f>F3654</f>
        <v>1247.3999999999999</v>
      </c>
      <c r="H3654" s="57">
        <f>G3654+F3654+E3654*C3654</f>
        <v>16354.8</v>
      </c>
    </row>
    <row r="3655" spans="1:8" x14ac:dyDescent="0.3">
      <c r="A3655" s="57"/>
      <c r="B3655" s="60"/>
      <c r="C3655" s="83"/>
      <c r="D3655" s="83"/>
      <c r="E3655" s="57"/>
      <c r="F3655" s="57"/>
      <c r="G3655" s="57"/>
      <c r="H3655" s="57"/>
    </row>
    <row r="3656" spans="1:8" x14ac:dyDescent="0.3">
      <c r="A3656" s="57"/>
      <c r="B3656" s="60"/>
      <c r="C3656" s="83"/>
      <c r="D3656" s="83"/>
      <c r="E3656" s="57"/>
      <c r="F3656" s="57"/>
      <c r="G3656" s="57"/>
      <c r="H3656" s="57"/>
    </row>
    <row r="3657" spans="1:8" x14ac:dyDescent="0.3">
      <c r="A3657" s="57"/>
      <c r="B3657" s="60"/>
      <c r="C3657" s="83"/>
      <c r="D3657" s="83"/>
      <c r="E3657" s="57"/>
      <c r="F3657" s="57"/>
      <c r="G3657" s="57"/>
      <c r="H3657" s="57"/>
    </row>
    <row r="3658" spans="1:8" x14ac:dyDescent="0.3">
      <c r="A3658" s="57"/>
      <c r="B3658" s="60"/>
      <c r="C3658" s="83"/>
      <c r="D3658" s="83"/>
      <c r="E3658" s="57"/>
      <c r="F3658" s="57"/>
      <c r="G3658" s="57"/>
      <c r="H3658" s="57"/>
    </row>
    <row r="3659" spans="1:8" x14ac:dyDescent="0.3">
      <c r="A3659" s="57"/>
      <c r="B3659" s="60"/>
      <c r="C3659" s="83"/>
      <c r="D3659" s="83"/>
      <c r="E3659" s="57"/>
      <c r="F3659" s="57"/>
      <c r="G3659" s="57"/>
      <c r="H3659" s="57"/>
    </row>
    <row r="3660" spans="1:8" x14ac:dyDescent="0.3">
      <c r="A3660" s="57"/>
      <c r="B3660" s="60"/>
      <c r="C3660" s="83"/>
      <c r="D3660" s="83"/>
      <c r="E3660" s="57"/>
      <c r="F3660" s="57"/>
      <c r="G3660" s="57"/>
      <c r="H3660" s="57"/>
    </row>
    <row r="3661" spans="1:8" x14ac:dyDescent="0.3">
      <c r="A3661" s="57"/>
      <c r="B3661" s="60"/>
      <c r="C3661" s="83"/>
      <c r="D3661" s="83"/>
      <c r="E3661" s="57"/>
      <c r="F3661" s="57"/>
      <c r="G3661" s="57"/>
      <c r="H3661" s="57"/>
    </row>
    <row r="3662" spans="1:8" x14ac:dyDescent="0.3">
      <c r="A3662" s="57"/>
      <c r="B3662" s="60"/>
      <c r="C3662" s="83"/>
      <c r="D3662" s="83"/>
      <c r="E3662" s="57"/>
      <c r="F3662" s="57"/>
      <c r="G3662" s="57"/>
      <c r="H3662" s="57"/>
    </row>
    <row r="3663" spans="1:8" x14ac:dyDescent="0.3">
      <c r="A3663" s="57"/>
      <c r="B3663" s="60"/>
      <c r="C3663" s="83"/>
      <c r="D3663" s="83"/>
      <c r="E3663" s="57"/>
      <c r="F3663" s="57"/>
      <c r="G3663" s="57"/>
      <c r="H3663" s="57"/>
    </row>
    <row r="3664" spans="1:8" x14ac:dyDescent="0.3">
      <c r="A3664" s="57"/>
      <c r="B3664" s="60"/>
      <c r="C3664" s="83"/>
      <c r="D3664" s="83"/>
      <c r="E3664" s="57"/>
      <c r="F3664" s="57"/>
      <c r="G3664" s="57"/>
      <c r="H3664" s="57"/>
    </row>
    <row r="3665" spans="1:8" x14ac:dyDescent="0.3">
      <c r="A3665" s="57"/>
      <c r="B3665" s="60"/>
      <c r="C3665" s="83"/>
      <c r="D3665" s="83"/>
      <c r="E3665" s="57"/>
      <c r="F3665" s="57"/>
      <c r="G3665" s="57"/>
      <c r="H3665" s="57"/>
    </row>
    <row r="3666" spans="1:8" x14ac:dyDescent="0.3">
      <c r="A3666" s="57"/>
      <c r="B3666" s="84"/>
      <c r="C3666" s="85"/>
      <c r="D3666" s="86"/>
      <c r="E3666" s="87"/>
      <c r="F3666" s="47"/>
      <c r="G3666" s="47"/>
      <c r="H3666" s="47"/>
    </row>
    <row r="3667" spans="1:8" x14ac:dyDescent="0.3">
      <c r="A3667" s="178"/>
      <c r="B3667" s="163"/>
      <c r="C3667" s="178"/>
      <c r="D3667" s="178"/>
      <c r="E3667" s="178"/>
      <c r="F3667" s="163"/>
      <c r="G3667" s="163"/>
      <c r="H3667" s="178"/>
    </row>
    <row r="3668" spans="1:8" x14ac:dyDescent="0.3">
      <c r="A3668" s="57"/>
      <c r="B3668" s="84"/>
      <c r="C3668" s="85"/>
      <c r="D3668" s="86"/>
      <c r="E3668" s="87"/>
      <c r="F3668" s="47"/>
      <c r="G3668" s="47"/>
      <c r="H3668" s="47"/>
    </row>
    <row r="3669" spans="1:8" x14ac:dyDescent="0.3">
      <c r="A3669" s="57"/>
      <c r="B3669" s="84"/>
      <c r="C3669" s="85"/>
      <c r="D3669" s="86"/>
      <c r="E3669" s="87"/>
      <c r="F3669" s="47"/>
      <c r="G3669" s="47"/>
      <c r="H3669" s="47"/>
    </row>
    <row r="3670" spans="1:8" x14ac:dyDescent="0.3">
      <c r="A3670" s="57"/>
      <c r="B3670" s="84"/>
      <c r="C3670" s="85"/>
      <c r="D3670" s="86"/>
      <c r="E3670" s="87"/>
      <c r="F3670" s="47"/>
      <c r="G3670" s="47"/>
      <c r="H3670" s="47"/>
    </row>
    <row r="3671" spans="1:8" x14ac:dyDescent="0.3">
      <c r="A3671" s="57"/>
      <c r="B3671" s="84"/>
      <c r="C3671" s="85"/>
      <c r="D3671" s="86"/>
      <c r="E3671" s="87"/>
      <c r="F3671" s="47"/>
      <c r="G3671" s="47"/>
      <c r="H3671" s="47"/>
    </row>
    <row r="3672" spans="1:8" x14ac:dyDescent="0.3">
      <c r="A3672" s="57"/>
      <c r="B3672" s="84"/>
      <c r="C3672" s="85"/>
      <c r="D3672" s="86"/>
      <c r="E3672" s="47"/>
      <c r="F3672" s="47"/>
      <c r="G3672" s="47"/>
      <c r="H3672" s="47"/>
    </row>
    <row r="3673" spans="1:8" x14ac:dyDescent="0.3">
      <c r="A3673" s="55"/>
      <c r="B3673" s="84"/>
      <c r="C3673" s="55"/>
      <c r="D3673" s="86"/>
      <c r="E3673" s="47"/>
      <c r="F3673" s="47"/>
      <c r="G3673" s="47"/>
      <c r="H3673" s="47"/>
    </row>
    <row r="3674" spans="1:8" x14ac:dyDescent="0.3">
      <c r="A3674" s="27"/>
      <c r="B3674" s="28"/>
      <c r="C3674" s="24"/>
      <c r="D3674" s="25"/>
      <c r="E3674" s="25"/>
      <c r="F3674" s="28"/>
      <c r="G3674" s="28"/>
      <c r="H3674" s="32"/>
    </row>
    <row r="3675" spans="1:8" ht="15.6" x14ac:dyDescent="0.3">
      <c r="A3675" s="448" t="s">
        <v>45</v>
      </c>
      <c r="B3675" s="449"/>
      <c r="C3675" s="24"/>
      <c r="D3675" s="25"/>
      <c r="E3675" s="25"/>
      <c r="F3675" s="447" t="s">
        <v>46</v>
      </c>
      <c r="G3675" s="447"/>
      <c r="H3675" s="66">
        <v>13860</v>
      </c>
    </row>
    <row r="3676" spans="1:8" ht="15.6" x14ac:dyDescent="0.3">
      <c r="A3676" s="497" t="s">
        <v>722</v>
      </c>
      <c r="B3676" s="498"/>
      <c r="C3676" s="498"/>
      <c r="D3676" s="498"/>
      <c r="E3676" s="498"/>
      <c r="F3676" s="447" t="s">
        <v>47</v>
      </c>
      <c r="G3676" s="447"/>
      <c r="H3676" s="66">
        <f>H3675*9%</f>
        <v>1247.3999999999999</v>
      </c>
    </row>
    <row r="3677" spans="1:8" ht="15.6" x14ac:dyDescent="0.3">
      <c r="A3677" s="27"/>
      <c r="B3677" s="28"/>
      <c r="C3677" s="24"/>
      <c r="D3677" s="25"/>
      <c r="E3677" s="25"/>
      <c r="F3677" s="447" t="s">
        <v>48</v>
      </c>
      <c r="G3677" s="447"/>
      <c r="H3677" s="66">
        <f>H3676</f>
        <v>1247.3999999999999</v>
      </c>
    </row>
    <row r="3678" spans="1:8" ht="15.6" x14ac:dyDescent="0.3">
      <c r="A3678" s="90" t="s">
        <v>49</v>
      </c>
      <c r="B3678" s="28"/>
      <c r="C3678" s="24"/>
      <c r="D3678" s="25"/>
      <c r="E3678" s="25"/>
      <c r="F3678" s="447" t="s">
        <v>50</v>
      </c>
      <c r="G3678" s="447"/>
      <c r="H3678" s="66">
        <v>16355</v>
      </c>
    </row>
    <row r="3679" spans="1:8" ht="27" x14ac:dyDescent="0.3">
      <c r="A3679" s="68" t="s">
        <v>22</v>
      </c>
      <c r="B3679" s="30" t="s">
        <v>51</v>
      </c>
      <c r="C3679" s="70" t="s">
        <v>24</v>
      </c>
      <c r="D3679" s="31" t="s">
        <v>25</v>
      </c>
      <c r="E3679" s="450" t="s">
        <v>52</v>
      </c>
      <c r="F3679" s="450"/>
      <c r="G3679" s="28"/>
      <c r="H3679" s="32"/>
    </row>
    <row r="3680" spans="1:8" x14ac:dyDescent="0.3">
      <c r="A3680" s="72">
        <v>0.18</v>
      </c>
      <c r="B3680" s="73">
        <f>H3675</f>
        <v>13860</v>
      </c>
      <c r="C3680" s="91">
        <f>H3676</f>
        <v>1247.3999999999999</v>
      </c>
      <c r="D3680" s="91">
        <f>H3676</f>
        <v>1247.3999999999999</v>
      </c>
      <c r="E3680" s="506">
        <f>C3680+D3680</f>
        <v>2494.7999999999997</v>
      </c>
      <c r="F3680" s="507"/>
      <c r="G3680" s="74"/>
      <c r="H3680" s="75"/>
    </row>
    <row r="3681" spans="1:8" x14ac:dyDescent="0.3">
      <c r="A3681" s="508" t="s">
        <v>723</v>
      </c>
      <c r="B3681" s="509"/>
      <c r="C3681" s="509"/>
      <c r="D3681" s="509"/>
      <c r="E3681" s="453"/>
      <c r="F3681" s="453"/>
      <c r="G3681" s="453"/>
      <c r="H3681" s="454"/>
    </row>
    <row r="3682" spans="1:8" ht="15.6" x14ac:dyDescent="0.3">
      <c r="A3682" s="455" t="s">
        <v>53</v>
      </c>
      <c r="B3682" s="456"/>
      <c r="C3682" s="456"/>
      <c r="D3682" s="457"/>
      <c r="E3682" s="458" t="s">
        <v>54</v>
      </c>
      <c r="F3682" s="459"/>
      <c r="G3682" s="459"/>
      <c r="H3682" s="460"/>
    </row>
    <row r="3683" spans="1:8" x14ac:dyDescent="0.3">
      <c r="A3683" s="461" t="s">
        <v>55</v>
      </c>
      <c r="B3683" s="462"/>
      <c r="C3683" s="462"/>
      <c r="D3683" s="463"/>
      <c r="E3683" s="39"/>
      <c r="F3683" s="28"/>
      <c r="G3683" s="28"/>
      <c r="H3683" s="32"/>
    </row>
    <row r="3684" spans="1:8" x14ac:dyDescent="0.3">
      <c r="A3684" s="461" t="s">
        <v>56</v>
      </c>
      <c r="B3684" s="462"/>
      <c r="C3684" s="462"/>
      <c r="D3684" s="463"/>
      <c r="E3684" s="39"/>
      <c r="F3684" s="28"/>
      <c r="G3684" s="28"/>
      <c r="H3684" s="32"/>
    </row>
    <row r="3685" spans="1:8" x14ac:dyDescent="0.3">
      <c r="A3685" s="461" t="s">
        <v>57</v>
      </c>
      <c r="B3685" s="462"/>
      <c r="C3685" s="462"/>
      <c r="D3685" s="463"/>
      <c r="E3685" s="39"/>
      <c r="F3685" s="28"/>
      <c r="G3685" s="28"/>
      <c r="H3685" s="32"/>
    </row>
    <row r="3686" spans="1:8" ht="15.6" x14ac:dyDescent="0.3">
      <c r="A3686" s="464" t="s">
        <v>58</v>
      </c>
      <c r="B3686" s="465"/>
      <c r="C3686" s="465"/>
      <c r="D3686" s="465"/>
      <c r="E3686" s="466" t="s">
        <v>59</v>
      </c>
      <c r="F3686" s="467"/>
      <c r="G3686" s="467"/>
      <c r="H3686" s="468"/>
    </row>
    <row r="3690" spans="1:8" ht="44.4" x14ac:dyDescent="0.7">
      <c r="A3690" s="469" t="s">
        <v>0</v>
      </c>
      <c r="B3690" s="470"/>
      <c r="C3690" s="470"/>
      <c r="D3690" s="470"/>
      <c r="E3690" s="471" t="s">
        <v>92</v>
      </c>
      <c r="F3690" s="471"/>
      <c r="G3690" s="471"/>
      <c r="H3690" s="604"/>
    </row>
    <row r="3691" spans="1:8" ht="20.399999999999999" x14ac:dyDescent="0.35">
      <c r="A3691" s="1"/>
      <c r="B3691" s="535" t="s">
        <v>2</v>
      </c>
      <c r="C3691" s="535"/>
      <c r="D3691" s="535"/>
      <c r="E3691" s="676"/>
      <c r="F3691" s="676"/>
      <c r="G3691" s="676"/>
      <c r="H3691" s="677"/>
    </row>
    <row r="3692" spans="1:8" x14ac:dyDescent="0.3">
      <c r="A3692" s="477" t="s">
        <v>3</v>
      </c>
      <c r="B3692" s="478"/>
      <c r="C3692" s="479" t="s">
        <v>4</v>
      </c>
      <c r="D3692" s="479"/>
      <c r="E3692" s="480" t="s">
        <v>5</v>
      </c>
      <c r="F3692" s="480"/>
      <c r="G3692" s="480"/>
      <c r="H3692" s="480"/>
    </row>
    <row r="3693" spans="1:8" ht="15.6" x14ac:dyDescent="0.3">
      <c r="A3693" s="4" t="s">
        <v>6</v>
      </c>
      <c r="B3693" s="5"/>
      <c r="C3693" s="536" t="s">
        <v>7</v>
      </c>
      <c r="D3693" s="516"/>
      <c r="E3693" s="489">
        <v>81</v>
      </c>
      <c r="F3693" s="491"/>
      <c r="G3693" s="44" t="s">
        <v>8</v>
      </c>
      <c r="H3693" s="122" t="s">
        <v>726</v>
      </c>
    </row>
    <row r="3694" spans="1:8" ht="15.6" x14ac:dyDescent="0.3">
      <c r="A3694" s="121" t="s">
        <v>103</v>
      </c>
      <c r="B3694" s="107"/>
      <c r="C3694" s="536" t="s">
        <v>10</v>
      </c>
      <c r="D3694" s="516"/>
      <c r="E3694" s="489"/>
      <c r="F3694" s="491"/>
      <c r="G3694" s="44" t="s">
        <v>8</v>
      </c>
      <c r="H3694" s="122"/>
    </row>
    <row r="3695" spans="1:8" ht="15" x14ac:dyDescent="0.3">
      <c r="A3695" s="108" t="s">
        <v>104</v>
      </c>
      <c r="B3695" s="106"/>
      <c r="C3695" s="483" t="s">
        <v>12</v>
      </c>
      <c r="D3695" s="484"/>
      <c r="E3695" s="613"/>
      <c r="F3695" s="614"/>
      <c r="G3695" s="48" t="s">
        <v>8</v>
      </c>
      <c r="H3695" s="109"/>
    </row>
    <row r="3696" spans="1:8" ht="15.6" x14ac:dyDescent="0.3">
      <c r="A3696" s="108" t="s">
        <v>105</v>
      </c>
      <c r="B3696" s="106"/>
      <c r="C3696" s="536" t="s">
        <v>15</v>
      </c>
      <c r="D3696" s="516"/>
      <c r="E3696" s="110" t="s">
        <v>106</v>
      </c>
      <c r="F3696" s="111"/>
      <c r="G3696" s="112"/>
      <c r="H3696" s="49"/>
    </row>
    <row r="3697" spans="1:8" ht="15.6" x14ac:dyDescent="0.3">
      <c r="A3697" s="539" t="s">
        <v>107</v>
      </c>
      <c r="B3697" s="540"/>
      <c r="C3697" s="24"/>
      <c r="D3697" s="25"/>
      <c r="E3697" s="50"/>
      <c r="F3697" s="50"/>
      <c r="G3697" s="51"/>
      <c r="H3697" s="52"/>
    </row>
    <row r="3698" spans="1:8" ht="15" x14ac:dyDescent="0.3">
      <c r="A3698" s="493" t="s">
        <v>17</v>
      </c>
      <c r="B3698" s="495" t="s">
        <v>18</v>
      </c>
      <c r="C3698" s="495" t="s">
        <v>19</v>
      </c>
      <c r="D3698" s="495" t="s">
        <v>20</v>
      </c>
      <c r="E3698" s="495" t="s">
        <v>21</v>
      </c>
      <c r="F3698" s="541" t="s">
        <v>22</v>
      </c>
      <c r="G3698" s="542"/>
      <c r="H3698" s="493" t="s">
        <v>23</v>
      </c>
    </row>
    <row r="3699" spans="1:8" ht="27.6" x14ac:dyDescent="0.3">
      <c r="A3699" s="527"/>
      <c r="B3699" s="505"/>
      <c r="C3699" s="505"/>
      <c r="D3699" s="505"/>
      <c r="E3699" s="505"/>
      <c r="F3699" s="53" t="s">
        <v>24</v>
      </c>
      <c r="G3699" s="53" t="s">
        <v>25</v>
      </c>
      <c r="H3699" s="527"/>
    </row>
    <row r="3700" spans="1:8" x14ac:dyDescent="0.3">
      <c r="A3700" s="56">
        <v>1</v>
      </c>
      <c r="B3700" s="113" t="s">
        <v>730</v>
      </c>
      <c r="C3700" s="114">
        <v>1</v>
      </c>
      <c r="D3700" s="17">
        <v>854690</v>
      </c>
      <c r="E3700" s="56">
        <v>3500</v>
      </c>
      <c r="F3700" s="56">
        <f>E3700*C3700*9%</f>
        <v>315</v>
      </c>
      <c r="G3700" s="56">
        <f>F3700</f>
        <v>315</v>
      </c>
      <c r="H3700" s="55">
        <f>G3700+F3700+E3700*C3700</f>
        <v>4130</v>
      </c>
    </row>
    <row r="3701" spans="1:8" x14ac:dyDescent="0.3">
      <c r="A3701" s="56">
        <v>2</v>
      </c>
      <c r="B3701" s="113" t="s">
        <v>727</v>
      </c>
      <c r="C3701" s="114">
        <v>1</v>
      </c>
      <c r="D3701" s="56">
        <v>998719</v>
      </c>
      <c r="E3701" s="56">
        <v>2800</v>
      </c>
      <c r="F3701" s="56">
        <f>E3701*C3701*9%</f>
        <v>252</v>
      </c>
      <c r="G3701" s="56">
        <f>F3701</f>
        <v>252</v>
      </c>
      <c r="H3701" s="55">
        <f>G3701+F3701+E3701*C3701</f>
        <v>3304</v>
      </c>
    </row>
    <row r="3702" spans="1:8" x14ac:dyDescent="0.3">
      <c r="A3702" s="55"/>
      <c r="B3702" s="113"/>
      <c r="C3702" s="55"/>
      <c r="D3702" s="47"/>
      <c r="E3702" s="47"/>
      <c r="F3702" s="56"/>
      <c r="G3702" s="56"/>
      <c r="H3702" s="47"/>
    </row>
    <row r="3703" spans="1:8" x14ac:dyDescent="0.3">
      <c r="A3703" s="55"/>
      <c r="B3703" s="94"/>
      <c r="C3703" s="55"/>
      <c r="D3703" s="47"/>
      <c r="E3703" s="47"/>
      <c r="F3703" s="115"/>
      <c r="G3703" s="115"/>
      <c r="H3703" s="47"/>
    </row>
    <row r="3704" spans="1:8" x14ac:dyDescent="0.3">
      <c r="A3704" s="27"/>
      <c r="B3704" s="28"/>
      <c r="C3704" s="24"/>
      <c r="D3704" s="25"/>
      <c r="E3704" s="25"/>
      <c r="F3704" s="25"/>
      <c r="G3704" s="28"/>
      <c r="H3704" s="32"/>
    </row>
    <row r="3705" spans="1:8" x14ac:dyDescent="0.3">
      <c r="A3705" s="27"/>
      <c r="B3705" s="28"/>
      <c r="C3705" s="24"/>
      <c r="D3705" s="25"/>
      <c r="E3705" s="25"/>
      <c r="F3705" s="25"/>
      <c r="G3705" s="28"/>
      <c r="H3705" s="32"/>
    </row>
    <row r="3706" spans="1:8" x14ac:dyDescent="0.3">
      <c r="A3706" s="27"/>
      <c r="B3706" s="28"/>
      <c r="C3706" s="24"/>
      <c r="D3706" s="25"/>
      <c r="E3706" s="25"/>
      <c r="F3706" s="25"/>
      <c r="G3706" s="28"/>
      <c r="H3706" s="32"/>
    </row>
    <row r="3707" spans="1:8" x14ac:dyDescent="0.3">
      <c r="A3707" s="27"/>
      <c r="B3707" s="28"/>
      <c r="C3707" s="24"/>
      <c r="D3707" s="25"/>
      <c r="E3707" s="25"/>
      <c r="F3707" s="25"/>
      <c r="G3707" s="28"/>
      <c r="H3707" s="32"/>
    </row>
    <row r="3708" spans="1:8" x14ac:dyDescent="0.3">
      <c r="A3708" s="27"/>
      <c r="B3708" s="28"/>
      <c r="C3708" s="24"/>
      <c r="D3708" s="25"/>
      <c r="E3708" s="25"/>
      <c r="F3708" s="25"/>
      <c r="G3708" s="28"/>
      <c r="H3708" s="32"/>
    </row>
    <row r="3709" spans="1:8" x14ac:dyDescent="0.3">
      <c r="A3709" s="27"/>
      <c r="B3709" s="28"/>
      <c r="C3709" s="24"/>
      <c r="D3709" s="25"/>
      <c r="E3709" s="25"/>
      <c r="F3709" s="25"/>
      <c r="G3709" s="28"/>
      <c r="H3709" s="32"/>
    </row>
    <row r="3710" spans="1:8" x14ac:dyDescent="0.3">
      <c r="A3710" s="27"/>
      <c r="B3710" s="28"/>
      <c r="C3710" s="24"/>
      <c r="D3710" s="25"/>
      <c r="E3710" s="25"/>
      <c r="F3710" s="25"/>
      <c r="G3710" s="28"/>
      <c r="H3710" s="32"/>
    </row>
    <row r="3711" spans="1:8" x14ac:dyDescent="0.3">
      <c r="A3711" s="27"/>
      <c r="B3711" s="28"/>
      <c r="C3711" s="24"/>
      <c r="D3711" s="25"/>
      <c r="E3711" s="25"/>
      <c r="F3711" s="25"/>
      <c r="G3711" s="28"/>
      <c r="H3711" s="32"/>
    </row>
    <row r="3712" spans="1:8" x14ac:dyDescent="0.3">
      <c r="A3712" s="27"/>
      <c r="B3712" s="28"/>
      <c r="C3712" s="24"/>
      <c r="D3712" s="25"/>
      <c r="E3712" s="25"/>
      <c r="F3712" s="25"/>
      <c r="G3712" s="28"/>
      <c r="H3712" s="32"/>
    </row>
    <row r="3713" spans="1:8" x14ac:dyDescent="0.3">
      <c r="A3713" s="27"/>
      <c r="B3713" s="28"/>
      <c r="C3713" s="24"/>
      <c r="D3713" s="25"/>
      <c r="E3713" s="25"/>
      <c r="F3713" s="25"/>
      <c r="G3713" s="28"/>
      <c r="H3713" s="32"/>
    </row>
    <row r="3714" spans="1:8" x14ac:dyDescent="0.3">
      <c r="A3714" s="27"/>
      <c r="B3714" s="28"/>
      <c r="C3714" s="24"/>
      <c r="D3714" s="25"/>
      <c r="E3714" s="25"/>
      <c r="F3714" s="25"/>
      <c r="G3714" s="28"/>
      <c r="H3714" s="32"/>
    </row>
    <row r="3715" spans="1:8" x14ac:dyDescent="0.3">
      <c r="A3715" s="27"/>
      <c r="B3715" s="28"/>
      <c r="C3715" s="24"/>
      <c r="D3715" s="25"/>
      <c r="E3715" s="25"/>
      <c r="F3715" s="25"/>
      <c r="G3715" s="28"/>
      <c r="H3715" s="32"/>
    </row>
    <row r="3716" spans="1:8" x14ac:dyDescent="0.3">
      <c r="A3716" s="27"/>
      <c r="B3716" s="28"/>
      <c r="C3716" s="24"/>
      <c r="D3716" s="25"/>
      <c r="E3716" s="25"/>
      <c r="F3716" s="25"/>
      <c r="G3716" s="28"/>
      <c r="H3716" s="32"/>
    </row>
    <row r="3717" spans="1:8" x14ac:dyDescent="0.3">
      <c r="A3717" s="27"/>
      <c r="B3717" s="28"/>
      <c r="C3717" s="24"/>
      <c r="D3717" s="25"/>
      <c r="E3717" s="25"/>
      <c r="F3717" s="25"/>
      <c r="G3717" s="28"/>
      <c r="H3717" s="32"/>
    </row>
    <row r="3718" spans="1:8" x14ac:dyDescent="0.3">
      <c r="A3718" s="27"/>
      <c r="B3718" s="28"/>
      <c r="C3718" s="24"/>
      <c r="D3718" s="25"/>
      <c r="E3718" s="25"/>
      <c r="F3718" s="25"/>
      <c r="G3718" s="28"/>
      <c r="H3718" s="32"/>
    </row>
    <row r="3719" spans="1:8" x14ac:dyDescent="0.3">
      <c r="A3719" s="27"/>
      <c r="B3719" s="28"/>
      <c r="C3719" s="24"/>
      <c r="D3719" s="25"/>
      <c r="E3719" s="25"/>
      <c r="F3719" s="25"/>
      <c r="G3719" s="28"/>
      <c r="H3719" s="32"/>
    </row>
    <row r="3720" spans="1:8" x14ac:dyDescent="0.3">
      <c r="A3720" s="27"/>
      <c r="B3720" s="28"/>
      <c r="C3720" s="24"/>
      <c r="D3720" s="25"/>
      <c r="E3720" s="25"/>
      <c r="F3720" s="25"/>
      <c r="G3720" s="28"/>
      <c r="H3720" s="32"/>
    </row>
    <row r="3721" spans="1:8" x14ac:dyDescent="0.3">
      <c r="A3721" s="27"/>
      <c r="B3721" s="28"/>
      <c r="C3721" s="24"/>
      <c r="D3721" s="25"/>
      <c r="E3721" s="25"/>
      <c r="F3721" s="25"/>
      <c r="G3721" s="28"/>
      <c r="H3721" s="32"/>
    </row>
    <row r="3722" spans="1:8" x14ac:dyDescent="0.3">
      <c r="A3722" s="27"/>
      <c r="B3722" s="28"/>
      <c r="C3722" s="24"/>
      <c r="D3722" s="25"/>
      <c r="E3722" s="25"/>
      <c r="F3722" s="25"/>
      <c r="G3722" s="28"/>
      <c r="H3722" s="32"/>
    </row>
    <row r="3723" spans="1:8" ht="15.6" x14ac:dyDescent="0.3">
      <c r="A3723" s="497" t="s">
        <v>97</v>
      </c>
      <c r="B3723" s="498"/>
      <c r="C3723" s="24"/>
      <c r="D3723" s="25"/>
      <c r="E3723" s="25"/>
      <c r="F3723" s="116" t="s">
        <v>46</v>
      </c>
      <c r="G3723" s="26"/>
      <c r="H3723" s="66">
        <v>6300</v>
      </c>
    </row>
    <row r="3724" spans="1:8" ht="15.6" x14ac:dyDescent="0.3">
      <c r="A3724" s="497" t="s">
        <v>729</v>
      </c>
      <c r="B3724" s="498"/>
      <c r="C3724" s="498"/>
      <c r="D3724" s="498"/>
      <c r="E3724" s="67"/>
      <c r="F3724" s="116" t="s">
        <v>47</v>
      </c>
      <c r="G3724" s="26"/>
      <c r="H3724" s="66">
        <f>H3725</f>
        <v>567</v>
      </c>
    </row>
    <row r="3725" spans="1:8" ht="15.6" x14ac:dyDescent="0.3">
      <c r="A3725" s="27"/>
      <c r="B3725" s="28"/>
      <c r="C3725" s="24"/>
      <c r="D3725" s="25"/>
      <c r="E3725" s="25"/>
      <c r="F3725" s="116" t="s">
        <v>48</v>
      </c>
      <c r="G3725" s="26"/>
      <c r="H3725" s="66">
        <f>H3723*9%</f>
        <v>567</v>
      </c>
    </row>
    <row r="3726" spans="1:8" ht="15.6" x14ac:dyDescent="0.3">
      <c r="A3726" s="497" t="s">
        <v>49</v>
      </c>
      <c r="B3726" s="498"/>
      <c r="C3726" s="498"/>
      <c r="D3726" s="25"/>
      <c r="E3726" s="25"/>
      <c r="F3726" s="116" t="s">
        <v>50</v>
      </c>
      <c r="G3726" s="26"/>
      <c r="H3726" s="66">
        <f>H3723+H3724+H3725</f>
        <v>7434</v>
      </c>
    </row>
    <row r="3727" spans="1:8" ht="27" x14ac:dyDescent="0.3">
      <c r="A3727" s="68" t="s">
        <v>22</v>
      </c>
      <c r="B3727" s="69" t="s">
        <v>51</v>
      </c>
      <c r="C3727" s="70" t="s">
        <v>24</v>
      </c>
      <c r="D3727" s="31" t="s">
        <v>25</v>
      </c>
      <c r="E3727" s="528" t="s">
        <v>52</v>
      </c>
      <c r="F3727" s="528"/>
      <c r="G3727" s="28"/>
      <c r="H3727" s="32"/>
    </row>
    <row r="3728" spans="1:8" x14ac:dyDescent="0.3">
      <c r="A3728" s="72">
        <v>0.18</v>
      </c>
      <c r="B3728" s="73">
        <f>H3723</f>
        <v>6300</v>
      </c>
      <c r="C3728" s="74">
        <f>H3724</f>
        <v>567</v>
      </c>
      <c r="D3728" s="74">
        <f>H3725</f>
        <v>567</v>
      </c>
      <c r="E3728" s="507">
        <f>C3728+D3728</f>
        <v>1134</v>
      </c>
      <c r="F3728" s="507"/>
      <c r="G3728" s="74"/>
      <c r="H3728" s="75"/>
    </row>
    <row r="3729" spans="1:8" x14ac:dyDescent="0.3">
      <c r="A3729" s="452" t="s">
        <v>728</v>
      </c>
      <c r="B3729" s="453"/>
      <c r="C3729" s="453"/>
      <c r="D3729" s="453"/>
      <c r="E3729" s="453"/>
      <c r="F3729" s="78"/>
      <c r="G3729" s="36"/>
      <c r="H3729" s="79"/>
    </row>
    <row r="3730" spans="1:8" ht="15.6" x14ac:dyDescent="0.3">
      <c r="A3730" s="455" t="s">
        <v>53</v>
      </c>
      <c r="B3730" s="456"/>
      <c r="C3730" s="456"/>
      <c r="D3730" s="117"/>
      <c r="E3730" s="118" t="s">
        <v>54</v>
      </c>
      <c r="F3730" s="37"/>
      <c r="G3730" s="37"/>
      <c r="H3730" s="38"/>
    </row>
    <row r="3731" spans="1:8" x14ac:dyDescent="0.3">
      <c r="A3731" s="100" t="s">
        <v>55</v>
      </c>
      <c r="B3731" s="101"/>
      <c r="C3731" s="101"/>
      <c r="D3731" s="102"/>
      <c r="E3731" s="25"/>
      <c r="F3731" s="25"/>
      <c r="G3731" s="28"/>
      <c r="H3731" s="32"/>
    </row>
    <row r="3732" spans="1:8" x14ac:dyDescent="0.3">
      <c r="A3732" s="461" t="s">
        <v>56</v>
      </c>
      <c r="B3732" s="462"/>
      <c r="C3732" s="462"/>
      <c r="D3732" s="463"/>
      <c r="E3732" s="25"/>
      <c r="F3732" s="25"/>
      <c r="G3732" s="28"/>
      <c r="H3732" s="32"/>
    </row>
    <row r="3733" spans="1:8" x14ac:dyDescent="0.3">
      <c r="A3733" s="461" t="s">
        <v>57</v>
      </c>
      <c r="B3733" s="462"/>
      <c r="C3733" s="462"/>
      <c r="D3733" s="463"/>
      <c r="E3733" s="25"/>
      <c r="F3733" s="25"/>
      <c r="G3733" s="28"/>
      <c r="H3733" s="32"/>
    </row>
    <row r="3734" spans="1:8" ht="15.6" x14ac:dyDescent="0.3">
      <c r="A3734" s="464" t="s">
        <v>58</v>
      </c>
      <c r="B3734" s="465"/>
      <c r="C3734" s="465"/>
      <c r="D3734" s="510"/>
      <c r="E3734" s="466" t="s">
        <v>59</v>
      </c>
      <c r="F3734" s="467"/>
      <c r="G3734" s="467"/>
      <c r="H3734" s="468"/>
    </row>
    <row r="3738" spans="1:8" ht="44.4" x14ac:dyDescent="0.7">
      <c r="A3738" s="469" t="s">
        <v>0</v>
      </c>
      <c r="B3738" s="470"/>
      <c r="C3738" s="470"/>
      <c r="D3738" s="470"/>
      <c r="E3738" s="471" t="s">
        <v>92</v>
      </c>
      <c r="F3738" s="471"/>
      <c r="G3738" s="471"/>
      <c r="H3738" s="604"/>
    </row>
    <row r="3739" spans="1:8" ht="20.399999999999999" x14ac:dyDescent="0.35">
      <c r="A3739" s="1"/>
      <c r="B3739" s="535" t="s">
        <v>2</v>
      </c>
      <c r="C3739" s="535"/>
      <c r="D3739" s="535"/>
      <c r="E3739" s="676"/>
      <c r="F3739" s="676"/>
      <c r="G3739" s="676"/>
      <c r="H3739" s="677"/>
    </row>
    <row r="3740" spans="1:8" x14ac:dyDescent="0.3">
      <c r="A3740" s="477" t="s">
        <v>3</v>
      </c>
      <c r="B3740" s="478"/>
      <c r="C3740" s="479" t="s">
        <v>4</v>
      </c>
      <c r="D3740" s="479"/>
      <c r="E3740" s="480" t="s">
        <v>5</v>
      </c>
      <c r="F3740" s="480"/>
      <c r="G3740" s="480"/>
      <c r="H3740" s="480"/>
    </row>
    <row r="3741" spans="1:8" ht="15.6" x14ac:dyDescent="0.3">
      <c r="A3741" s="4" t="s">
        <v>6</v>
      </c>
      <c r="B3741" s="5"/>
      <c r="C3741" s="536" t="s">
        <v>7</v>
      </c>
      <c r="D3741" s="516"/>
      <c r="E3741" s="489">
        <v>82</v>
      </c>
      <c r="F3741" s="491"/>
      <c r="G3741" s="44" t="s">
        <v>8</v>
      </c>
      <c r="H3741" s="122" t="s">
        <v>731</v>
      </c>
    </row>
    <row r="3742" spans="1:8" ht="15.6" x14ac:dyDescent="0.3">
      <c r="A3742" s="121" t="s">
        <v>733</v>
      </c>
      <c r="B3742" s="107"/>
      <c r="C3742" s="536" t="s">
        <v>10</v>
      </c>
      <c r="D3742" s="516"/>
      <c r="E3742" s="489"/>
      <c r="F3742" s="491"/>
      <c r="G3742" s="44" t="s">
        <v>8</v>
      </c>
      <c r="H3742" s="122"/>
    </row>
    <row r="3743" spans="1:8" ht="15" x14ac:dyDescent="0.3">
      <c r="A3743" s="108" t="s">
        <v>734</v>
      </c>
      <c r="B3743" s="106"/>
      <c r="C3743" s="483" t="s">
        <v>12</v>
      </c>
      <c r="D3743" s="484"/>
      <c r="E3743" s="613"/>
      <c r="F3743" s="614"/>
      <c r="G3743" s="48" t="s">
        <v>8</v>
      </c>
      <c r="H3743" s="109"/>
    </row>
    <row r="3744" spans="1:8" ht="15.6" x14ac:dyDescent="0.3">
      <c r="A3744" s="108" t="s">
        <v>735</v>
      </c>
      <c r="B3744" s="106"/>
      <c r="C3744" s="536" t="s">
        <v>15</v>
      </c>
      <c r="D3744" s="516"/>
      <c r="E3744" s="110" t="s">
        <v>732</v>
      </c>
      <c r="F3744" s="111"/>
      <c r="G3744" s="112"/>
      <c r="H3744" s="49"/>
    </row>
    <row r="3745" spans="1:8" ht="15.6" x14ac:dyDescent="0.3">
      <c r="A3745" s="539" t="s">
        <v>182</v>
      </c>
      <c r="B3745" s="540"/>
      <c r="C3745" s="24"/>
      <c r="D3745" s="25"/>
      <c r="E3745" s="50"/>
      <c r="F3745" s="50"/>
      <c r="G3745" s="51"/>
      <c r="H3745" s="52"/>
    </row>
    <row r="3746" spans="1:8" ht="15" x14ac:dyDescent="0.3">
      <c r="A3746" s="493" t="s">
        <v>17</v>
      </c>
      <c r="B3746" s="495" t="s">
        <v>18</v>
      </c>
      <c r="C3746" s="495" t="s">
        <v>19</v>
      </c>
      <c r="D3746" s="495" t="s">
        <v>20</v>
      </c>
      <c r="E3746" s="495" t="s">
        <v>21</v>
      </c>
      <c r="F3746" s="541" t="s">
        <v>22</v>
      </c>
      <c r="G3746" s="542"/>
      <c r="H3746" s="493" t="s">
        <v>23</v>
      </c>
    </row>
    <row r="3747" spans="1:8" ht="27.6" x14ac:dyDescent="0.3">
      <c r="A3747" s="527"/>
      <c r="B3747" s="505"/>
      <c r="C3747" s="505"/>
      <c r="D3747" s="505"/>
      <c r="E3747" s="505"/>
      <c r="F3747" s="53" t="s">
        <v>24</v>
      </c>
      <c r="G3747" s="53" t="s">
        <v>25</v>
      </c>
      <c r="H3747" s="527"/>
    </row>
    <row r="3748" spans="1:8" x14ac:dyDescent="0.3">
      <c r="A3748" s="56">
        <v>1</v>
      </c>
      <c r="B3748" s="113" t="s">
        <v>736</v>
      </c>
      <c r="C3748" s="114">
        <v>1</v>
      </c>
      <c r="D3748" s="17">
        <v>9989719</v>
      </c>
      <c r="E3748" s="56">
        <v>2000</v>
      </c>
      <c r="F3748" s="56">
        <f>E3748*C3748*9%</f>
        <v>180</v>
      </c>
      <c r="G3748" s="56">
        <f>F3748</f>
        <v>180</v>
      </c>
      <c r="H3748" s="55">
        <f>G3748+F3748+E3748*C3748</f>
        <v>2360</v>
      </c>
    </row>
    <row r="3749" spans="1:8" x14ac:dyDescent="0.3">
      <c r="A3749" s="56"/>
      <c r="B3749" s="113"/>
      <c r="C3749" s="114"/>
      <c r="D3749" s="56"/>
      <c r="E3749" s="56"/>
      <c r="F3749" s="56"/>
      <c r="G3749" s="56"/>
      <c r="H3749" s="55"/>
    </row>
    <row r="3750" spans="1:8" x14ac:dyDescent="0.3">
      <c r="A3750" s="55"/>
      <c r="B3750" s="113"/>
      <c r="C3750" s="55"/>
      <c r="D3750" s="47"/>
      <c r="E3750" s="47"/>
      <c r="F3750" s="56"/>
      <c r="G3750" s="56"/>
      <c r="H3750" s="47"/>
    </row>
    <row r="3751" spans="1:8" x14ac:dyDescent="0.3">
      <c r="A3751" s="55"/>
      <c r="B3751" s="94"/>
      <c r="C3751" s="55"/>
      <c r="D3751" s="47"/>
      <c r="E3751" s="47"/>
      <c r="F3751" s="115"/>
      <c r="G3751" s="115"/>
      <c r="H3751" s="47"/>
    </row>
    <row r="3752" spans="1:8" x14ac:dyDescent="0.3">
      <c r="A3752" s="27"/>
      <c r="B3752" s="28"/>
      <c r="C3752" s="24"/>
      <c r="D3752" s="25"/>
      <c r="E3752" s="25"/>
      <c r="F3752" s="25"/>
      <c r="G3752" s="28"/>
      <c r="H3752" s="32"/>
    </row>
    <row r="3753" spans="1:8" x14ac:dyDescent="0.3">
      <c r="A3753" s="27"/>
      <c r="B3753" s="28"/>
      <c r="C3753" s="24"/>
      <c r="D3753" s="25"/>
      <c r="E3753" s="25"/>
      <c r="F3753" s="25"/>
      <c r="G3753" s="28"/>
      <c r="H3753" s="32"/>
    </row>
    <row r="3754" spans="1:8" x14ac:dyDescent="0.3">
      <c r="A3754" s="27"/>
      <c r="B3754" s="28"/>
      <c r="C3754" s="24"/>
      <c r="D3754" s="25"/>
      <c r="E3754" s="25"/>
      <c r="F3754" s="25"/>
      <c r="G3754" s="28"/>
      <c r="H3754" s="32"/>
    </row>
    <row r="3755" spans="1:8" x14ac:dyDescent="0.3">
      <c r="A3755" s="27"/>
      <c r="B3755" s="28"/>
      <c r="C3755" s="24"/>
      <c r="D3755" s="25"/>
      <c r="E3755" s="25"/>
      <c r="F3755" s="25"/>
      <c r="G3755" s="28"/>
      <c r="H3755" s="32"/>
    </row>
    <row r="3756" spans="1:8" x14ac:dyDescent="0.3">
      <c r="A3756" s="27"/>
      <c r="B3756" s="28"/>
      <c r="C3756" s="24"/>
      <c r="D3756" s="25"/>
      <c r="E3756" s="25"/>
      <c r="F3756" s="25"/>
      <c r="G3756" s="28"/>
      <c r="H3756" s="32"/>
    </row>
    <row r="3757" spans="1:8" x14ac:dyDescent="0.3">
      <c r="A3757" s="27"/>
      <c r="B3757" s="28"/>
      <c r="C3757" s="24"/>
      <c r="D3757" s="25"/>
      <c r="E3757" s="25"/>
      <c r="F3757" s="25"/>
      <c r="G3757" s="28"/>
      <c r="H3757" s="32"/>
    </row>
    <row r="3758" spans="1:8" x14ac:dyDescent="0.3">
      <c r="A3758" s="27"/>
      <c r="B3758" s="28"/>
      <c r="C3758" s="24"/>
      <c r="D3758" s="25"/>
      <c r="E3758" s="25"/>
      <c r="F3758" s="25"/>
      <c r="G3758" s="28"/>
      <c r="H3758" s="32"/>
    </row>
    <row r="3759" spans="1:8" x14ac:dyDescent="0.3">
      <c r="A3759" s="27"/>
      <c r="B3759" s="28"/>
      <c r="C3759" s="24"/>
      <c r="D3759" s="25"/>
      <c r="E3759" s="25"/>
      <c r="F3759" s="25"/>
      <c r="G3759" s="28"/>
      <c r="H3759" s="32"/>
    </row>
    <row r="3760" spans="1:8" x14ac:dyDescent="0.3">
      <c r="A3760" s="27"/>
      <c r="B3760" s="28"/>
      <c r="C3760" s="24"/>
      <c r="D3760" s="25"/>
      <c r="E3760" s="25"/>
      <c r="F3760" s="25"/>
      <c r="G3760" s="28"/>
      <c r="H3760" s="32"/>
    </row>
    <row r="3761" spans="1:8" x14ac:dyDescent="0.3">
      <c r="A3761" s="27"/>
      <c r="B3761" s="28"/>
      <c r="C3761" s="24"/>
      <c r="D3761" s="25"/>
      <c r="E3761" s="25"/>
      <c r="F3761" s="25"/>
      <c r="G3761" s="28"/>
      <c r="H3761" s="32"/>
    </row>
    <row r="3762" spans="1:8" x14ac:dyDescent="0.3">
      <c r="A3762" s="27"/>
      <c r="B3762" s="28"/>
      <c r="C3762" s="24"/>
      <c r="D3762" s="25"/>
      <c r="E3762" s="25"/>
      <c r="F3762" s="25"/>
      <c r="G3762" s="28"/>
      <c r="H3762" s="32"/>
    </row>
    <row r="3763" spans="1:8" x14ac:dyDescent="0.3">
      <c r="A3763" s="27"/>
      <c r="B3763" s="28"/>
      <c r="C3763" s="24"/>
      <c r="D3763" s="25"/>
      <c r="E3763" s="25"/>
      <c r="F3763" s="25"/>
      <c r="G3763" s="28"/>
      <c r="H3763" s="32"/>
    </row>
    <row r="3764" spans="1:8" x14ac:dyDescent="0.3">
      <c r="A3764" s="27"/>
      <c r="B3764" s="28"/>
      <c r="C3764" s="24"/>
      <c r="D3764" s="25"/>
      <c r="E3764" s="25"/>
      <c r="F3764" s="25"/>
      <c r="G3764" s="28"/>
      <c r="H3764" s="32"/>
    </row>
    <row r="3765" spans="1:8" x14ac:dyDescent="0.3">
      <c r="A3765" s="27"/>
      <c r="B3765" s="28"/>
      <c r="C3765" s="24"/>
      <c r="D3765" s="25"/>
      <c r="E3765" s="25"/>
      <c r="F3765" s="25"/>
      <c r="G3765" s="28"/>
      <c r="H3765" s="32"/>
    </row>
    <row r="3766" spans="1:8" x14ac:dyDescent="0.3">
      <c r="A3766" s="27"/>
      <c r="B3766" s="28"/>
      <c r="C3766" s="24"/>
      <c r="D3766" s="25"/>
      <c r="E3766" s="25"/>
      <c r="F3766" s="25"/>
      <c r="G3766" s="28"/>
      <c r="H3766" s="32"/>
    </row>
    <row r="3767" spans="1:8" x14ac:dyDescent="0.3">
      <c r="A3767" s="27"/>
      <c r="B3767" s="28"/>
      <c r="C3767" s="24"/>
      <c r="D3767" s="25"/>
      <c r="E3767" s="25"/>
      <c r="F3767" s="25"/>
      <c r="G3767" s="28"/>
      <c r="H3767" s="32"/>
    </row>
    <row r="3768" spans="1:8" x14ac:dyDescent="0.3">
      <c r="A3768" s="27"/>
      <c r="B3768" s="28"/>
      <c r="C3768" s="24"/>
      <c r="D3768" s="25"/>
      <c r="E3768" s="25"/>
      <c r="F3768" s="25"/>
      <c r="G3768" s="28"/>
      <c r="H3768" s="32"/>
    </row>
    <row r="3769" spans="1:8" x14ac:dyDescent="0.3">
      <c r="A3769" s="27"/>
      <c r="B3769" s="28"/>
      <c r="C3769" s="24"/>
      <c r="D3769" s="25"/>
      <c r="E3769" s="25"/>
      <c r="F3769" s="25"/>
      <c r="G3769" s="28"/>
      <c r="H3769" s="32"/>
    </row>
    <row r="3770" spans="1:8" x14ac:dyDescent="0.3">
      <c r="A3770" s="27"/>
      <c r="B3770" s="28"/>
      <c r="C3770" s="24"/>
      <c r="D3770" s="25"/>
      <c r="E3770" s="25"/>
      <c r="F3770" s="25"/>
      <c r="G3770" s="28"/>
      <c r="H3770" s="32"/>
    </row>
    <row r="3771" spans="1:8" ht="15.6" x14ac:dyDescent="0.3">
      <c r="A3771" s="497" t="s">
        <v>97</v>
      </c>
      <c r="B3771" s="498"/>
      <c r="C3771" s="24"/>
      <c r="D3771" s="25"/>
      <c r="E3771" s="25"/>
      <c r="F3771" s="116" t="s">
        <v>46</v>
      </c>
      <c r="G3771" s="26"/>
      <c r="H3771" s="66">
        <v>2000</v>
      </c>
    </row>
    <row r="3772" spans="1:8" ht="15.6" x14ac:dyDescent="0.3">
      <c r="A3772" s="497" t="s">
        <v>737</v>
      </c>
      <c r="B3772" s="498"/>
      <c r="C3772" s="498"/>
      <c r="D3772" s="498"/>
      <c r="E3772" s="67"/>
      <c r="F3772" s="116" t="s">
        <v>47</v>
      </c>
      <c r="G3772" s="26"/>
      <c r="H3772" s="66">
        <f>H3773</f>
        <v>180</v>
      </c>
    </row>
    <row r="3773" spans="1:8" ht="15.6" x14ac:dyDescent="0.3">
      <c r="A3773" s="27"/>
      <c r="B3773" s="28"/>
      <c r="C3773" s="24"/>
      <c r="D3773" s="25"/>
      <c r="E3773" s="25"/>
      <c r="F3773" s="116" t="s">
        <v>48</v>
      </c>
      <c r="G3773" s="26"/>
      <c r="H3773" s="66">
        <f>H3771*9%</f>
        <v>180</v>
      </c>
    </row>
    <row r="3774" spans="1:8" ht="15.6" x14ac:dyDescent="0.3">
      <c r="A3774" s="497" t="s">
        <v>49</v>
      </c>
      <c r="B3774" s="498"/>
      <c r="C3774" s="498"/>
      <c r="D3774" s="25"/>
      <c r="E3774" s="25"/>
      <c r="F3774" s="116" t="s">
        <v>50</v>
      </c>
      <c r="G3774" s="26"/>
      <c r="H3774" s="66">
        <f>H3771+H3772+H3773</f>
        <v>2360</v>
      </c>
    </row>
    <row r="3775" spans="1:8" ht="27" x14ac:dyDescent="0.3">
      <c r="A3775" s="68" t="s">
        <v>22</v>
      </c>
      <c r="B3775" s="69" t="s">
        <v>51</v>
      </c>
      <c r="C3775" s="70" t="s">
        <v>24</v>
      </c>
      <c r="D3775" s="31" t="s">
        <v>25</v>
      </c>
      <c r="E3775" s="528" t="s">
        <v>52</v>
      </c>
      <c r="F3775" s="528"/>
      <c r="G3775" s="28"/>
      <c r="H3775" s="32"/>
    </row>
    <row r="3776" spans="1:8" x14ac:dyDescent="0.3">
      <c r="A3776" s="72">
        <v>0.18</v>
      </c>
      <c r="B3776" s="73">
        <f>H3771</f>
        <v>2000</v>
      </c>
      <c r="C3776" s="74">
        <f>H3772</f>
        <v>180</v>
      </c>
      <c r="D3776" s="74">
        <f>H3773</f>
        <v>180</v>
      </c>
      <c r="E3776" s="507">
        <f>C3776+D3776</f>
        <v>360</v>
      </c>
      <c r="F3776" s="507"/>
      <c r="G3776" s="74"/>
      <c r="H3776" s="75"/>
    </row>
    <row r="3777" spans="1:11" x14ac:dyDescent="0.3">
      <c r="A3777" s="452" t="s">
        <v>738</v>
      </c>
      <c r="B3777" s="453"/>
      <c r="C3777" s="453"/>
      <c r="D3777" s="453"/>
      <c r="E3777" s="453"/>
      <c r="F3777" s="78"/>
      <c r="G3777" s="36"/>
      <c r="H3777" s="79"/>
    </row>
    <row r="3778" spans="1:11" ht="15.6" x14ac:dyDescent="0.3">
      <c r="A3778" s="455" t="s">
        <v>53</v>
      </c>
      <c r="B3778" s="456"/>
      <c r="C3778" s="456"/>
      <c r="D3778" s="117"/>
      <c r="E3778" s="118" t="s">
        <v>54</v>
      </c>
      <c r="F3778" s="37"/>
      <c r="G3778" s="37"/>
      <c r="H3778" s="38"/>
    </row>
    <row r="3779" spans="1:11" x14ac:dyDescent="0.3">
      <c r="A3779" s="100" t="s">
        <v>55</v>
      </c>
      <c r="B3779" s="101"/>
      <c r="C3779" s="101"/>
      <c r="D3779" s="102"/>
      <c r="E3779" s="25"/>
      <c r="F3779" s="25"/>
      <c r="G3779" s="28"/>
      <c r="H3779" s="32"/>
    </row>
    <row r="3780" spans="1:11" x14ac:dyDescent="0.3">
      <c r="A3780" s="461" t="s">
        <v>56</v>
      </c>
      <c r="B3780" s="462"/>
      <c r="C3780" s="462"/>
      <c r="D3780" s="463"/>
      <c r="E3780" s="25"/>
      <c r="F3780" s="25"/>
      <c r="G3780" s="28"/>
      <c r="H3780" s="32"/>
    </row>
    <row r="3781" spans="1:11" x14ac:dyDescent="0.3">
      <c r="A3781" s="461" t="s">
        <v>57</v>
      </c>
      <c r="B3781" s="462"/>
      <c r="C3781" s="462"/>
      <c r="D3781" s="463"/>
      <c r="E3781" s="25"/>
      <c r="F3781" s="25"/>
      <c r="G3781" s="28"/>
      <c r="H3781" s="32"/>
    </row>
    <row r="3782" spans="1:11" ht="15.6" x14ac:dyDescent="0.3">
      <c r="A3782" s="464" t="s">
        <v>58</v>
      </c>
      <c r="B3782" s="465"/>
      <c r="C3782" s="465"/>
      <c r="D3782" s="510"/>
      <c r="E3782" s="466" t="s">
        <v>59</v>
      </c>
      <c r="F3782" s="467"/>
      <c r="G3782" s="467"/>
      <c r="H3782" s="468"/>
    </row>
    <row r="3785" spans="1:11" ht="44.4" x14ac:dyDescent="0.7">
      <c r="A3785" s="469" t="s">
        <v>0</v>
      </c>
      <c r="B3785" s="470"/>
      <c r="C3785" s="470"/>
      <c r="D3785" s="470"/>
      <c r="E3785" s="471" t="s">
        <v>1</v>
      </c>
      <c r="F3785" s="472"/>
      <c r="G3785" s="472"/>
      <c r="H3785" s="473"/>
    </row>
    <row r="3786" spans="1:11" ht="20.399999999999999" x14ac:dyDescent="0.35">
      <c r="A3786" s="1"/>
      <c r="B3786" s="535" t="s">
        <v>2</v>
      </c>
      <c r="C3786" s="535"/>
      <c r="D3786" s="535"/>
      <c r="E3786" s="474"/>
      <c r="F3786" s="474"/>
      <c r="G3786" s="474"/>
      <c r="H3786" s="475"/>
    </row>
    <row r="3787" spans="1:11" ht="15" thickBot="1" x14ac:dyDescent="0.35">
      <c r="A3787" s="477" t="s">
        <v>3</v>
      </c>
      <c r="B3787" s="478"/>
      <c r="C3787" s="136"/>
      <c r="D3787" s="499" t="s">
        <v>4</v>
      </c>
      <c r="E3787" s="499"/>
      <c r="F3787" s="137"/>
      <c r="G3787" s="137" t="s">
        <v>134</v>
      </c>
      <c r="H3787" s="120"/>
      <c r="J3787" s="624"/>
      <c r="K3787" s="625"/>
    </row>
    <row r="3788" spans="1:11" ht="15.6" x14ac:dyDescent="0.3">
      <c r="A3788" s="138" t="s">
        <v>6</v>
      </c>
      <c r="B3788" s="5"/>
      <c r="C3788" s="536" t="s">
        <v>7</v>
      </c>
      <c r="D3788" s="516"/>
      <c r="E3788" s="489">
        <v>83</v>
      </c>
      <c r="F3788" s="491"/>
      <c r="G3788" s="7" t="s">
        <v>8</v>
      </c>
      <c r="H3788" s="9" t="s">
        <v>739</v>
      </c>
    </row>
    <row r="3789" spans="1:11" ht="16.2" thickBot="1" x14ac:dyDescent="0.35">
      <c r="A3789" s="241" t="s">
        <v>275</v>
      </c>
      <c r="B3789" s="242"/>
      <c r="C3789" s="536" t="s">
        <v>276</v>
      </c>
      <c r="D3789" s="516"/>
      <c r="E3789" s="624">
        <v>4300569801</v>
      </c>
      <c r="F3789" s="625"/>
      <c r="G3789" s="7"/>
      <c r="H3789" s="178"/>
    </row>
    <row r="3790" spans="1:11" ht="15.6" x14ac:dyDescent="0.3">
      <c r="A3790" s="626" t="s">
        <v>277</v>
      </c>
      <c r="B3790" s="627"/>
      <c r="C3790" s="628" t="s">
        <v>265</v>
      </c>
      <c r="D3790" s="484"/>
      <c r="E3790" s="489" t="s">
        <v>266</v>
      </c>
      <c r="F3790" s="491"/>
      <c r="G3790" s="10"/>
      <c r="H3790" s="82"/>
    </row>
    <row r="3791" spans="1:11" ht="15.6" x14ac:dyDescent="0.3">
      <c r="A3791" s="629" t="s">
        <v>278</v>
      </c>
      <c r="B3791" s="630"/>
      <c r="C3791" s="536" t="s">
        <v>15</v>
      </c>
      <c r="D3791" s="516"/>
      <c r="E3791" s="631" t="s">
        <v>279</v>
      </c>
      <c r="F3791" s="632"/>
      <c r="G3791" s="633"/>
      <c r="H3791" s="126"/>
    </row>
    <row r="3792" spans="1:11" ht="15.6" x14ac:dyDescent="0.3">
      <c r="A3792" s="558"/>
      <c r="B3792" s="559"/>
      <c r="C3792" s="489"/>
      <c r="D3792" s="490"/>
      <c r="E3792" s="490"/>
      <c r="F3792" s="490"/>
      <c r="G3792" s="490"/>
      <c r="H3792" s="491"/>
    </row>
    <row r="3793" spans="1:8" ht="15" x14ac:dyDescent="0.3">
      <c r="A3793" s="493" t="s">
        <v>17</v>
      </c>
      <c r="B3793" s="495" t="s">
        <v>18</v>
      </c>
      <c r="C3793" s="495" t="s">
        <v>19</v>
      </c>
      <c r="D3793" s="495" t="s">
        <v>20</v>
      </c>
      <c r="E3793" s="495" t="s">
        <v>21</v>
      </c>
      <c r="F3793" s="541" t="s">
        <v>22</v>
      </c>
      <c r="G3793" s="542"/>
      <c r="H3793" s="493" t="s">
        <v>23</v>
      </c>
    </row>
    <row r="3794" spans="1:8" ht="27.6" x14ac:dyDescent="0.3">
      <c r="A3794" s="527"/>
      <c r="B3794" s="505"/>
      <c r="C3794" s="505"/>
      <c r="D3794" s="505"/>
      <c r="E3794" s="505"/>
      <c r="F3794" s="53" t="s">
        <v>24</v>
      </c>
      <c r="G3794" s="53" t="s">
        <v>25</v>
      </c>
      <c r="H3794" s="527"/>
    </row>
    <row r="3795" spans="1:8" x14ac:dyDescent="0.3">
      <c r="A3795" s="15">
        <v>1</v>
      </c>
      <c r="B3795" s="190" t="s">
        <v>740</v>
      </c>
      <c r="C3795" s="191">
        <v>1</v>
      </c>
      <c r="D3795" s="192">
        <v>998715</v>
      </c>
      <c r="E3795" s="192">
        <v>1040</v>
      </c>
      <c r="F3795" s="193">
        <f>E3795*C3795*9%</f>
        <v>93.6</v>
      </c>
      <c r="G3795" s="58">
        <f>F3795</f>
        <v>93.6</v>
      </c>
      <c r="H3795" s="59">
        <f>G3795+F3795+E3795</f>
        <v>1227.2</v>
      </c>
    </row>
    <row r="3796" spans="1:8" x14ac:dyDescent="0.3">
      <c r="A3796" s="20"/>
      <c r="B3796" s="60"/>
      <c r="C3796" s="55"/>
      <c r="D3796" s="55"/>
      <c r="E3796" s="55"/>
      <c r="F3796" s="93"/>
      <c r="G3796" s="93"/>
      <c r="H3796" s="62"/>
    </row>
    <row r="3797" spans="1:8" x14ac:dyDescent="0.3">
      <c r="A3797" s="20"/>
      <c r="B3797" s="60"/>
      <c r="C3797" s="55"/>
      <c r="D3797" s="55"/>
      <c r="E3797" s="55"/>
      <c r="F3797" s="93"/>
      <c r="G3797" s="93"/>
      <c r="H3797" s="62"/>
    </row>
    <row r="3798" spans="1:8" x14ac:dyDescent="0.3">
      <c r="A3798" s="20"/>
      <c r="B3798" s="63"/>
      <c r="C3798" s="129"/>
      <c r="D3798" s="55"/>
      <c r="E3798" s="55"/>
      <c r="F3798" s="93"/>
      <c r="G3798" s="93"/>
      <c r="H3798" s="62"/>
    </row>
    <row r="3799" spans="1:8" x14ac:dyDescent="0.3">
      <c r="A3799" s="20"/>
      <c r="B3799" s="63"/>
      <c r="C3799" s="129"/>
      <c r="D3799" s="55"/>
      <c r="E3799" s="55"/>
      <c r="F3799" s="93"/>
      <c r="G3799" s="93"/>
      <c r="H3799" s="62"/>
    </row>
    <row r="3800" spans="1:8" x14ac:dyDescent="0.3">
      <c r="A3800" s="20"/>
      <c r="B3800" s="130"/>
      <c r="C3800" s="129"/>
      <c r="D3800" s="55"/>
      <c r="E3800" s="55"/>
      <c r="F3800" s="93"/>
      <c r="G3800" s="93"/>
      <c r="H3800" s="62"/>
    </row>
    <row r="3801" spans="1:8" x14ac:dyDescent="0.3">
      <c r="A3801" s="20"/>
      <c r="B3801" s="63"/>
      <c r="C3801" s="129"/>
      <c r="D3801" s="55"/>
      <c r="E3801" s="55"/>
      <c r="F3801" s="93"/>
      <c r="G3801" s="93"/>
      <c r="H3801" s="62"/>
    </row>
    <row r="3802" spans="1:8" x14ac:dyDescent="0.3">
      <c r="A3802" s="20"/>
      <c r="B3802" s="63"/>
      <c r="C3802" s="55"/>
      <c r="D3802" s="55"/>
      <c r="E3802" s="55"/>
      <c r="F3802" s="93"/>
      <c r="G3802" s="93"/>
      <c r="H3802" s="62"/>
    </row>
    <row r="3803" spans="1:8" x14ac:dyDescent="0.3">
      <c r="A3803" s="27"/>
      <c r="B3803" s="28"/>
      <c r="C3803" s="24"/>
      <c r="D3803" s="25"/>
      <c r="E3803" s="25"/>
      <c r="F3803" s="28"/>
      <c r="G3803" s="28"/>
      <c r="H3803" s="32"/>
    </row>
    <row r="3804" spans="1:8" x14ac:dyDescent="0.3">
      <c r="A3804" s="618" t="s">
        <v>267</v>
      </c>
      <c r="B3804" s="619"/>
      <c r="C3804" s="618" t="s">
        <v>268</v>
      </c>
      <c r="D3804" s="620"/>
      <c r="E3804" s="619"/>
      <c r="F3804" s="28"/>
      <c r="G3804" s="28"/>
      <c r="H3804" s="32"/>
    </row>
    <row r="3805" spans="1:8" x14ac:dyDescent="0.3">
      <c r="A3805" s="178" t="s">
        <v>269</v>
      </c>
      <c r="B3805" s="163"/>
      <c r="C3805" s="621">
        <v>10142001000604</v>
      </c>
      <c r="D3805" s="622"/>
      <c r="E3805" s="623"/>
      <c r="F3805" s="28"/>
      <c r="G3805" s="28"/>
      <c r="H3805" s="32"/>
    </row>
    <row r="3806" spans="1:8" x14ac:dyDescent="0.3">
      <c r="A3806" s="178" t="s">
        <v>270</v>
      </c>
      <c r="B3806" s="163"/>
      <c r="C3806" s="618" t="s">
        <v>271</v>
      </c>
      <c r="D3806" s="620"/>
      <c r="E3806" s="619"/>
      <c r="F3806" s="28"/>
      <c r="G3806" s="28"/>
      <c r="H3806" s="32"/>
    </row>
    <row r="3807" spans="1:8" x14ac:dyDescent="0.3">
      <c r="A3807" s="618" t="s">
        <v>272</v>
      </c>
      <c r="B3807" s="619"/>
      <c r="C3807" s="618" t="s">
        <v>273</v>
      </c>
      <c r="D3807" s="620"/>
      <c r="E3807" s="619"/>
      <c r="F3807" s="28"/>
      <c r="G3807" s="28"/>
      <c r="H3807" s="32"/>
    </row>
    <row r="3808" spans="1:8" x14ac:dyDescent="0.3">
      <c r="A3808" s="27"/>
      <c r="B3808" s="28"/>
      <c r="C3808" s="24"/>
      <c r="D3808" s="25"/>
      <c r="E3808" s="25"/>
      <c r="F3808" s="28"/>
      <c r="G3808" s="28"/>
      <c r="H3808" s="32"/>
    </row>
    <row r="3809" spans="1:8" x14ac:dyDescent="0.3">
      <c r="A3809" s="27"/>
      <c r="B3809" s="28"/>
      <c r="C3809" s="24"/>
      <c r="D3809" s="25"/>
      <c r="E3809" s="25"/>
      <c r="F3809" s="28"/>
      <c r="G3809" s="28"/>
      <c r="H3809" s="32"/>
    </row>
    <row r="3810" spans="1:8" x14ac:dyDescent="0.3">
      <c r="A3810" s="27"/>
      <c r="B3810" s="28"/>
      <c r="C3810" s="24"/>
      <c r="D3810" s="25"/>
      <c r="E3810" s="25"/>
      <c r="F3810" s="28"/>
      <c r="G3810" s="28"/>
      <c r="H3810" s="32"/>
    </row>
    <row r="3811" spans="1:8" ht="15.6" x14ac:dyDescent="0.3">
      <c r="A3811" s="448" t="s">
        <v>45</v>
      </c>
      <c r="B3811" s="449"/>
      <c r="C3811" s="24"/>
      <c r="D3811" s="25"/>
      <c r="E3811" s="25"/>
      <c r="F3811" s="447" t="s">
        <v>46</v>
      </c>
      <c r="G3811" s="447"/>
      <c r="H3811" s="66">
        <v>1040</v>
      </c>
    </row>
    <row r="3812" spans="1:8" ht="15.6" x14ac:dyDescent="0.3">
      <c r="A3812" s="497" t="s">
        <v>281</v>
      </c>
      <c r="B3812" s="498"/>
      <c r="C3812" s="498"/>
      <c r="D3812" s="498"/>
      <c r="E3812" s="498"/>
      <c r="F3812" s="447" t="s">
        <v>47</v>
      </c>
      <c r="G3812" s="447"/>
      <c r="H3812" s="66">
        <v>94</v>
      </c>
    </row>
    <row r="3813" spans="1:8" ht="15.6" x14ac:dyDescent="0.3">
      <c r="A3813" s="27"/>
      <c r="B3813" s="28"/>
      <c r="C3813" s="24"/>
      <c r="D3813" s="25"/>
      <c r="E3813" s="25"/>
      <c r="F3813" s="447" t="s">
        <v>48</v>
      </c>
      <c r="G3813" s="447"/>
      <c r="H3813" s="66">
        <v>94</v>
      </c>
    </row>
    <row r="3814" spans="1:8" ht="15.6" x14ac:dyDescent="0.3">
      <c r="A3814" s="90" t="s">
        <v>49</v>
      </c>
      <c r="B3814" s="28"/>
      <c r="C3814" s="24"/>
      <c r="D3814" s="25"/>
      <c r="E3814" s="25"/>
      <c r="F3814" s="447" t="s">
        <v>50</v>
      </c>
      <c r="G3814" s="447"/>
      <c r="H3814" s="66">
        <v>1227</v>
      </c>
    </row>
    <row r="3815" spans="1:8" ht="27" x14ac:dyDescent="0.3">
      <c r="A3815" s="68" t="s">
        <v>22</v>
      </c>
      <c r="B3815" s="30" t="s">
        <v>51</v>
      </c>
      <c r="C3815" s="70" t="s">
        <v>24</v>
      </c>
      <c r="D3815" s="31" t="s">
        <v>25</v>
      </c>
      <c r="E3815" s="543" t="s">
        <v>52</v>
      </c>
      <c r="F3815" s="543"/>
      <c r="G3815" s="28"/>
      <c r="H3815" s="32"/>
    </row>
    <row r="3816" spans="1:8" x14ac:dyDescent="0.3">
      <c r="A3816" s="72">
        <v>0.18</v>
      </c>
      <c r="B3816" s="73">
        <f>H3811</f>
        <v>1040</v>
      </c>
      <c r="C3816" s="74">
        <f>H3812</f>
        <v>94</v>
      </c>
      <c r="D3816" s="74">
        <f>H3812</f>
        <v>94</v>
      </c>
      <c r="E3816" s="507">
        <f>C3816+D3816</f>
        <v>188</v>
      </c>
      <c r="F3816" s="507"/>
      <c r="G3816" s="74"/>
      <c r="H3816" s="75"/>
    </row>
    <row r="3817" spans="1:8" x14ac:dyDescent="0.3">
      <c r="A3817" s="508" t="s">
        <v>282</v>
      </c>
      <c r="B3817" s="509"/>
      <c r="C3817" s="509"/>
      <c r="D3817" s="509"/>
      <c r="E3817" s="453"/>
      <c r="F3817" s="453"/>
      <c r="G3817" s="453"/>
      <c r="H3817" s="454"/>
    </row>
    <row r="3818" spans="1:8" ht="15.6" x14ac:dyDescent="0.3">
      <c r="A3818" s="455" t="s">
        <v>53</v>
      </c>
      <c r="B3818" s="456"/>
      <c r="C3818" s="456"/>
      <c r="D3818" s="457"/>
      <c r="E3818" s="458" t="s">
        <v>54</v>
      </c>
      <c r="F3818" s="459"/>
      <c r="G3818" s="459"/>
      <c r="H3818" s="460"/>
    </row>
    <row r="3819" spans="1:8" x14ac:dyDescent="0.3">
      <c r="A3819" s="461" t="s">
        <v>55</v>
      </c>
      <c r="B3819" s="462"/>
      <c r="C3819" s="462"/>
      <c r="D3819" s="463"/>
      <c r="E3819" s="39"/>
      <c r="F3819" s="28"/>
      <c r="G3819" s="28"/>
      <c r="H3819" s="32"/>
    </row>
    <row r="3820" spans="1:8" x14ac:dyDescent="0.3">
      <c r="A3820" s="461" t="s">
        <v>56</v>
      </c>
      <c r="B3820" s="462"/>
      <c r="C3820" s="462"/>
      <c r="D3820" s="463"/>
      <c r="E3820" s="39"/>
      <c r="F3820" s="28"/>
      <c r="G3820" s="28"/>
      <c r="H3820" s="32"/>
    </row>
    <row r="3821" spans="1:8" x14ac:dyDescent="0.3">
      <c r="A3821" s="461" t="s">
        <v>57</v>
      </c>
      <c r="B3821" s="462"/>
      <c r="C3821" s="462"/>
      <c r="D3821" s="463"/>
      <c r="E3821" s="39"/>
      <c r="F3821" s="28"/>
      <c r="G3821" s="28"/>
      <c r="H3821" s="32"/>
    </row>
    <row r="3822" spans="1:8" ht="15.6" x14ac:dyDescent="0.3">
      <c r="A3822" s="464" t="s">
        <v>58</v>
      </c>
      <c r="B3822" s="465"/>
      <c r="C3822" s="465"/>
      <c r="D3822" s="465"/>
      <c r="E3822" s="466" t="s">
        <v>59</v>
      </c>
      <c r="F3822" s="467"/>
      <c r="G3822" s="467"/>
      <c r="H3822" s="468"/>
    </row>
    <row r="3825" spans="1:9" ht="44.4" x14ac:dyDescent="0.7">
      <c r="A3825" s="469" t="s">
        <v>0</v>
      </c>
      <c r="B3825" s="470"/>
      <c r="C3825" s="470"/>
      <c r="D3825" s="470"/>
      <c r="E3825" s="471" t="s">
        <v>1</v>
      </c>
      <c r="F3825" s="472"/>
      <c r="G3825" s="472"/>
      <c r="H3825" s="473"/>
    </row>
    <row r="3826" spans="1:9" ht="20.399999999999999" x14ac:dyDescent="0.35">
      <c r="A3826" s="1"/>
      <c r="B3826" s="476" t="s">
        <v>2</v>
      </c>
      <c r="C3826" s="476"/>
      <c r="D3826" s="476"/>
      <c r="E3826" s="474"/>
      <c r="F3826" s="474"/>
      <c r="G3826" s="474"/>
      <c r="H3826" s="475"/>
    </row>
    <row r="3827" spans="1:9" x14ac:dyDescent="0.3">
      <c r="A3827" s="477" t="s">
        <v>3</v>
      </c>
      <c r="B3827" s="478"/>
      <c r="C3827" s="479" t="s">
        <v>4</v>
      </c>
      <c r="D3827" s="479"/>
      <c r="E3827" s="480" t="s">
        <v>5</v>
      </c>
      <c r="F3827" s="480"/>
      <c r="G3827" s="480"/>
      <c r="H3827" s="480"/>
    </row>
    <row r="3828" spans="1:9" ht="15.6" x14ac:dyDescent="0.3">
      <c r="A3828" s="138" t="s">
        <v>6</v>
      </c>
      <c r="B3828" s="5"/>
      <c r="C3828" s="512" t="s">
        <v>7</v>
      </c>
      <c r="D3828" s="513"/>
      <c r="E3828" s="482">
        <v>84</v>
      </c>
      <c r="F3828" s="482"/>
      <c r="G3828" s="7" t="s">
        <v>8</v>
      </c>
      <c r="H3828" s="9">
        <v>45846</v>
      </c>
    </row>
    <row r="3829" spans="1:9" ht="15.6" x14ac:dyDescent="0.3">
      <c r="A3829" s="671" t="s">
        <v>400</v>
      </c>
      <c r="B3829" s="672"/>
      <c r="C3829" s="516" t="s">
        <v>10</v>
      </c>
      <c r="D3829" s="481"/>
      <c r="E3829" s="482"/>
      <c r="F3829" s="482"/>
      <c r="G3829" s="7" t="s">
        <v>8</v>
      </c>
      <c r="H3829" s="9"/>
    </row>
    <row r="3830" spans="1:9" ht="16.5" customHeight="1" x14ac:dyDescent="0.3">
      <c r="A3830" s="517" t="s">
        <v>807</v>
      </c>
      <c r="B3830" s="518"/>
      <c r="C3830" s="484" t="s">
        <v>12</v>
      </c>
      <c r="D3830" s="519"/>
      <c r="E3830" s="520"/>
      <c r="F3830" s="520"/>
      <c r="G3830" s="10" t="s">
        <v>8</v>
      </c>
      <c r="H3830" s="11"/>
    </row>
    <row r="3831" spans="1:9" ht="15.6" x14ac:dyDescent="0.3">
      <c r="A3831" s="517" t="s">
        <v>808</v>
      </c>
      <c r="B3831" s="518"/>
      <c r="C3831" s="521" t="s">
        <v>15</v>
      </c>
      <c r="D3831" s="522"/>
      <c r="E3831" s="523" t="s">
        <v>404</v>
      </c>
      <c r="F3831" s="524"/>
      <c r="G3831" s="524"/>
      <c r="H3831" s="6"/>
    </row>
    <row r="3832" spans="1:9" ht="15.6" x14ac:dyDescent="0.3">
      <c r="A3832" s="180" t="s">
        <v>13</v>
      </c>
      <c r="B3832" s="13" t="s">
        <v>403</v>
      </c>
      <c r="C3832" s="230"/>
      <c r="D3832" s="231"/>
      <c r="E3832" s="232"/>
      <c r="F3832" s="233"/>
      <c r="G3832" s="233"/>
      <c r="H3832" s="231"/>
    </row>
    <row r="3833" spans="1:9" ht="15" x14ac:dyDescent="0.3">
      <c r="A3833" s="527" t="s">
        <v>17</v>
      </c>
      <c r="B3833" s="505" t="s">
        <v>18</v>
      </c>
      <c r="C3833" s="494" t="s">
        <v>19</v>
      </c>
      <c r="D3833" s="494" t="s">
        <v>20</v>
      </c>
      <c r="E3833" s="494" t="s">
        <v>21</v>
      </c>
      <c r="F3833" s="494" t="s">
        <v>22</v>
      </c>
      <c r="G3833" s="494"/>
      <c r="H3833" s="492" t="s">
        <v>23</v>
      </c>
    </row>
    <row r="3834" spans="1:9" ht="27.6" x14ac:dyDescent="0.3">
      <c r="A3834" s="492"/>
      <c r="B3834" s="494"/>
      <c r="C3834" s="494"/>
      <c r="D3834" s="494"/>
      <c r="E3834" s="494"/>
      <c r="F3834" s="53" t="s">
        <v>24</v>
      </c>
      <c r="G3834" s="53" t="s">
        <v>25</v>
      </c>
      <c r="H3834" s="492"/>
    </row>
    <row r="3835" spans="1:9" x14ac:dyDescent="0.3">
      <c r="A3835" s="57">
        <v>1</v>
      </c>
      <c r="B3835" s="60" t="s">
        <v>741</v>
      </c>
      <c r="C3835" s="57">
        <v>90</v>
      </c>
      <c r="D3835" s="56">
        <v>998719</v>
      </c>
      <c r="E3835" s="57">
        <v>110</v>
      </c>
      <c r="F3835" s="58">
        <f>E3835*C3835*9%</f>
        <v>891</v>
      </c>
      <c r="G3835" s="58">
        <f>F3835</f>
        <v>891</v>
      </c>
      <c r="H3835" s="59">
        <f>G3835+F3835+E3835*C3835</f>
        <v>11682</v>
      </c>
      <c r="I3835" s="362">
        <f>E3835*C3835</f>
        <v>9900</v>
      </c>
    </row>
    <row r="3836" spans="1:9" x14ac:dyDescent="0.3">
      <c r="A3836" s="57">
        <v>2</v>
      </c>
      <c r="B3836" s="60" t="s">
        <v>742</v>
      </c>
      <c r="C3836" s="57">
        <v>6</v>
      </c>
      <c r="D3836" s="56">
        <v>998719</v>
      </c>
      <c r="E3836" s="185">
        <v>450</v>
      </c>
      <c r="F3836" s="58">
        <f>E3836*C3836*9%</f>
        <v>243</v>
      </c>
      <c r="G3836" s="58">
        <f>F3836</f>
        <v>243</v>
      </c>
      <c r="H3836" s="59">
        <f>G3836+F3836+E3836*C3836</f>
        <v>3186</v>
      </c>
      <c r="I3836" s="362">
        <f>E3836*C3836</f>
        <v>2700</v>
      </c>
    </row>
    <row r="3837" spans="1:9" x14ac:dyDescent="0.3">
      <c r="A3837" s="57">
        <v>3</v>
      </c>
      <c r="B3837" s="237" t="s">
        <v>743</v>
      </c>
      <c r="C3837" s="188">
        <v>2</v>
      </c>
      <c r="D3837" s="56">
        <v>998719</v>
      </c>
      <c r="E3837" s="57">
        <v>3500</v>
      </c>
      <c r="F3837" s="58">
        <f>E3837*C3837*9%</f>
        <v>630</v>
      </c>
      <c r="G3837" s="58">
        <f>F3837</f>
        <v>630</v>
      </c>
      <c r="H3837" s="59">
        <f>G3837+F3837+E3837*C3837</f>
        <v>8260</v>
      </c>
      <c r="I3837" s="362">
        <f>E3837*C3837</f>
        <v>7000</v>
      </c>
    </row>
    <row r="3838" spans="1:9" x14ac:dyDescent="0.3">
      <c r="A3838" s="57">
        <v>4</v>
      </c>
      <c r="B3838" s="238" t="s">
        <v>744</v>
      </c>
      <c r="C3838" s="57">
        <v>1</v>
      </c>
      <c r="D3838" s="56">
        <v>998719</v>
      </c>
      <c r="E3838" s="57">
        <v>2500</v>
      </c>
      <c r="F3838" s="58">
        <f>E3838*C3838*9%</f>
        <v>225</v>
      </c>
      <c r="G3838" s="58">
        <f>F3838</f>
        <v>225</v>
      </c>
      <c r="H3838" s="59">
        <f>G3838+F3838+E3838*C3838</f>
        <v>2950</v>
      </c>
      <c r="I3838" s="362">
        <f>E3838*C3838</f>
        <v>2500</v>
      </c>
    </row>
    <row r="3839" spans="1:9" x14ac:dyDescent="0.3">
      <c r="A3839" s="57"/>
      <c r="B3839" s="238"/>
      <c r="C3839" s="57"/>
      <c r="D3839" s="56"/>
      <c r="E3839" s="57"/>
      <c r="F3839" s="58"/>
      <c r="G3839" s="58"/>
      <c r="H3839" s="59"/>
    </row>
    <row r="3840" spans="1:9" x14ac:dyDescent="0.3">
      <c r="A3840" s="57"/>
      <c r="B3840" s="60"/>
      <c r="C3840" s="239"/>
      <c r="D3840" s="56"/>
      <c r="E3840" s="57"/>
      <c r="F3840" s="58"/>
      <c r="G3840" s="58"/>
      <c r="H3840" s="59"/>
    </row>
    <row r="3841" spans="1:8" x14ac:dyDescent="0.3">
      <c r="A3841" s="173"/>
      <c r="B3841" s="174"/>
      <c r="C3841" s="175"/>
      <c r="D3841" s="152"/>
      <c r="E3841" s="175"/>
      <c r="F3841" s="165"/>
      <c r="G3841" s="165"/>
      <c r="H3841" s="166"/>
    </row>
    <row r="3842" spans="1:8" x14ac:dyDescent="0.3">
      <c r="A3842" s="173"/>
      <c r="B3842" s="174"/>
      <c r="C3842" s="175"/>
      <c r="D3842" s="152"/>
      <c r="E3842" s="175"/>
      <c r="F3842" s="165"/>
      <c r="G3842" s="165"/>
      <c r="H3842" s="166"/>
    </row>
    <row r="3843" spans="1:8" x14ac:dyDescent="0.3">
      <c r="A3843" s="173"/>
      <c r="B3843" s="174"/>
      <c r="C3843" s="175"/>
      <c r="D3843" s="152"/>
      <c r="E3843" s="175"/>
      <c r="F3843" s="165"/>
      <c r="G3843" s="165"/>
      <c r="H3843" s="166"/>
    </row>
    <row r="3844" spans="1:8" x14ac:dyDescent="0.3">
      <c r="A3844" s="173"/>
      <c r="B3844" s="174"/>
      <c r="C3844" s="175"/>
      <c r="D3844" s="152"/>
      <c r="E3844" s="175"/>
      <c r="F3844" s="165"/>
      <c r="G3844" s="165"/>
      <c r="H3844" s="166"/>
    </row>
    <row r="3845" spans="1:8" x14ac:dyDescent="0.3">
      <c r="A3845" s="173"/>
      <c r="B3845" s="174"/>
      <c r="C3845" s="175"/>
      <c r="D3845" s="152"/>
      <c r="E3845" s="175"/>
      <c r="F3845" s="165"/>
      <c r="G3845" s="165"/>
      <c r="H3845" s="166"/>
    </row>
    <row r="3846" spans="1:8" x14ac:dyDescent="0.3">
      <c r="A3846" s="173"/>
      <c r="B3846" s="174"/>
      <c r="C3846" s="175"/>
      <c r="D3846" s="152"/>
      <c r="E3846" s="175"/>
      <c r="F3846" s="165"/>
      <c r="G3846" s="165"/>
      <c r="H3846" s="166"/>
    </row>
    <row r="3847" spans="1:8" x14ac:dyDescent="0.3">
      <c r="A3847" s="173"/>
      <c r="B3847" s="174"/>
      <c r="C3847" s="175"/>
      <c r="D3847" s="152"/>
      <c r="E3847" s="175"/>
      <c r="F3847" s="165"/>
      <c r="G3847" s="165"/>
      <c r="H3847" s="166"/>
    </row>
    <row r="3848" spans="1:8" x14ac:dyDescent="0.3">
      <c r="A3848" s="173"/>
      <c r="B3848" s="174"/>
      <c r="C3848" s="175"/>
      <c r="D3848" s="152"/>
      <c r="E3848" s="175"/>
      <c r="F3848" s="165"/>
      <c r="G3848" s="165"/>
      <c r="H3848" s="166"/>
    </row>
    <row r="3849" spans="1:8" x14ac:dyDescent="0.3">
      <c r="A3849" s="173"/>
      <c r="B3849" s="174"/>
      <c r="C3849" s="175"/>
      <c r="D3849" s="152"/>
      <c r="E3849" s="175"/>
      <c r="F3849" s="165"/>
      <c r="G3849" s="165"/>
      <c r="H3849" s="166"/>
    </row>
    <row r="3850" spans="1:8" x14ac:dyDescent="0.3">
      <c r="A3850" s="173"/>
      <c r="B3850" s="174"/>
      <c r="C3850" s="175"/>
      <c r="D3850" s="152"/>
      <c r="E3850" s="175"/>
      <c r="F3850" s="165"/>
      <c r="G3850" s="165"/>
      <c r="H3850" s="166"/>
    </row>
    <row r="3851" spans="1:8" x14ac:dyDescent="0.3">
      <c r="A3851" s="173"/>
      <c r="B3851" s="174"/>
      <c r="C3851" s="175"/>
      <c r="D3851" s="152"/>
      <c r="E3851" s="175"/>
      <c r="F3851" s="165"/>
      <c r="G3851" s="165"/>
      <c r="H3851" s="166"/>
    </row>
    <row r="3852" spans="1:8" x14ac:dyDescent="0.3">
      <c r="A3852" s="27"/>
      <c r="B3852" s="174"/>
      <c r="C3852" s="24"/>
      <c r="D3852" s="152"/>
      <c r="E3852" s="175"/>
      <c r="F3852" s="175"/>
      <c r="G3852" s="162"/>
      <c r="H3852" s="154"/>
    </row>
    <row r="3853" spans="1:8" x14ac:dyDescent="0.3">
      <c r="A3853" s="27"/>
      <c r="B3853" s="174"/>
      <c r="C3853" s="24"/>
      <c r="D3853" s="152"/>
      <c r="E3853" s="25"/>
      <c r="F3853" s="175"/>
      <c r="G3853" s="162"/>
      <c r="H3853" s="154"/>
    </row>
    <row r="3854" spans="1:8" x14ac:dyDescent="0.3">
      <c r="A3854" s="27"/>
      <c r="B3854" s="28"/>
      <c r="C3854" s="24"/>
      <c r="D3854" s="152"/>
      <c r="E3854" s="25"/>
      <c r="F3854" s="175"/>
      <c r="G3854" s="162"/>
      <c r="H3854" s="154"/>
    </row>
    <row r="3855" spans="1:8" x14ac:dyDescent="0.3">
      <c r="A3855" s="27"/>
      <c r="B3855" s="28"/>
      <c r="C3855" s="24"/>
      <c r="D3855" s="25"/>
      <c r="E3855" s="25"/>
      <c r="F3855" s="25"/>
      <c r="G3855" s="28"/>
      <c r="H3855" s="32"/>
    </row>
    <row r="3856" spans="1:8" ht="15.6" x14ac:dyDescent="0.3">
      <c r="A3856" s="448" t="s">
        <v>45</v>
      </c>
      <c r="B3856" s="449"/>
      <c r="C3856" s="24"/>
      <c r="D3856" s="25"/>
      <c r="E3856" s="25"/>
      <c r="F3856" s="447" t="s">
        <v>46</v>
      </c>
      <c r="G3856" s="447"/>
      <c r="H3856" s="66">
        <v>22100</v>
      </c>
    </row>
    <row r="3857" spans="1:8" ht="15.6" x14ac:dyDescent="0.3">
      <c r="A3857" s="497" t="s">
        <v>745</v>
      </c>
      <c r="B3857" s="498"/>
      <c r="C3857" s="498"/>
      <c r="D3857" s="498"/>
      <c r="E3857" s="498"/>
      <c r="F3857" s="447" t="s">
        <v>47</v>
      </c>
      <c r="G3857" s="447"/>
      <c r="H3857" s="66">
        <f>H3856*9%</f>
        <v>1989</v>
      </c>
    </row>
    <row r="3858" spans="1:8" ht="15.6" x14ac:dyDescent="0.3">
      <c r="A3858" s="27"/>
      <c r="B3858" s="28"/>
      <c r="C3858" s="24"/>
      <c r="D3858" s="25"/>
      <c r="E3858" s="25"/>
      <c r="F3858" s="447" t="s">
        <v>48</v>
      </c>
      <c r="G3858" s="447"/>
      <c r="H3858" s="66">
        <f>H3857</f>
        <v>1989</v>
      </c>
    </row>
    <row r="3859" spans="1:8" ht="15.6" x14ac:dyDescent="0.3">
      <c r="A3859" s="448" t="s">
        <v>49</v>
      </c>
      <c r="B3859" s="449"/>
      <c r="C3859" s="24"/>
      <c r="D3859" s="25"/>
      <c r="E3859" s="25"/>
      <c r="F3859" s="447" t="s">
        <v>50</v>
      </c>
      <c r="G3859" s="447"/>
      <c r="H3859" s="66">
        <f>H3856+H3857+H3858</f>
        <v>26078</v>
      </c>
    </row>
    <row r="3860" spans="1:8" ht="15.6" x14ac:dyDescent="0.3">
      <c r="A3860" s="90"/>
      <c r="B3860" s="177"/>
      <c r="C3860" s="24"/>
      <c r="D3860" s="25"/>
      <c r="E3860" s="25"/>
      <c r="F3860" s="26"/>
      <c r="G3860" s="26"/>
      <c r="H3860" s="66"/>
    </row>
    <row r="3861" spans="1:8" ht="27" x14ac:dyDescent="0.3">
      <c r="A3861" s="29" t="s">
        <v>22</v>
      </c>
      <c r="B3861" s="30" t="s">
        <v>51</v>
      </c>
      <c r="C3861" s="31" t="s">
        <v>24</v>
      </c>
      <c r="D3861" s="31" t="s">
        <v>25</v>
      </c>
      <c r="E3861" s="528" t="s">
        <v>52</v>
      </c>
      <c r="F3861" s="528"/>
      <c r="G3861" s="28"/>
      <c r="H3861" s="32"/>
    </row>
    <row r="3862" spans="1:8" x14ac:dyDescent="0.3">
      <c r="A3862" s="33">
        <v>0.18</v>
      </c>
      <c r="B3862" s="34">
        <f>H3856</f>
        <v>22100</v>
      </c>
      <c r="C3862" s="240">
        <f>H3857</f>
        <v>1989</v>
      </c>
      <c r="D3862" s="240">
        <f>H3858</f>
        <v>1989</v>
      </c>
      <c r="E3862" s="529">
        <f>C3862+D3862</f>
        <v>3978</v>
      </c>
      <c r="F3862" s="530"/>
      <c r="G3862" s="28"/>
      <c r="H3862" s="32"/>
    </row>
    <row r="3863" spans="1:8" x14ac:dyDescent="0.3">
      <c r="A3863" s="452" t="s">
        <v>746</v>
      </c>
      <c r="B3863" s="453"/>
      <c r="C3863" s="453"/>
      <c r="D3863" s="453"/>
      <c r="E3863" s="453"/>
      <c r="F3863" s="453"/>
      <c r="G3863" s="453"/>
      <c r="H3863" s="454"/>
    </row>
    <row r="3864" spans="1:8" ht="15.6" x14ac:dyDescent="0.3">
      <c r="A3864" s="455" t="s">
        <v>53</v>
      </c>
      <c r="B3864" s="456"/>
      <c r="C3864" s="456"/>
      <c r="D3864" s="457"/>
      <c r="E3864" s="458" t="s">
        <v>54</v>
      </c>
      <c r="F3864" s="459"/>
      <c r="G3864" s="459"/>
      <c r="H3864" s="460"/>
    </row>
    <row r="3865" spans="1:8" x14ac:dyDescent="0.3">
      <c r="A3865" s="461" t="s">
        <v>55</v>
      </c>
      <c r="B3865" s="462"/>
      <c r="C3865" s="462"/>
      <c r="D3865" s="463"/>
      <c r="E3865" s="39"/>
      <c r="F3865" s="25"/>
      <c r="G3865" s="28"/>
      <c r="H3865" s="32"/>
    </row>
    <row r="3866" spans="1:8" x14ac:dyDescent="0.3">
      <c r="A3866" s="461" t="s">
        <v>56</v>
      </c>
      <c r="B3866" s="462"/>
      <c r="C3866" s="462"/>
      <c r="D3866" s="463"/>
      <c r="E3866" s="39"/>
      <c r="F3866" s="25"/>
      <c r="G3866" s="28"/>
      <c r="H3866" s="32"/>
    </row>
    <row r="3867" spans="1:8" x14ac:dyDescent="0.3">
      <c r="A3867" s="461" t="s">
        <v>57</v>
      </c>
      <c r="B3867" s="462"/>
      <c r="C3867" s="462"/>
      <c r="D3867" s="463"/>
      <c r="E3867" s="39"/>
      <c r="F3867" s="25"/>
      <c r="G3867" s="28"/>
      <c r="H3867" s="32"/>
    </row>
    <row r="3868" spans="1:8" ht="15.6" x14ac:dyDescent="0.3">
      <c r="A3868" s="464" t="s">
        <v>58</v>
      </c>
      <c r="B3868" s="465"/>
      <c r="C3868" s="465"/>
      <c r="D3868" s="510"/>
      <c r="E3868" s="466" t="s">
        <v>59</v>
      </c>
      <c r="F3868" s="467"/>
      <c r="G3868" s="467"/>
      <c r="H3868" s="468"/>
    </row>
    <row r="3869" spans="1:8" ht="15.6" x14ac:dyDescent="0.3">
      <c r="A3869" s="104"/>
      <c r="B3869" s="104"/>
      <c r="C3869" s="104"/>
      <c r="D3869" s="104"/>
      <c r="E3869" s="105"/>
      <c r="F3869" s="105"/>
      <c r="G3869" s="105"/>
      <c r="H3869" s="105"/>
    </row>
    <row r="3870" spans="1:8" ht="15.6" x14ac:dyDescent="0.3">
      <c r="A3870" s="104"/>
      <c r="B3870" s="104"/>
      <c r="C3870" s="104"/>
      <c r="D3870" s="104"/>
      <c r="E3870" s="105"/>
      <c r="F3870" s="105"/>
      <c r="G3870" s="105"/>
      <c r="H3870" s="105"/>
    </row>
    <row r="3871" spans="1:8" ht="15.6" x14ac:dyDescent="0.3">
      <c r="A3871" s="104"/>
      <c r="B3871" s="104"/>
      <c r="C3871" s="104"/>
      <c r="D3871" s="104"/>
      <c r="E3871" s="105"/>
      <c r="F3871" s="105"/>
      <c r="G3871" s="105"/>
      <c r="H3871" s="105"/>
    </row>
    <row r="3872" spans="1:8" ht="15.6" x14ac:dyDescent="0.3">
      <c r="A3872" s="104"/>
      <c r="B3872" s="104"/>
      <c r="C3872" s="104"/>
      <c r="D3872" s="104"/>
      <c r="E3872" s="105"/>
      <c r="F3872" s="105"/>
      <c r="G3872" s="105"/>
      <c r="H3872" s="105"/>
    </row>
    <row r="3873" spans="1:9" ht="15.6" x14ac:dyDescent="0.3">
      <c r="A3873" s="104"/>
      <c r="B3873" s="104"/>
      <c r="C3873" s="104"/>
      <c r="D3873" s="104"/>
      <c r="E3873" s="105"/>
      <c r="F3873" s="105"/>
      <c r="G3873" s="105"/>
      <c r="H3873" s="105"/>
    </row>
    <row r="3877" spans="1:9" ht="44.4" x14ac:dyDescent="0.7">
      <c r="A3877" s="469" t="s">
        <v>0</v>
      </c>
      <c r="B3877" s="470"/>
      <c r="C3877" s="470"/>
      <c r="D3877" s="470"/>
      <c r="E3877" s="471" t="s">
        <v>1</v>
      </c>
      <c r="F3877" s="472"/>
      <c r="G3877" s="472"/>
      <c r="H3877" s="473"/>
    </row>
    <row r="3878" spans="1:9" ht="20.399999999999999" x14ac:dyDescent="0.35">
      <c r="A3878" s="1"/>
      <c r="B3878" s="476" t="s">
        <v>2</v>
      </c>
      <c r="C3878" s="476"/>
      <c r="D3878" s="476"/>
      <c r="E3878" s="474"/>
      <c r="F3878" s="474"/>
      <c r="G3878" s="474"/>
      <c r="H3878" s="475"/>
    </row>
    <row r="3879" spans="1:9" x14ac:dyDescent="0.3">
      <c r="A3879" s="477" t="s">
        <v>3</v>
      </c>
      <c r="B3879" s="478"/>
      <c r="C3879" s="479" t="s">
        <v>4</v>
      </c>
      <c r="D3879" s="479"/>
      <c r="E3879" s="480" t="s">
        <v>5</v>
      </c>
      <c r="F3879" s="480"/>
      <c r="G3879" s="480"/>
      <c r="H3879" s="480"/>
    </row>
    <row r="3880" spans="1:9" ht="15.6" x14ac:dyDescent="0.3">
      <c r="A3880" s="138" t="s">
        <v>6</v>
      </c>
      <c r="B3880" s="5"/>
      <c r="C3880" s="512" t="s">
        <v>7</v>
      </c>
      <c r="D3880" s="513"/>
      <c r="E3880" s="482">
        <v>85</v>
      </c>
      <c r="F3880" s="482"/>
      <c r="G3880" s="7" t="s">
        <v>8</v>
      </c>
      <c r="H3880" s="9">
        <v>45846</v>
      </c>
    </row>
    <row r="3881" spans="1:9" ht="15.6" x14ac:dyDescent="0.3">
      <c r="A3881" s="514" t="s">
        <v>747</v>
      </c>
      <c r="B3881" s="515"/>
      <c r="C3881" s="516" t="s">
        <v>10</v>
      </c>
      <c r="D3881" s="481"/>
      <c r="E3881" s="482"/>
      <c r="F3881" s="482"/>
      <c r="G3881" s="7" t="s">
        <v>8</v>
      </c>
      <c r="H3881" s="9"/>
    </row>
    <row r="3882" spans="1:9" ht="15" x14ac:dyDescent="0.3">
      <c r="A3882" s="517" t="s">
        <v>748</v>
      </c>
      <c r="B3882" s="518"/>
      <c r="C3882" s="484" t="s">
        <v>12</v>
      </c>
      <c r="D3882" s="519"/>
      <c r="E3882" s="520" t="s">
        <v>750</v>
      </c>
      <c r="F3882" s="520"/>
      <c r="G3882" s="10" t="s">
        <v>8</v>
      </c>
      <c r="H3882" s="298">
        <v>45998</v>
      </c>
    </row>
    <row r="3883" spans="1:9" ht="15.6" x14ac:dyDescent="0.3">
      <c r="A3883" s="517" t="s">
        <v>153</v>
      </c>
      <c r="B3883" s="518"/>
      <c r="C3883" s="521" t="s">
        <v>15</v>
      </c>
      <c r="D3883" s="522"/>
      <c r="E3883" s="523" t="s">
        <v>437</v>
      </c>
      <c r="F3883" s="524"/>
      <c r="G3883" s="524"/>
      <c r="H3883" s="6"/>
    </row>
    <row r="3884" spans="1:9" ht="15.6" x14ac:dyDescent="0.3">
      <c r="A3884" s="180" t="s">
        <v>13</v>
      </c>
      <c r="B3884" s="13" t="s">
        <v>749</v>
      </c>
      <c r="C3884" s="230"/>
      <c r="D3884" s="231"/>
      <c r="E3884" s="232"/>
      <c r="F3884" s="233"/>
      <c r="G3884" s="233"/>
      <c r="H3884" s="231"/>
    </row>
    <row r="3885" spans="1:9" ht="15" x14ac:dyDescent="0.3">
      <c r="A3885" s="527" t="s">
        <v>17</v>
      </c>
      <c r="B3885" s="505" t="s">
        <v>18</v>
      </c>
      <c r="C3885" s="494" t="s">
        <v>19</v>
      </c>
      <c r="D3885" s="494" t="s">
        <v>20</v>
      </c>
      <c r="E3885" s="494" t="s">
        <v>21</v>
      </c>
      <c r="F3885" s="494" t="s">
        <v>22</v>
      </c>
      <c r="G3885" s="494"/>
      <c r="H3885" s="492" t="s">
        <v>23</v>
      </c>
    </row>
    <row r="3886" spans="1:9" ht="27.6" x14ac:dyDescent="0.3">
      <c r="A3886" s="492"/>
      <c r="B3886" s="494"/>
      <c r="C3886" s="494"/>
      <c r="D3886" s="494"/>
      <c r="E3886" s="494"/>
      <c r="F3886" s="53" t="s">
        <v>24</v>
      </c>
      <c r="G3886" s="53" t="s">
        <v>25</v>
      </c>
      <c r="H3886" s="492"/>
    </row>
    <row r="3887" spans="1:9" x14ac:dyDescent="0.3">
      <c r="A3887" s="57">
        <v>1</v>
      </c>
      <c r="B3887" s="60" t="s">
        <v>751</v>
      </c>
      <c r="C3887" s="57">
        <v>2</v>
      </c>
      <c r="D3887" s="56">
        <v>998719</v>
      </c>
      <c r="E3887" s="57">
        <v>2275</v>
      </c>
      <c r="F3887" s="58">
        <f>E3887*C3887*9%</f>
        <v>409.5</v>
      </c>
      <c r="G3887" s="58">
        <f>F3887</f>
        <v>409.5</v>
      </c>
      <c r="H3887" s="59">
        <f>G3887+F3887+E3887*C3887</f>
        <v>5369</v>
      </c>
      <c r="I3887" s="362">
        <f>E3887*C3887</f>
        <v>4550</v>
      </c>
    </row>
    <row r="3888" spans="1:9" ht="16.5" customHeight="1" x14ac:dyDescent="0.3">
      <c r="A3888" s="57">
        <v>2</v>
      </c>
      <c r="B3888" s="60" t="s">
        <v>752</v>
      </c>
      <c r="C3888" s="57">
        <v>1</v>
      </c>
      <c r="D3888" s="56">
        <v>998719</v>
      </c>
      <c r="E3888" s="185">
        <v>5902</v>
      </c>
      <c r="F3888" s="58">
        <f>E3888*C3888*9%</f>
        <v>531.17999999999995</v>
      </c>
      <c r="G3888" s="58">
        <f>F3888</f>
        <v>531.17999999999995</v>
      </c>
      <c r="H3888" s="59">
        <f>G3888+F3888+E3888*C3888</f>
        <v>6964.36</v>
      </c>
      <c r="I3888" s="362">
        <f>E3888*C3888</f>
        <v>5902</v>
      </c>
    </row>
    <row r="3889" spans="1:9" x14ac:dyDescent="0.3">
      <c r="A3889" s="57">
        <v>3</v>
      </c>
      <c r="B3889" s="237" t="s">
        <v>224</v>
      </c>
      <c r="C3889" s="188">
        <v>4</v>
      </c>
      <c r="D3889" s="56">
        <v>998719</v>
      </c>
      <c r="E3889" s="57">
        <v>637</v>
      </c>
      <c r="F3889" s="58">
        <f>E3889*C3889*9%</f>
        <v>229.32</v>
      </c>
      <c r="G3889" s="58">
        <f>F3889</f>
        <v>229.32</v>
      </c>
      <c r="H3889" s="59">
        <f>G3889+F3889+E3889*C3889</f>
        <v>3006.64</v>
      </c>
      <c r="I3889" s="362">
        <f>E3889*C3889</f>
        <v>2548</v>
      </c>
    </row>
    <row r="3890" spans="1:9" x14ac:dyDescent="0.3">
      <c r="A3890" s="57">
        <v>4</v>
      </c>
      <c r="B3890" s="238" t="s">
        <v>753</v>
      </c>
      <c r="C3890" s="57">
        <v>1</v>
      </c>
      <c r="D3890" s="56">
        <v>998719</v>
      </c>
      <c r="E3890" s="57">
        <v>14000</v>
      </c>
      <c r="F3890" s="58">
        <f>E3890*C3890*9%</f>
        <v>1260</v>
      </c>
      <c r="G3890" s="58">
        <f>F3890</f>
        <v>1260</v>
      </c>
      <c r="H3890" s="59">
        <f>G3890+F3890+E3890*C3890</f>
        <v>16520</v>
      </c>
      <c r="I3890" s="362">
        <f>E3890*C3890</f>
        <v>14000</v>
      </c>
    </row>
    <row r="3891" spans="1:9" x14ac:dyDescent="0.3">
      <c r="A3891" s="57"/>
      <c r="B3891" s="238"/>
      <c r="C3891" s="57"/>
      <c r="D3891" s="56"/>
      <c r="E3891" s="57"/>
      <c r="F3891" s="58"/>
      <c r="G3891" s="58"/>
      <c r="H3891" s="59"/>
    </row>
    <row r="3892" spans="1:9" x14ac:dyDescent="0.3">
      <c r="A3892" s="57"/>
      <c r="B3892" s="60"/>
      <c r="C3892" s="239"/>
      <c r="D3892" s="56"/>
      <c r="E3892" s="57"/>
      <c r="F3892" s="58"/>
      <c r="G3892" s="58"/>
      <c r="H3892" s="59"/>
    </row>
    <row r="3893" spans="1:9" x14ac:dyDescent="0.3">
      <c r="A3893" s="173"/>
      <c r="B3893" s="174"/>
      <c r="C3893" s="175"/>
      <c r="D3893" s="152"/>
      <c r="E3893" s="175"/>
      <c r="F3893" s="165"/>
      <c r="G3893" s="165"/>
      <c r="H3893" s="166"/>
    </row>
    <row r="3894" spans="1:9" x14ac:dyDescent="0.3">
      <c r="A3894" s="173"/>
      <c r="B3894" s="174"/>
      <c r="C3894" s="175"/>
      <c r="D3894" s="152"/>
      <c r="E3894" s="175"/>
      <c r="F3894" s="165"/>
      <c r="G3894" s="165"/>
      <c r="H3894" s="166"/>
    </row>
    <row r="3895" spans="1:9" x14ac:dyDescent="0.3">
      <c r="A3895" s="173"/>
      <c r="B3895" s="174"/>
      <c r="C3895" s="175"/>
      <c r="D3895" s="152"/>
      <c r="E3895" s="175"/>
      <c r="F3895" s="165"/>
      <c r="G3895" s="165"/>
      <c r="H3895" s="166"/>
    </row>
    <row r="3896" spans="1:9" x14ac:dyDescent="0.3">
      <c r="A3896" s="173"/>
      <c r="B3896" s="174"/>
      <c r="C3896" s="175"/>
      <c r="D3896" s="152"/>
      <c r="E3896" s="175"/>
      <c r="F3896" s="165"/>
      <c r="G3896" s="165"/>
      <c r="H3896" s="166"/>
    </row>
    <row r="3897" spans="1:9" x14ac:dyDescent="0.3">
      <c r="A3897" s="173"/>
      <c r="B3897" s="174"/>
      <c r="C3897" s="175"/>
      <c r="D3897" s="152"/>
      <c r="E3897" s="175"/>
      <c r="F3897" s="165"/>
      <c r="G3897" s="165"/>
      <c r="H3897" s="166"/>
    </row>
    <row r="3898" spans="1:9" x14ac:dyDescent="0.3">
      <c r="A3898" s="173"/>
      <c r="B3898" s="174"/>
      <c r="C3898" s="175"/>
      <c r="D3898" s="152"/>
      <c r="E3898" s="175"/>
      <c r="F3898" s="165"/>
      <c r="G3898" s="165"/>
      <c r="H3898" s="166"/>
    </row>
    <row r="3899" spans="1:9" x14ac:dyDescent="0.3">
      <c r="A3899" s="173"/>
      <c r="B3899" s="174"/>
      <c r="C3899" s="175"/>
      <c r="D3899" s="152"/>
      <c r="E3899" s="175"/>
      <c r="F3899" s="165"/>
      <c r="G3899" s="165"/>
      <c r="H3899" s="166"/>
    </row>
    <row r="3900" spans="1:9" x14ac:dyDescent="0.3">
      <c r="A3900" s="173"/>
      <c r="B3900" s="174"/>
      <c r="C3900" s="175"/>
      <c r="D3900" s="152"/>
      <c r="E3900" s="175"/>
      <c r="F3900" s="165"/>
      <c r="G3900" s="165"/>
      <c r="H3900" s="166"/>
    </row>
    <row r="3901" spans="1:9" x14ac:dyDescent="0.3">
      <c r="A3901" s="173"/>
      <c r="B3901" s="174"/>
      <c r="C3901" s="175"/>
      <c r="D3901" s="152"/>
      <c r="E3901" s="175"/>
      <c r="F3901" s="165"/>
      <c r="G3901" s="165"/>
      <c r="H3901" s="166"/>
    </row>
    <row r="3902" spans="1:9" x14ac:dyDescent="0.3">
      <c r="A3902" s="173"/>
      <c r="B3902" s="174"/>
      <c r="C3902" s="175"/>
      <c r="D3902" s="152"/>
      <c r="E3902" s="175"/>
      <c r="F3902" s="165"/>
      <c r="G3902" s="165"/>
      <c r="H3902" s="166"/>
    </row>
    <row r="3903" spans="1:9" x14ac:dyDescent="0.3">
      <c r="A3903" s="173"/>
      <c r="B3903" s="174"/>
      <c r="C3903" s="175"/>
      <c r="D3903" s="152"/>
      <c r="E3903" s="175"/>
      <c r="F3903" s="165"/>
      <c r="G3903" s="165"/>
      <c r="H3903" s="166"/>
    </row>
    <row r="3904" spans="1:9" x14ac:dyDescent="0.3">
      <c r="A3904" s="27"/>
      <c r="B3904" s="174"/>
      <c r="C3904" s="24"/>
      <c r="D3904" s="152"/>
      <c r="E3904" s="175"/>
      <c r="F3904" s="175"/>
      <c r="G3904" s="162"/>
      <c r="H3904" s="154"/>
    </row>
    <row r="3905" spans="1:8" x14ac:dyDescent="0.3">
      <c r="A3905" s="27"/>
      <c r="B3905" s="174"/>
      <c r="C3905" s="24"/>
      <c r="D3905" s="152"/>
      <c r="E3905" s="25"/>
      <c r="F3905" s="175"/>
      <c r="G3905" s="162"/>
      <c r="H3905" s="154"/>
    </row>
    <row r="3906" spans="1:8" x14ac:dyDescent="0.3">
      <c r="A3906" s="27"/>
      <c r="B3906" s="28"/>
      <c r="C3906" s="24"/>
      <c r="D3906" s="152"/>
      <c r="E3906" s="25"/>
      <c r="F3906" s="175"/>
      <c r="G3906" s="162"/>
      <c r="H3906" s="154"/>
    </row>
    <row r="3907" spans="1:8" x14ac:dyDescent="0.3">
      <c r="A3907" s="27"/>
      <c r="B3907" s="28"/>
      <c r="C3907" s="24"/>
      <c r="D3907" s="25"/>
      <c r="E3907" s="25"/>
      <c r="F3907" s="25"/>
      <c r="G3907" s="28"/>
      <c r="H3907" s="32"/>
    </row>
    <row r="3908" spans="1:8" ht="15.6" x14ac:dyDescent="0.3">
      <c r="A3908" s="448" t="s">
        <v>45</v>
      </c>
      <c r="B3908" s="449"/>
      <c r="C3908" s="24"/>
      <c r="D3908" s="25"/>
      <c r="E3908" s="25"/>
      <c r="F3908" s="447" t="s">
        <v>46</v>
      </c>
      <c r="G3908" s="447"/>
      <c r="H3908" s="66">
        <v>27000</v>
      </c>
    </row>
    <row r="3909" spans="1:8" ht="15.6" x14ac:dyDescent="0.3">
      <c r="A3909" s="497" t="s">
        <v>754</v>
      </c>
      <c r="B3909" s="498"/>
      <c r="C3909" s="498"/>
      <c r="D3909" s="498"/>
      <c r="E3909" s="498"/>
      <c r="F3909" s="447" t="s">
        <v>47</v>
      </c>
      <c r="G3909" s="447"/>
      <c r="H3909" s="66">
        <f>H3908*9%</f>
        <v>2430</v>
      </c>
    </row>
    <row r="3910" spans="1:8" ht="15.6" x14ac:dyDescent="0.3">
      <c r="A3910" s="27"/>
      <c r="B3910" s="28"/>
      <c r="C3910" s="24"/>
      <c r="D3910" s="25"/>
      <c r="E3910" s="25"/>
      <c r="F3910" s="447" t="s">
        <v>48</v>
      </c>
      <c r="G3910" s="447"/>
      <c r="H3910" s="66">
        <f>H3909</f>
        <v>2430</v>
      </c>
    </row>
    <row r="3911" spans="1:8" ht="15.6" x14ac:dyDescent="0.3">
      <c r="A3911" s="448" t="s">
        <v>49</v>
      </c>
      <c r="B3911" s="449"/>
      <c r="C3911" s="24"/>
      <c r="D3911" s="25"/>
      <c r="E3911" s="25"/>
      <c r="F3911" s="447" t="s">
        <v>50</v>
      </c>
      <c r="G3911" s="447"/>
      <c r="H3911" s="66">
        <f>H3908+H3909+H3910</f>
        <v>31860</v>
      </c>
    </row>
    <row r="3912" spans="1:8" ht="15.6" x14ac:dyDescent="0.3">
      <c r="A3912" s="90"/>
      <c r="B3912" s="177"/>
      <c r="C3912" s="24"/>
      <c r="D3912" s="25"/>
      <c r="E3912" s="25"/>
      <c r="F3912" s="26"/>
      <c r="G3912" s="26"/>
      <c r="H3912" s="66"/>
    </row>
    <row r="3913" spans="1:8" ht="27" x14ac:dyDescent="0.3">
      <c r="A3913" s="29" t="s">
        <v>22</v>
      </c>
      <c r="B3913" s="30" t="s">
        <v>51</v>
      </c>
      <c r="C3913" s="31" t="s">
        <v>24</v>
      </c>
      <c r="D3913" s="31" t="s">
        <v>25</v>
      </c>
      <c r="E3913" s="528" t="s">
        <v>52</v>
      </c>
      <c r="F3913" s="528"/>
      <c r="G3913" s="28"/>
      <c r="H3913" s="32"/>
    </row>
    <row r="3914" spans="1:8" x14ac:dyDescent="0.3">
      <c r="A3914" s="33">
        <v>0.18</v>
      </c>
      <c r="B3914" s="34">
        <f>H3908</f>
        <v>27000</v>
      </c>
      <c r="C3914" s="240">
        <f>H3909</f>
        <v>2430</v>
      </c>
      <c r="D3914" s="240">
        <f>H3910</f>
        <v>2430</v>
      </c>
      <c r="E3914" s="529">
        <f>C3914+D3914</f>
        <v>4860</v>
      </c>
      <c r="F3914" s="530"/>
      <c r="G3914" s="28"/>
      <c r="H3914" s="32"/>
    </row>
    <row r="3915" spans="1:8" x14ac:dyDescent="0.3">
      <c r="A3915" s="452" t="s">
        <v>755</v>
      </c>
      <c r="B3915" s="453"/>
      <c r="C3915" s="453"/>
      <c r="D3915" s="453"/>
      <c r="E3915" s="453"/>
      <c r="F3915" s="453"/>
      <c r="G3915" s="453"/>
      <c r="H3915" s="454"/>
    </row>
    <row r="3916" spans="1:8" ht="15.6" x14ac:dyDescent="0.3">
      <c r="A3916" s="455" t="s">
        <v>53</v>
      </c>
      <c r="B3916" s="456"/>
      <c r="C3916" s="456"/>
      <c r="D3916" s="457"/>
      <c r="E3916" s="458" t="s">
        <v>54</v>
      </c>
      <c r="F3916" s="459"/>
      <c r="G3916" s="459"/>
      <c r="H3916" s="460"/>
    </row>
    <row r="3917" spans="1:8" x14ac:dyDescent="0.3">
      <c r="A3917" s="461" t="s">
        <v>55</v>
      </c>
      <c r="B3917" s="462"/>
      <c r="C3917" s="462"/>
      <c r="D3917" s="463"/>
      <c r="E3917" s="39"/>
      <c r="F3917" s="25"/>
      <c r="G3917" s="28"/>
      <c r="H3917" s="32"/>
    </row>
    <row r="3918" spans="1:8" x14ac:dyDescent="0.3">
      <c r="A3918" s="461" t="s">
        <v>56</v>
      </c>
      <c r="B3918" s="462"/>
      <c r="C3918" s="462"/>
      <c r="D3918" s="463"/>
      <c r="E3918" s="39"/>
      <c r="F3918" s="25"/>
      <c r="G3918" s="28"/>
      <c r="H3918" s="32"/>
    </row>
    <row r="3919" spans="1:8" x14ac:dyDescent="0.3">
      <c r="A3919" s="461" t="s">
        <v>57</v>
      </c>
      <c r="B3919" s="462"/>
      <c r="C3919" s="462"/>
      <c r="D3919" s="463"/>
      <c r="E3919" s="39"/>
      <c r="F3919" s="25"/>
      <c r="G3919" s="28"/>
      <c r="H3919" s="32"/>
    </row>
    <row r="3920" spans="1:8" ht="15.6" x14ac:dyDescent="0.3">
      <c r="A3920" s="464" t="s">
        <v>58</v>
      </c>
      <c r="B3920" s="465"/>
      <c r="C3920" s="465"/>
      <c r="D3920" s="510"/>
      <c r="E3920" s="466" t="s">
        <v>59</v>
      </c>
      <c r="F3920" s="467"/>
      <c r="G3920" s="467"/>
      <c r="H3920" s="468"/>
    </row>
    <row r="3921" spans="1:9" ht="15.6" x14ac:dyDescent="0.3">
      <c r="A3921" s="104"/>
      <c r="B3921" s="104"/>
      <c r="C3921" s="104"/>
      <c r="D3921" s="104"/>
      <c r="E3921" s="105"/>
      <c r="F3921" s="105"/>
      <c r="G3921" s="105"/>
      <c r="H3921" s="105"/>
    </row>
    <row r="3922" spans="1:9" ht="15.6" x14ac:dyDescent="0.3">
      <c r="A3922" s="104"/>
      <c r="B3922" s="104"/>
      <c r="C3922" s="104"/>
      <c r="D3922" s="104"/>
      <c r="E3922" s="105"/>
      <c r="F3922" s="105"/>
      <c r="G3922" s="105"/>
      <c r="H3922" s="105"/>
    </row>
    <row r="3923" spans="1:9" ht="15.6" x14ac:dyDescent="0.3">
      <c r="A3923" s="104"/>
      <c r="B3923" s="104"/>
      <c r="C3923" s="104"/>
      <c r="D3923" s="104"/>
      <c r="E3923" s="105"/>
      <c r="F3923" s="105"/>
      <c r="G3923" s="105"/>
      <c r="H3923" s="105"/>
    </row>
    <row r="3925" spans="1:9" ht="44.4" x14ac:dyDescent="0.7">
      <c r="A3925" s="469" t="s">
        <v>0</v>
      </c>
      <c r="B3925" s="470"/>
      <c r="C3925" s="470"/>
      <c r="D3925" s="470"/>
      <c r="E3925" s="471" t="s">
        <v>1</v>
      </c>
      <c r="F3925" s="472"/>
      <c r="G3925" s="472"/>
      <c r="H3925" s="473"/>
    </row>
    <row r="3926" spans="1:9" ht="20.399999999999999" x14ac:dyDescent="0.35">
      <c r="A3926" s="1"/>
      <c r="B3926" s="476" t="s">
        <v>2</v>
      </c>
      <c r="C3926" s="476"/>
      <c r="D3926" s="476"/>
      <c r="E3926" s="474"/>
      <c r="F3926" s="474"/>
      <c r="G3926" s="474"/>
      <c r="H3926" s="475"/>
    </row>
    <row r="3927" spans="1:9" x14ac:dyDescent="0.3">
      <c r="A3927" s="477" t="s">
        <v>3</v>
      </c>
      <c r="B3927" s="478"/>
      <c r="C3927" s="479" t="s">
        <v>4</v>
      </c>
      <c r="D3927" s="479"/>
      <c r="E3927" s="480" t="s">
        <v>5</v>
      </c>
      <c r="F3927" s="480"/>
      <c r="G3927" s="480"/>
      <c r="H3927" s="480"/>
    </row>
    <row r="3928" spans="1:9" ht="15.6" x14ac:dyDescent="0.3">
      <c r="A3928" s="138" t="s">
        <v>6</v>
      </c>
      <c r="B3928" s="5"/>
      <c r="C3928" s="512" t="s">
        <v>7</v>
      </c>
      <c r="D3928" s="513"/>
      <c r="E3928" s="482">
        <v>86</v>
      </c>
      <c r="F3928" s="482"/>
      <c r="G3928" s="7" t="s">
        <v>8</v>
      </c>
      <c r="H3928" s="9">
        <v>45846</v>
      </c>
    </row>
    <row r="3929" spans="1:9" ht="15.6" x14ac:dyDescent="0.3">
      <c r="A3929" s="514" t="s">
        <v>813</v>
      </c>
      <c r="B3929" s="515"/>
      <c r="C3929" s="516" t="s">
        <v>10</v>
      </c>
      <c r="D3929" s="481"/>
      <c r="E3929" s="482"/>
      <c r="F3929" s="482"/>
      <c r="G3929" s="7" t="s">
        <v>8</v>
      </c>
      <c r="H3929" s="9"/>
    </row>
    <row r="3930" spans="1:9" ht="15" x14ac:dyDescent="0.3">
      <c r="A3930" s="517" t="s">
        <v>758</v>
      </c>
      <c r="B3930" s="518"/>
      <c r="C3930" s="484" t="s">
        <v>12</v>
      </c>
      <c r="D3930" s="519"/>
      <c r="E3930" s="520"/>
      <c r="F3930" s="520"/>
      <c r="G3930" s="10" t="s">
        <v>8</v>
      </c>
      <c r="H3930" s="11" t="s">
        <v>418</v>
      </c>
    </row>
    <row r="3931" spans="1:9" ht="15.6" x14ac:dyDescent="0.3">
      <c r="A3931" s="517"/>
      <c r="B3931" s="518"/>
      <c r="C3931" s="521" t="s">
        <v>15</v>
      </c>
      <c r="D3931" s="522"/>
      <c r="E3931" s="523" t="s">
        <v>810</v>
      </c>
      <c r="F3931" s="524"/>
      <c r="G3931" s="524"/>
      <c r="H3931" s="6"/>
    </row>
    <row r="3932" spans="1:9" ht="15.6" x14ac:dyDescent="0.3">
      <c r="A3932" s="180" t="s">
        <v>13</v>
      </c>
      <c r="B3932" s="13" t="s">
        <v>759</v>
      </c>
      <c r="C3932" s="230"/>
      <c r="D3932" s="231"/>
      <c r="E3932" s="232"/>
      <c r="F3932" s="233"/>
      <c r="G3932" s="233"/>
      <c r="H3932" s="231"/>
    </row>
    <row r="3933" spans="1:9" ht="15" x14ac:dyDescent="0.3">
      <c r="A3933" s="527" t="s">
        <v>17</v>
      </c>
      <c r="B3933" s="505" t="s">
        <v>18</v>
      </c>
      <c r="C3933" s="494" t="s">
        <v>19</v>
      </c>
      <c r="D3933" s="494" t="s">
        <v>20</v>
      </c>
      <c r="E3933" s="494" t="s">
        <v>21</v>
      </c>
      <c r="F3933" s="494" t="s">
        <v>22</v>
      </c>
      <c r="G3933" s="494"/>
      <c r="H3933" s="492" t="s">
        <v>23</v>
      </c>
    </row>
    <row r="3934" spans="1:9" ht="27.6" x14ac:dyDescent="0.3">
      <c r="A3934" s="492"/>
      <c r="B3934" s="494"/>
      <c r="C3934" s="494"/>
      <c r="D3934" s="494"/>
      <c r="E3934" s="494"/>
      <c r="F3934" s="53" t="s">
        <v>24</v>
      </c>
      <c r="G3934" s="53" t="s">
        <v>25</v>
      </c>
      <c r="H3934" s="492"/>
    </row>
    <row r="3935" spans="1:9" x14ac:dyDescent="0.3">
      <c r="A3935" s="57">
        <v>1</v>
      </c>
      <c r="B3935" s="60" t="s">
        <v>760</v>
      </c>
      <c r="C3935" s="57">
        <v>1</v>
      </c>
      <c r="D3935" s="56">
        <v>998719</v>
      </c>
      <c r="E3935" s="57">
        <v>7000</v>
      </c>
      <c r="F3935" s="58">
        <f>E3935*C3935*9%</f>
        <v>630</v>
      </c>
      <c r="G3935" s="58">
        <f>F3935</f>
        <v>630</v>
      </c>
      <c r="H3935" s="59">
        <f>G3935+F3935+E3935*C3935</f>
        <v>8260</v>
      </c>
      <c r="I3935" s="362">
        <f>C3935*E3935</f>
        <v>7000</v>
      </c>
    </row>
    <row r="3936" spans="1:9" ht="19.5" customHeight="1" x14ac:dyDescent="0.3">
      <c r="A3936" s="57">
        <v>2</v>
      </c>
      <c r="B3936" s="60" t="s">
        <v>751</v>
      </c>
      <c r="C3936" s="57">
        <v>2</v>
      </c>
      <c r="D3936" s="56">
        <v>998719</v>
      </c>
      <c r="E3936" s="185">
        <v>2700</v>
      </c>
      <c r="F3936" s="58">
        <f>E3936*C3936*9%</f>
        <v>486</v>
      </c>
      <c r="G3936" s="58">
        <f>F3936</f>
        <v>486</v>
      </c>
      <c r="H3936" s="59">
        <f>G3936+F3936+E3936*C3936</f>
        <v>6372</v>
      </c>
      <c r="I3936" s="362">
        <f>C3936*E3936</f>
        <v>5400</v>
      </c>
    </row>
    <row r="3937" spans="1:9" x14ac:dyDescent="0.3">
      <c r="A3937" s="57">
        <v>3</v>
      </c>
      <c r="B3937" s="237" t="s">
        <v>756</v>
      </c>
      <c r="C3937" s="188">
        <v>1</v>
      </c>
      <c r="D3937" s="56">
        <v>998719</v>
      </c>
      <c r="E3937" s="57">
        <v>1500</v>
      </c>
      <c r="F3937" s="58">
        <f>E3937*C3937*9%</f>
        <v>135</v>
      </c>
      <c r="G3937" s="58">
        <f>F3937</f>
        <v>135</v>
      </c>
      <c r="H3937" s="59">
        <f>G3937+F3937+E3937*C3937</f>
        <v>1770</v>
      </c>
      <c r="I3937" s="362">
        <f>C3937*E3937</f>
        <v>1500</v>
      </c>
    </row>
    <row r="3938" spans="1:9" x14ac:dyDescent="0.3">
      <c r="A3938" s="57">
        <v>4</v>
      </c>
      <c r="B3938" s="237" t="s">
        <v>757</v>
      </c>
      <c r="C3938" s="188">
        <v>4</v>
      </c>
      <c r="D3938" s="56">
        <v>998719</v>
      </c>
      <c r="E3938" s="57">
        <v>500</v>
      </c>
      <c r="F3938" s="58">
        <f>E3938*C3938*9%</f>
        <v>180</v>
      </c>
      <c r="G3938" s="58">
        <f>F3938</f>
        <v>180</v>
      </c>
      <c r="H3938" s="59">
        <f>G3938+F3938+E3938*C3938</f>
        <v>2360</v>
      </c>
      <c r="I3938" s="362">
        <f>C3938*E3938</f>
        <v>2000</v>
      </c>
    </row>
    <row r="3939" spans="1:9" x14ac:dyDescent="0.3">
      <c r="A3939" s="57">
        <v>5</v>
      </c>
      <c r="B3939" s="238" t="s">
        <v>761</v>
      </c>
      <c r="C3939" s="57">
        <v>1</v>
      </c>
      <c r="D3939" s="56">
        <v>998719</v>
      </c>
      <c r="E3939" s="57">
        <v>12000</v>
      </c>
      <c r="F3939" s="58">
        <f>E3939*C3939*9%</f>
        <v>1080</v>
      </c>
      <c r="G3939" s="58">
        <f>F3939</f>
        <v>1080</v>
      </c>
      <c r="H3939" s="59">
        <f>G3939+F3939+E3939*C3939</f>
        <v>14160</v>
      </c>
      <c r="I3939" s="362">
        <f>C3939*E3939</f>
        <v>12000</v>
      </c>
    </row>
    <row r="3940" spans="1:9" x14ac:dyDescent="0.3">
      <c r="A3940" s="57"/>
      <c r="B3940" s="238"/>
      <c r="C3940" s="57"/>
      <c r="D3940" s="56"/>
      <c r="E3940" s="57"/>
      <c r="F3940" s="58"/>
      <c r="G3940" s="58"/>
      <c r="H3940" s="59"/>
    </row>
    <row r="3941" spans="1:9" x14ac:dyDescent="0.3">
      <c r="A3941" s="57"/>
      <c r="B3941" s="60"/>
      <c r="C3941" s="239"/>
      <c r="D3941" s="56"/>
      <c r="E3941" s="57"/>
      <c r="F3941" s="58"/>
      <c r="G3941" s="58"/>
      <c r="H3941" s="59"/>
    </row>
    <row r="3942" spans="1:9" x14ac:dyDescent="0.3">
      <c r="A3942" s="173"/>
      <c r="B3942" s="174"/>
      <c r="C3942" s="175"/>
      <c r="D3942" s="152"/>
      <c r="E3942" s="175"/>
      <c r="F3942" s="165"/>
      <c r="G3942" s="165"/>
      <c r="H3942" s="166"/>
    </row>
    <row r="3943" spans="1:9" x14ac:dyDescent="0.3">
      <c r="A3943" s="173"/>
      <c r="B3943" s="174"/>
      <c r="C3943" s="175"/>
      <c r="D3943" s="152"/>
      <c r="E3943" s="175"/>
      <c r="F3943" s="165"/>
      <c r="G3943" s="165"/>
      <c r="H3943" s="166"/>
    </row>
    <row r="3944" spans="1:9" x14ac:dyDescent="0.3">
      <c r="A3944" s="173"/>
      <c r="B3944" s="174"/>
      <c r="C3944" s="175"/>
      <c r="D3944" s="152"/>
      <c r="E3944" s="175"/>
      <c r="F3944" s="165"/>
      <c r="G3944" s="165"/>
      <c r="H3944" s="166"/>
    </row>
    <row r="3945" spans="1:9" x14ac:dyDescent="0.3">
      <c r="A3945" s="173"/>
      <c r="B3945" s="174"/>
      <c r="C3945" s="175"/>
      <c r="D3945" s="152"/>
      <c r="E3945" s="175"/>
      <c r="F3945" s="165"/>
      <c r="G3945" s="165"/>
      <c r="H3945" s="166"/>
    </row>
    <row r="3946" spans="1:9" x14ac:dyDescent="0.3">
      <c r="A3946" s="173"/>
      <c r="B3946" s="174"/>
      <c r="C3946" s="175"/>
      <c r="D3946" s="152"/>
      <c r="E3946" s="175"/>
      <c r="F3946" s="165"/>
      <c r="G3946" s="165"/>
      <c r="H3946" s="166"/>
    </row>
    <row r="3947" spans="1:9" x14ac:dyDescent="0.3">
      <c r="A3947" s="173"/>
      <c r="B3947" s="174"/>
      <c r="C3947" s="175"/>
      <c r="D3947" s="152"/>
      <c r="E3947" s="175"/>
      <c r="F3947" s="165"/>
      <c r="G3947" s="165"/>
      <c r="H3947" s="166"/>
    </row>
    <row r="3948" spans="1:9" x14ac:dyDescent="0.3">
      <c r="A3948" s="173"/>
      <c r="B3948" s="174"/>
      <c r="C3948" s="175"/>
      <c r="D3948" s="152"/>
      <c r="E3948" s="175"/>
      <c r="F3948" s="165"/>
      <c r="G3948" s="165"/>
      <c r="H3948" s="166"/>
    </row>
    <row r="3949" spans="1:9" x14ac:dyDescent="0.3">
      <c r="A3949" s="173"/>
      <c r="B3949" s="174"/>
      <c r="C3949" s="175"/>
      <c r="D3949" s="152"/>
      <c r="E3949" s="175"/>
      <c r="F3949" s="165"/>
      <c r="G3949" s="165"/>
      <c r="H3949" s="166"/>
    </row>
    <row r="3950" spans="1:9" x14ac:dyDescent="0.3">
      <c r="A3950" s="173"/>
      <c r="B3950" s="174"/>
      <c r="C3950" s="175"/>
      <c r="D3950" s="152"/>
      <c r="E3950" s="175"/>
      <c r="F3950" s="165"/>
      <c r="G3950" s="165"/>
      <c r="H3950" s="166"/>
    </row>
    <row r="3951" spans="1:9" x14ac:dyDescent="0.3">
      <c r="A3951" s="173"/>
      <c r="B3951" s="174"/>
      <c r="C3951" s="175"/>
      <c r="D3951" s="152"/>
      <c r="E3951" s="175"/>
      <c r="F3951" s="165"/>
      <c r="G3951" s="165"/>
      <c r="H3951" s="166"/>
    </row>
    <row r="3952" spans="1:9" x14ac:dyDescent="0.3">
      <c r="A3952" s="173"/>
      <c r="B3952" s="174"/>
      <c r="C3952" s="175"/>
      <c r="D3952" s="152"/>
      <c r="E3952" s="175"/>
      <c r="F3952" s="165"/>
      <c r="G3952" s="165"/>
      <c r="H3952" s="166"/>
    </row>
    <row r="3953" spans="1:8" x14ac:dyDescent="0.3">
      <c r="A3953" s="27"/>
      <c r="B3953" s="174"/>
      <c r="C3953" s="24"/>
      <c r="D3953" s="152"/>
      <c r="E3953" s="175"/>
      <c r="F3953" s="175"/>
      <c r="G3953" s="162"/>
      <c r="H3953" s="154"/>
    </row>
    <row r="3954" spans="1:8" x14ac:dyDescent="0.3">
      <c r="A3954" s="27"/>
      <c r="B3954" s="174"/>
      <c r="C3954" s="24"/>
      <c r="D3954" s="152"/>
      <c r="E3954" s="25"/>
      <c r="F3954" s="175"/>
      <c r="G3954" s="162"/>
      <c r="H3954" s="154"/>
    </row>
    <row r="3955" spans="1:8" x14ac:dyDescent="0.3">
      <c r="A3955" s="27"/>
      <c r="B3955" s="28"/>
      <c r="C3955" s="24"/>
      <c r="D3955" s="152"/>
      <c r="E3955" s="25"/>
      <c r="F3955" s="175"/>
      <c r="G3955" s="162"/>
      <c r="H3955" s="154"/>
    </row>
    <row r="3956" spans="1:8" x14ac:dyDescent="0.3">
      <c r="A3956" s="27"/>
      <c r="B3956" s="28"/>
      <c r="C3956" s="24"/>
      <c r="D3956" s="25"/>
      <c r="E3956" s="25"/>
      <c r="F3956" s="25"/>
      <c r="G3956" s="28"/>
      <c r="H3956" s="32"/>
    </row>
    <row r="3957" spans="1:8" ht="15.6" x14ac:dyDescent="0.3">
      <c r="A3957" s="448" t="s">
        <v>45</v>
      </c>
      <c r="B3957" s="449"/>
      <c r="C3957" s="24"/>
      <c r="D3957" s="25"/>
      <c r="E3957" s="25"/>
      <c r="F3957" s="447" t="s">
        <v>46</v>
      </c>
      <c r="G3957" s="447"/>
      <c r="H3957" s="66">
        <f>C3935*E3935+C3936*E3936+C3937*E3937+C3938*E3938+C3939*E3939</f>
        <v>27900</v>
      </c>
    </row>
    <row r="3958" spans="1:8" ht="15.6" x14ac:dyDescent="0.3">
      <c r="A3958" s="497" t="s">
        <v>762</v>
      </c>
      <c r="B3958" s="498"/>
      <c r="C3958" s="498"/>
      <c r="D3958" s="498"/>
      <c r="E3958" s="498"/>
      <c r="F3958" s="447" t="s">
        <v>47</v>
      </c>
      <c r="G3958" s="447"/>
      <c r="H3958" s="66">
        <f>H3957*9%</f>
        <v>2511</v>
      </c>
    </row>
    <row r="3959" spans="1:8" ht="15.6" x14ac:dyDescent="0.3">
      <c r="A3959" s="27"/>
      <c r="B3959" s="28"/>
      <c r="C3959" s="24"/>
      <c r="D3959" s="25"/>
      <c r="E3959" s="25"/>
      <c r="F3959" s="447" t="s">
        <v>48</v>
      </c>
      <c r="G3959" s="447"/>
      <c r="H3959" s="66">
        <f>H3958</f>
        <v>2511</v>
      </c>
    </row>
    <row r="3960" spans="1:8" ht="15.6" x14ac:dyDescent="0.3">
      <c r="A3960" s="448" t="s">
        <v>49</v>
      </c>
      <c r="B3960" s="449"/>
      <c r="C3960" s="24"/>
      <c r="D3960" s="25"/>
      <c r="E3960" s="25"/>
      <c r="F3960" s="447" t="s">
        <v>50</v>
      </c>
      <c r="G3960" s="447"/>
      <c r="H3960" s="66">
        <f>H3957+H3958+H3959</f>
        <v>32922</v>
      </c>
    </row>
    <row r="3961" spans="1:8" ht="15.6" x14ac:dyDescent="0.3">
      <c r="A3961" s="90"/>
      <c r="B3961" s="177"/>
      <c r="C3961" s="24"/>
      <c r="D3961" s="25"/>
      <c r="E3961" s="25"/>
      <c r="F3961" s="26"/>
      <c r="G3961" s="26"/>
      <c r="H3961" s="66"/>
    </row>
    <row r="3962" spans="1:8" ht="27" x14ac:dyDescent="0.3">
      <c r="A3962" s="29" t="s">
        <v>22</v>
      </c>
      <c r="B3962" s="30" t="s">
        <v>51</v>
      </c>
      <c r="C3962" s="31" t="s">
        <v>24</v>
      </c>
      <c r="D3962" s="31" t="s">
        <v>25</v>
      </c>
      <c r="E3962" s="528" t="s">
        <v>52</v>
      </c>
      <c r="F3962" s="528"/>
      <c r="G3962" s="28"/>
      <c r="H3962" s="32"/>
    </row>
    <row r="3963" spans="1:8" x14ac:dyDescent="0.3">
      <c r="A3963" s="33">
        <v>0.18</v>
      </c>
      <c r="B3963" s="34">
        <f>H3957</f>
        <v>27900</v>
      </c>
      <c r="C3963" s="346">
        <f>H3958</f>
        <v>2511</v>
      </c>
      <c r="D3963" s="240">
        <f>H3959</f>
        <v>2511</v>
      </c>
      <c r="E3963" s="529">
        <f>C3963+D3963</f>
        <v>5022</v>
      </c>
      <c r="F3963" s="530"/>
      <c r="G3963" s="28"/>
      <c r="H3963" s="32"/>
    </row>
    <row r="3964" spans="1:8" x14ac:dyDescent="0.3">
      <c r="A3964" s="452" t="s">
        <v>763</v>
      </c>
      <c r="B3964" s="453"/>
      <c r="C3964" s="453"/>
      <c r="D3964" s="453"/>
      <c r="E3964" s="453"/>
      <c r="F3964" s="453"/>
      <c r="G3964" s="453"/>
      <c r="H3964" s="454"/>
    </row>
    <row r="3965" spans="1:8" ht="15.6" x14ac:dyDescent="0.3">
      <c r="A3965" s="455" t="s">
        <v>53</v>
      </c>
      <c r="B3965" s="456"/>
      <c r="C3965" s="456"/>
      <c r="D3965" s="457"/>
      <c r="E3965" s="458" t="s">
        <v>54</v>
      </c>
      <c r="F3965" s="459"/>
      <c r="G3965" s="459"/>
      <c r="H3965" s="460"/>
    </row>
    <row r="3966" spans="1:8" x14ac:dyDescent="0.3">
      <c r="A3966" s="461" t="s">
        <v>55</v>
      </c>
      <c r="B3966" s="462"/>
      <c r="C3966" s="462"/>
      <c r="D3966" s="463"/>
      <c r="E3966" s="39"/>
      <c r="F3966" s="25"/>
      <c r="G3966" s="28"/>
      <c r="H3966" s="32"/>
    </row>
    <row r="3967" spans="1:8" x14ac:dyDescent="0.3">
      <c r="A3967" s="461" t="s">
        <v>56</v>
      </c>
      <c r="B3967" s="462"/>
      <c r="C3967" s="462"/>
      <c r="D3967" s="463"/>
      <c r="E3967" s="39"/>
      <c r="F3967" s="25"/>
      <c r="G3967" s="28"/>
      <c r="H3967" s="32"/>
    </row>
    <row r="3968" spans="1:8" x14ac:dyDescent="0.3">
      <c r="A3968" s="461" t="s">
        <v>57</v>
      </c>
      <c r="B3968" s="462"/>
      <c r="C3968" s="462"/>
      <c r="D3968" s="463"/>
      <c r="E3968" s="39"/>
      <c r="F3968" s="25"/>
      <c r="G3968" s="28"/>
      <c r="H3968" s="32"/>
    </row>
    <row r="3969" spans="1:9" ht="15.6" x14ac:dyDescent="0.3">
      <c r="A3969" s="464" t="s">
        <v>58</v>
      </c>
      <c r="B3969" s="465"/>
      <c r="C3969" s="465"/>
      <c r="D3969" s="510"/>
      <c r="E3969" s="466" t="s">
        <v>59</v>
      </c>
      <c r="F3969" s="467"/>
      <c r="G3969" s="467"/>
      <c r="H3969" s="468"/>
    </row>
    <row r="3970" spans="1:9" ht="15.6" x14ac:dyDescent="0.3">
      <c r="A3970" s="104"/>
      <c r="B3970" s="104"/>
      <c r="C3970" s="104"/>
      <c r="D3970" s="104"/>
      <c r="E3970" s="105"/>
      <c r="F3970" s="105"/>
      <c r="G3970" s="105"/>
      <c r="H3970" s="105"/>
    </row>
    <row r="3971" spans="1:9" ht="15.6" x14ac:dyDescent="0.3">
      <c r="A3971" s="104"/>
      <c r="B3971" s="104"/>
      <c r="C3971" s="104"/>
      <c r="D3971" s="104"/>
      <c r="E3971" s="105"/>
      <c r="F3971" s="105"/>
      <c r="G3971" s="105"/>
      <c r="H3971" s="105"/>
    </row>
    <row r="3972" spans="1:9" ht="15.6" x14ac:dyDescent="0.3">
      <c r="A3972" s="104"/>
      <c r="B3972" s="104"/>
      <c r="C3972" s="104"/>
      <c r="D3972" s="104"/>
      <c r="E3972" s="105"/>
      <c r="F3972" s="105"/>
      <c r="G3972" s="105"/>
      <c r="H3972" s="105"/>
    </row>
    <row r="3973" spans="1:9" ht="44.4" x14ac:dyDescent="0.7">
      <c r="A3973" s="469" t="s">
        <v>0</v>
      </c>
      <c r="B3973" s="470"/>
      <c r="C3973" s="470"/>
      <c r="D3973" s="470"/>
      <c r="E3973" s="531" t="s">
        <v>1</v>
      </c>
      <c r="F3973" s="544"/>
      <c r="G3973" s="544"/>
      <c r="H3973" s="545"/>
    </row>
    <row r="3974" spans="1:9" ht="20.399999999999999" x14ac:dyDescent="0.35">
      <c r="A3974" s="1"/>
      <c r="B3974" s="476" t="s">
        <v>2</v>
      </c>
      <c r="C3974" s="476"/>
      <c r="D3974" s="476"/>
      <c r="E3974" s="546"/>
      <c r="F3974" s="546"/>
      <c r="G3974" s="546"/>
      <c r="H3974" s="547"/>
    </row>
    <row r="3975" spans="1:9" x14ac:dyDescent="0.3">
      <c r="A3975" s="477" t="s">
        <v>3</v>
      </c>
      <c r="B3975" s="478"/>
      <c r="C3975" s="479" t="s">
        <v>4</v>
      </c>
      <c r="D3975" s="479"/>
      <c r="E3975" s="654" t="s">
        <v>5</v>
      </c>
      <c r="F3975" s="654"/>
      <c r="G3975" s="654"/>
      <c r="H3975" s="654"/>
    </row>
    <row r="3976" spans="1:9" ht="15.6" x14ac:dyDescent="0.3">
      <c r="A3976" s="138" t="s">
        <v>6</v>
      </c>
      <c r="B3976" s="5"/>
      <c r="C3976" s="512" t="s">
        <v>7</v>
      </c>
      <c r="D3976" s="513"/>
      <c r="E3976" s="482">
        <v>87</v>
      </c>
      <c r="F3976" s="482"/>
      <c r="G3976" s="7" t="s">
        <v>8</v>
      </c>
      <c r="H3976" s="9">
        <v>45846</v>
      </c>
    </row>
    <row r="3977" spans="1:9" ht="15.6" x14ac:dyDescent="0.3">
      <c r="A3977" s="514" t="s">
        <v>813</v>
      </c>
      <c r="B3977" s="515"/>
      <c r="C3977" s="516" t="s">
        <v>10</v>
      </c>
      <c r="D3977" s="481"/>
      <c r="E3977" s="482"/>
      <c r="F3977" s="482"/>
      <c r="G3977" s="7" t="s">
        <v>8</v>
      </c>
      <c r="H3977" s="9"/>
    </row>
    <row r="3978" spans="1:9" ht="15" x14ac:dyDescent="0.3">
      <c r="A3978" s="517" t="s">
        <v>758</v>
      </c>
      <c r="B3978" s="518"/>
      <c r="C3978" s="484" t="s">
        <v>12</v>
      </c>
      <c r="D3978" s="519"/>
      <c r="E3978" s="520"/>
      <c r="F3978" s="520"/>
      <c r="G3978" s="10" t="s">
        <v>8</v>
      </c>
      <c r="H3978" s="11" t="s">
        <v>418</v>
      </c>
    </row>
    <row r="3979" spans="1:9" ht="15.6" x14ac:dyDescent="0.3">
      <c r="A3979" s="517" t="s">
        <v>764</v>
      </c>
      <c r="B3979" s="518"/>
      <c r="C3979" s="521" t="s">
        <v>15</v>
      </c>
      <c r="D3979" s="522"/>
      <c r="E3979" s="523" t="s">
        <v>810</v>
      </c>
      <c r="F3979" s="524"/>
      <c r="G3979" s="524"/>
      <c r="H3979" s="6"/>
    </row>
    <row r="3980" spans="1:9" ht="15.6" x14ac:dyDescent="0.3">
      <c r="A3980" s="180" t="s">
        <v>13</v>
      </c>
      <c r="B3980" s="13" t="s">
        <v>759</v>
      </c>
      <c r="C3980" s="230"/>
      <c r="D3980" s="231"/>
      <c r="E3980" s="232"/>
      <c r="F3980" s="233"/>
      <c r="G3980" s="233"/>
      <c r="H3980" s="231"/>
    </row>
    <row r="3981" spans="1:9" ht="15" x14ac:dyDescent="0.3">
      <c r="A3981" s="527" t="s">
        <v>17</v>
      </c>
      <c r="B3981" s="505" t="s">
        <v>18</v>
      </c>
      <c r="C3981" s="494" t="s">
        <v>19</v>
      </c>
      <c r="D3981" s="494" t="s">
        <v>20</v>
      </c>
      <c r="E3981" s="494" t="s">
        <v>21</v>
      </c>
      <c r="F3981" s="494" t="s">
        <v>22</v>
      </c>
      <c r="G3981" s="494"/>
      <c r="H3981" s="492" t="s">
        <v>23</v>
      </c>
    </row>
    <row r="3982" spans="1:9" ht="27.6" x14ac:dyDescent="0.3">
      <c r="A3982" s="492"/>
      <c r="B3982" s="494"/>
      <c r="C3982" s="494"/>
      <c r="D3982" s="494"/>
      <c r="E3982" s="494"/>
      <c r="F3982" s="53" t="s">
        <v>24</v>
      </c>
      <c r="G3982" s="53" t="s">
        <v>25</v>
      </c>
      <c r="H3982" s="492"/>
    </row>
    <row r="3983" spans="1:9" x14ac:dyDescent="0.3">
      <c r="A3983" s="57">
        <v>1</v>
      </c>
      <c r="B3983" s="60" t="s">
        <v>760</v>
      </c>
      <c r="C3983" s="57">
        <v>1</v>
      </c>
      <c r="D3983" s="56">
        <v>998719</v>
      </c>
      <c r="E3983" s="57">
        <v>7000</v>
      </c>
      <c r="F3983" s="58">
        <f>E3983*C3983*9%</f>
        <v>630</v>
      </c>
      <c r="G3983" s="58">
        <f>F3983</f>
        <v>630</v>
      </c>
      <c r="H3983" s="59">
        <f>G3983+F3983+E3983*C3983</f>
        <v>8260</v>
      </c>
      <c r="I3983" s="362">
        <f>E3983*C3983</f>
        <v>7000</v>
      </c>
    </row>
    <row r="3984" spans="1:9" x14ac:dyDescent="0.3">
      <c r="A3984" s="57">
        <v>2</v>
      </c>
      <c r="B3984" s="60" t="s">
        <v>751</v>
      </c>
      <c r="C3984" s="57">
        <v>17</v>
      </c>
      <c r="D3984" s="56">
        <v>998719</v>
      </c>
      <c r="E3984" s="185">
        <v>2700</v>
      </c>
      <c r="F3984" s="58">
        <f>E3984*C3984*9%</f>
        <v>4131</v>
      </c>
      <c r="G3984" s="58">
        <f>F3984</f>
        <v>4131</v>
      </c>
      <c r="H3984" s="59">
        <f>G3984+F3984+E3984*C3984</f>
        <v>54162</v>
      </c>
      <c r="I3984" s="362">
        <f>E3984*C3984</f>
        <v>45900</v>
      </c>
    </row>
    <row r="3985" spans="1:9" x14ac:dyDescent="0.3">
      <c r="A3985" s="57">
        <v>3</v>
      </c>
      <c r="B3985" s="237" t="s">
        <v>756</v>
      </c>
      <c r="C3985" s="188">
        <v>1</v>
      </c>
      <c r="D3985" s="56">
        <v>998719</v>
      </c>
      <c r="E3985" s="57">
        <v>1500</v>
      </c>
      <c r="F3985" s="58">
        <f>E3985*C3985*9%</f>
        <v>135</v>
      </c>
      <c r="G3985" s="58">
        <f>F3985</f>
        <v>135</v>
      </c>
      <c r="H3985" s="59">
        <f>G3985+F3985+E3985*C3985</f>
        <v>1770</v>
      </c>
      <c r="I3985" s="362">
        <f>E3985*C3985</f>
        <v>1500</v>
      </c>
    </row>
    <row r="3986" spans="1:9" x14ac:dyDescent="0.3">
      <c r="A3986" s="57">
        <v>4</v>
      </c>
      <c r="B3986" s="237" t="s">
        <v>757</v>
      </c>
      <c r="C3986" s="188">
        <v>4</v>
      </c>
      <c r="D3986" s="56">
        <v>998719</v>
      </c>
      <c r="E3986" s="57">
        <v>500</v>
      </c>
      <c r="F3986" s="58">
        <f>E3986*C3986*9%</f>
        <v>180</v>
      </c>
      <c r="G3986" s="58">
        <f>F3986</f>
        <v>180</v>
      </c>
      <c r="H3986" s="59">
        <f>G3986+F3986+E3986*C3986</f>
        <v>2360</v>
      </c>
      <c r="I3986" s="362">
        <f>E3986*C3986</f>
        <v>2000</v>
      </c>
    </row>
    <row r="3987" spans="1:9" x14ac:dyDescent="0.3">
      <c r="A3987" s="57">
        <v>5</v>
      </c>
      <c r="B3987" s="238" t="s">
        <v>761</v>
      </c>
      <c r="C3987" s="57">
        <v>1</v>
      </c>
      <c r="D3987" s="56">
        <v>998719</v>
      </c>
      <c r="E3987" s="57">
        <v>18000</v>
      </c>
      <c r="F3987" s="58">
        <f>E3987*C3987*9%</f>
        <v>1620</v>
      </c>
      <c r="G3987" s="58">
        <f>F3987</f>
        <v>1620</v>
      </c>
      <c r="H3987" s="59">
        <f>G3987+F3987+E3987*C3987</f>
        <v>21240</v>
      </c>
      <c r="I3987" s="362">
        <f>E3987*C3987</f>
        <v>18000</v>
      </c>
    </row>
    <row r="3988" spans="1:9" x14ac:dyDescent="0.3">
      <c r="A3988" s="57"/>
      <c r="B3988" s="238"/>
      <c r="C3988" s="57"/>
      <c r="D3988" s="56"/>
      <c r="E3988" s="57"/>
      <c r="F3988" s="58"/>
      <c r="G3988" s="58"/>
      <c r="H3988" s="59"/>
    </row>
    <row r="3989" spans="1:9" x14ac:dyDescent="0.3">
      <c r="A3989" s="57"/>
      <c r="B3989" s="60"/>
      <c r="C3989" s="239"/>
      <c r="D3989" s="56"/>
      <c r="E3989" s="57"/>
      <c r="F3989" s="58"/>
      <c r="G3989" s="58"/>
      <c r="H3989" s="59"/>
    </row>
    <row r="3990" spans="1:9" x14ac:dyDescent="0.3">
      <c r="A3990" s="173"/>
      <c r="B3990" s="174"/>
      <c r="C3990" s="175"/>
      <c r="D3990" s="152"/>
      <c r="E3990" s="175"/>
      <c r="F3990" s="165"/>
      <c r="G3990" s="165"/>
      <c r="H3990" s="166"/>
    </row>
    <row r="3991" spans="1:9" x14ac:dyDescent="0.3">
      <c r="A3991" s="173"/>
      <c r="B3991" s="174"/>
      <c r="C3991" s="175"/>
      <c r="D3991" s="152"/>
      <c r="E3991" s="175"/>
      <c r="F3991" s="165"/>
      <c r="G3991" s="165"/>
      <c r="H3991" s="166"/>
    </row>
    <row r="3992" spans="1:9" x14ac:dyDescent="0.3">
      <c r="A3992" s="173"/>
      <c r="B3992" s="174"/>
      <c r="C3992" s="175"/>
      <c r="D3992" s="152"/>
      <c r="E3992" s="175"/>
      <c r="F3992" s="165"/>
      <c r="G3992" s="165"/>
      <c r="H3992" s="166"/>
    </row>
    <row r="3993" spans="1:9" x14ac:dyDescent="0.3">
      <c r="A3993" s="173"/>
      <c r="B3993" s="174"/>
      <c r="C3993" s="175"/>
      <c r="D3993" s="152"/>
      <c r="E3993" s="175"/>
      <c r="F3993" s="165"/>
      <c r="G3993" s="165"/>
      <c r="H3993" s="166"/>
    </row>
    <row r="3994" spans="1:9" x14ac:dyDescent="0.3">
      <c r="A3994" s="173"/>
      <c r="B3994" s="174"/>
      <c r="C3994" s="175"/>
      <c r="D3994" s="152"/>
      <c r="E3994" s="175"/>
      <c r="F3994" s="165"/>
      <c r="G3994" s="165"/>
      <c r="H3994" s="166"/>
    </row>
    <row r="3995" spans="1:9" x14ac:dyDescent="0.3">
      <c r="A3995" s="173"/>
      <c r="B3995" s="174"/>
      <c r="C3995" s="175"/>
      <c r="D3995" s="152"/>
      <c r="E3995" s="175"/>
      <c r="F3995" s="165"/>
      <c r="G3995" s="165"/>
      <c r="H3995" s="166"/>
    </row>
    <row r="3996" spans="1:9" x14ac:dyDescent="0.3">
      <c r="A3996" s="173"/>
      <c r="B3996" s="174"/>
      <c r="C3996" s="175"/>
      <c r="D3996" s="152"/>
      <c r="E3996" s="175"/>
      <c r="F3996" s="165"/>
      <c r="G3996" s="165"/>
      <c r="H3996" s="166"/>
    </row>
    <row r="3997" spans="1:9" x14ac:dyDescent="0.3">
      <c r="A3997" s="173"/>
      <c r="B3997" s="174"/>
      <c r="C3997" s="175"/>
      <c r="D3997" s="152"/>
      <c r="E3997" s="175"/>
      <c r="F3997" s="165"/>
      <c r="G3997" s="165"/>
      <c r="H3997" s="166"/>
    </row>
    <row r="3998" spans="1:9" x14ac:dyDescent="0.3">
      <c r="A3998" s="173"/>
      <c r="B3998" s="174"/>
      <c r="C3998" s="175"/>
      <c r="D3998" s="152"/>
      <c r="E3998" s="175"/>
      <c r="F3998" s="165"/>
      <c r="G3998" s="165"/>
      <c r="H3998" s="166"/>
    </row>
    <row r="3999" spans="1:9" x14ac:dyDescent="0.3">
      <c r="A3999" s="173"/>
      <c r="B3999" s="174"/>
      <c r="C3999" s="175"/>
      <c r="D3999" s="152"/>
      <c r="E3999" s="175"/>
      <c r="F3999" s="165"/>
      <c r="G3999" s="165"/>
      <c r="H3999" s="166"/>
    </row>
    <row r="4000" spans="1:9" x14ac:dyDescent="0.3">
      <c r="A4000" s="173"/>
      <c r="B4000" s="174"/>
      <c r="C4000" s="175"/>
      <c r="D4000" s="152"/>
      <c r="E4000" s="175"/>
      <c r="F4000" s="165"/>
      <c r="G4000" s="165"/>
      <c r="H4000" s="166"/>
    </row>
    <row r="4001" spans="1:8" x14ac:dyDescent="0.3">
      <c r="A4001" s="27"/>
      <c r="B4001" s="174"/>
      <c r="C4001" s="24"/>
      <c r="D4001" s="152"/>
      <c r="E4001" s="175"/>
      <c r="F4001" s="175"/>
      <c r="G4001" s="162"/>
      <c r="H4001" s="154"/>
    </row>
    <row r="4002" spans="1:8" x14ac:dyDescent="0.3">
      <c r="A4002" s="27"/>
      <c r="B4002" s="174"/>
      <c r="C4002" s="24"/>
      <c r="D4002" s="152"/>
      <c r="E4002" s="25"/>
      <c r="F4002" s="175"/>
      <c r="G4002" s="162"/>
      <c r="H4002" s="154"/>
    </row>
    <row r="4003" spans="1:8" x14ac:dyDescent="0.3">
      <c r="A4003" s="27"/>
      <c r="B4003" s="28"/>
      <c r="C4003" s="24"/>
      <c r="D4003" s="152"/>
      <c r="E4003" s="25"/>
      <c r="F4003" s="175"/>
      <c r="G4003" s="162"/>
      <c r="H4003" s="154"/>
    </row>
    <row r="4004" spans="1:8" x14ac:dyDescent="0.3">
      <c r="A4004" s="27"/>
      <c r="B4004" s="28"/>
      <c r="C4004" s="24"/>
      <c r="D4004" s="25"/>
      <c r="E4004" s="25"/>
      <c r="F4004" s="25"/>
      <c r="G4004" s="28"/>
      <c r="H4004" s="32"/>
    </row>
    <row r="4005" spans="1:8" ht="15.6" x14ac:dyDescent="0.3">
      <c r="A4005" s="448" t="s">
        <v>45</v>
      </c>
      <c r="B4005" s="449"/>
      <c r="C4005" s="24"/>
      <c r="D4005" s="25"/>
      <c r="E4005" s="25"/>
      <c r="F4005" s="447" t="s">
        <v>46</v>
      </c>
      <c r="G4005" s="447"/>
      <c r="H4005" s="66">
        <f>C3983*E3983+C3984*E3984+C3985*E3985+C3986*E3986+C3987*E3987</f>
        <v>74400</v>
      </c>
    </row>
    <row r="4006" spans="1:8" ht="15.6" x14ac:dyDescent="0.3">
      <c r="A4006" s="497" t="s">
        <v>812</v>
      </c>
      <c r="B4006" s="498"/>
      <c r="C4006" s="498"/>
      <c r="D4006" s="498"/>
      <c r="E4006" s="498"/>
      <c r="F4006" s="447" t="s">
        <v>47</v>
      </c>
      <c r="G4006" s="447"/>
      <c r="H4006" s="66">
        <f>H4005*9%</f>
        <v>6696</v>
      </c>
    </row>
    <row r="4007" spans="1:8" ht="15.6" x14ac:dyDescent="0.3">
      <c r="A4007" s="27"/>
      <c r="B4007" s="28"/>
      <c r="C4007" s="24"/>
      <c r="D4007" s="25"/>
      <c r="E4007" s="25"/>
      <c r="F4007" s="447" t="s">
        <v>48</v>
      </c>
      <c r="G4007" s="447"/>
      <c r="H4007" s="66">
        <f>H4006</f>
        <v>6696</v>
      </c>
    </row>
    <row r="4008" spans="1:8" ht="15.6" x14ac:dyDescent="0.3">
      <c r="A4008" s="448" t="s">
        <v>49</v>
      </c>
      <c r="B4008" s="449"/>
      <c r="C4008" s="24"/>
      <c r="D4008" s="25"/>
      <c r="E4008" s="25"/>
      <c r="F4008" s="447" t="s">
        <v>50</v>
      </c>
      <c r="G4008" s="447"/>
      <c r="H4008" s="66">
        <f>H4005+H4006+H4007</f>
        <v>87792</v>
      </c>
    </row>
    <row r="4009" spans="1:8" ht="15.6" x14ac:dyDescent="0.3">
      <c r="A4009" s="90"/>
      <c r="B4009" s="177"/>
      <c r="C4009" s="24"/>
      <c r="D4009" s="25"/>
      <c r="E4009" s="25"/>
      <c r="F4009" s="26"/>
      <c r="G4009" s="26"/>
      <c r="H4009" s="66"/>
    </row>
    <row r="4010" spans="1:8" ht="27" x14ac:dyDescent="0.3">
      <c r="A4010" s="29" t="s">
        <v>22</v>
      </c>
      <c r="B4010" s="30" t="s">
        <v>51</v>
      </c>
      <c r="C4010" s="31" t="s">
        <v>24</v>
      </c>
      <c r="D4010" s="31" t="s">
        <v>25</v>
      </c>
      <c r="E4010" s="528" t="s">
        <v>52</v>
      </c>
      <c r="F4010" s="528"/>
      <c r="G4010" s="28"/>
      <c r="H4010" s="32"/>
    </row>
    <row r="4011" spans="1:8" x14ac:dyDescent="0.3">
      <c r="A4011" s="33">
        <v>0.18</v>
      </c>
      <c r="B4011" s="34">
        <f>H4005</f>
        <v>74400</v>
      </c>
      <c r="C4011" s="346">
        <f>H4006</f>
        <v>6696</v>
      </c>
      <c r="D4011" s="240">
        <f>H4007</f>
        <v>6696</v>
      </c>
      <c r="E4011" s="529">
        <f>C4011+D4011</f>
        <v>13392</v>
      </c>
      <c r="F4011" s="530"/>
      <c r="G4011" s="28"/>
      <c r="H4011" s="32"/>
    </row>
    <row r="4012" spans="1:8" x14ac:dyDescent="0.3">
      <c r="A4012" s="452" t="s">
        <v>811</v>
      </c>
      <c r="B4012" s="453"/>
      <c r="C4012" s="453"/>
      <c r="D4012" s="453"/>
      <c r="E4012" s="453"/>
      <c r="F4012" s="453"/>
      <c r="G4012" s="453"/>
      <c r="H4012" s="454"/>
    </row>
    <row r="4013" spans="1:8" ht="15.6" x14ac:dyDescent="0.3">
      <c r="A4013" s="455" t="s">
        <v>53</v>
      </c>
      <c r="B4013" s="456"/>
      <c r="C4013" s="456"/>
      <c r="D4013" s="457"/>
      <c r="E4013" s="458" t="s">
        <v>54</v>
      </c>
      <c r="F4013" s="459"/>
      <c r="G4013" s="459"/>
      <c r="H4013" s="460"/>
    </row>
    <row r="4014" spans="1:8" x14ac:dyDescent="0.3">
      <c r="A4014" s="461" t="s">
        <v>55</v>
      </c>
      <c r="B4014" s="462"/>
      <c r="C4014" s="462"/>
      <c r="D4014" s="463"/>
      <c r="E4014" s="39"/>
      <c r="F4014" s="25"/>
      <c r="G4014" s="28"/>
      <c r="H4014" s="32"/>
    </row>
    <row r="4015" spans="1:8" x14ac:dyDescent="0.3">
      <c r="A4015" s="461" t="s">
        <v>56</v>
      </c>
      <c r="B4015" s="462"/>
      <c r="C4015" s="462"/>
      <c r="D4015" s="463"/>
      <c r="E4015" s="39"/>
      <c r="F4015" s="25"/>
      <c r="G4015" s="28"/>
      <c r="H4015" s="32"/>
    </row>
    <row r="4016" spans="1:8" x14ac:dyDescent="0.3">
      <c r="A4016" s="461" t="s">
        <v>57</v>
      </c>
      <c r="B4016" s="462"/>
      <c r="C4016" s="462"/>
      <c r="D4016" s="463"/>
      <c r="E4016" s="39"/>
      <c r="F4016" s="25"/>
      <c r="G4016" s="28"/>
      <c r="H4016" s="32"/>
    </row>
    <row r="4017" spans="1:8" ht="15.6" x14ac:dyDescent="0.3">
      <c r="A4017" s="464" t="s">
        <v>58</v>
      </c>
      <c r="B4017" s="465"/>
      <c r="C4017" s="465"/>
      <c r="D4017" s="510"/>
      <c r="E4017" s="466" t="s">
        <v>59</v>
      </c>
      <c r="F4017" s="467"/>
      <c r="G4017" s="467"/>
      <c r="H4017" s="468"/>
    </row>
    <row r="4018" spans="1:8" ht="15.6" x14ac:dyDescent="0.3">
      <c r="A4018" s="104"/>
      <c r="B4018" s="104"/>
      <c r="C4018" s="104"/>
      <c r="D4018" s="104"/>
      <c r="E4018" s="105"/>
      <c r="F4018" s="105"/>
      <c r="G4018" s="105"/>
      <c r="H4018" s="105"/>
    </row>
    <row r="4019" spans="1:8" ht="44.4" x14ac:dyDescent="0.7">
      <c r="A4019" s="469" t="s">
        <v>0</v>
      </c>
      <c r="B4019" s="470"/>
      <c r="C4019" s="470"/>
      <c r="D4019" s="470"/>
      <c r="E4019" s="471" t="s">
        <v>1</v>
      </c>
      <c r="F4019" s="472"/>
      <c r="G4019" s="472"/>
      <c r="H4019" s="473"/>
    </row>
    <row r="4020" spans="1:8" ht="20.399999999999999" x14ac:dyDescent="0.35">
      <c r="A4020" s="1"/>
      <c r="B4020" s="476" t="s">
        <v>2</v>
      </c>
      <c r="C4020" s="476"/>
      <c r="D4020" s="476"/>
      <c r="E4020" s="474"/>
      <c r="F4020" s="474"/>
      <c r="G4020" s="474"/>
      <c r="H4020" s="475"/>
    </row>
    <row r="4021" spans="1:8" x14ac:dyDescent="0.3">
      <c r="A4021" s="477" t="s">
        <v>3</v>
      </c>
      <c r="B4021" s="478"/>
      <c r="C4021" s="479" t="s">
        <v>4</v>
      </c>
      <c r="D4021" s="479"/>
      <c r="E4021" s="480" t="s">
        <v>5</v>
      </c>
      <c r="F4021" s="480"/>
      <c r="G4021" s="480"/>
      <c r="H4021" s="480"/>
    </row>
    <row r="4022" spans="1:8" ht="15.6" x14ac:dyDescent="0.3">
      <c r="A4022" s="138" t="s">
        <v>6</v>
      </c>
      <c r="B4022" s="5"/>
      <c r="C4022" s="512" t="s">
        <v>7</v>
      </c>
      <c r="D4022" s="513"/>
      <c r="E4022" s="482">
        <v>88</v>
      </c>
      <c r="F4022" s="482"/>
      <c r="G4022" s="7" t="s">
        <v>8</v>
      </c>
      <c r="H4022" s="9">
        <v>45846</v>
      </c>
    </row>
    <row r="4023" spans="1:8" ht="15.6" x14ac:dyDescent="0.3">
      <c r="A4023" s="514" t="s">
        <v>765</v>
      </c>
      <c r="B4023" s="515"/>
      <c r="C4023" s="516" t="s">
        <v>10</v>
      </c>
      <c r="D4023" s="481"/>
      <c r="E4023" s="482"/>
      <c r="F4023" s="482"/>
      <c r="G4023" s="7" t="s">
        <v>8</v>
      </c>
      <c r="H4023" s="9"/>
    </row>
    <row r="4024" spans="1:8" ht="15" x14ac:dyDescent="0.3">
      <c r="A4024" s="517" t="s">
        <v>766</v>
      </c>
      <c r="B4024" s="518"/>
      <c r="C4024" s="484" t="s">
        <v>12</v>
      </c>
      <c r="D4024" s="519"/>
      <c r="E4024" s="520"/>
      <c r="F4024" s="520"/>
      <c r="G4024" s="10" t="s">
        <v>8</v>
      </c>
      <c r="H4024" s="11"/>
    </row>
    <row r="4025" spans="1:8" ht="15.6" x14ac:dyDescent="0.3">
      <c r="A4025" s="517"/>
      <c r="B4025" s="518"/>
      <c r="C4025" s="521" t="s">
        <v>15</v>
      </c>
      <c r="D4025" s="522"/>
      <c r="E4025" s="523" t="s">
        <v>772</v>
      </c>
      <c r="F4025" s="524"/>
      <c r="G4025" s="524"/>
      <c r="H4025" s="6"/>
    </row>
    <row r="4026" spans="1:8" ht="15.6" x14ac:dyDescent="0.3">
      <c r="A4026" s="180" t="s">
        <v>13</v>
      </c>
      <c r="B4026" s="13" t="s">
        <v>759</v>
      </c>
      <c r="C4026" s="230"/>
      <c r="D4026" s="231"/>
      <c r="E4026" s="232"/>
      <c r="F4026" s="233"/>
      <c r="G4026" s="233"/>
      <c r="H4026" s="231"/>
    </row>
    <row r="4027" spans="1:8" ht="15" x14ac:dyDescent="0.3">
      <c r="A4027" s="527" t="s">
        <v>17</v>
      </c>
      <c r="B4027" s="505" t="s">
        <v>18</v>
      </c>
      <c r="C4027" s="494" t="s">
        <v>19</v>
      </c>
      <c r="D4027" s="494" t="s">
        <v>20</v>
      </c>
      <c r="E4027" s="494" t="s">
        <v>21</v>
      </c>
      <c r="F4027" s="494" t="s">
        <v>22</v>
      </c>
      <c r="G4027" s="494"/>
      <c r="H4027" s="492" t="s">
        <v>23</v>
      </c>
    </row>
    <row r="4028" spans="1:8" ht="27.6" x14ac:dyDescent="0.3">
      <c r="A4028" s="492"/>
      <c r="B4028" s="494"/>
      <c r="C4028" s="494"/>
      <c r="D4028" s="494"/>
      <c r="E4028" s="494"/>
      <c r="F4028" s="53" t="s">
        <v>24</v>
      </c>
      <c r="G4028" s="53" t="s">
        <v>25</v>
      </c>
      <c r="H4028" s="492"/>
    </row>
    <row r="4029" spans="1:8" x14ac:dyDescent="0.3">
      <c r="A4029" s="57">
        <v>1</v>
      </c>
      <c r="B4029" s="60" t="s">
        <v>767</v>
      </c>
      <c r="C4029" s="57">
        <v>1</v>
      </c>
      <c r="D4029" s="56">
        <v>998719</v>
      </c>
      <c r="E4029" s="57">
        <v>1050</v>
      </c>
      <c r="F4029" s="58">
        <f>E4029*C4029*9%</f>
        <v>94.5</v>
      </c>
      <c r="G4029" s="58">
        <f>F4029</f>
        <v>94.5</v>
      </c>
      <c r="H4029" s="59">
        <f>G4029+F4029+E4029*C4029</f>
        <v>1239</v>
      </c>
    </row>
    <row r="4030" spans="1:8" x14ac:dyDescent="0.3">
      <c r="A4030" s="57">
        <v>2</v>
      </c>
      <c r="B4030" s="60" t="s">
        <v>769</v>
      </c>
      <c r="C4030" s="57">
        <v>1</v>
      </c>
      <c r="D4030" s="56">
        <v>998719</v>
      </c>
      <c r="E4030" s="185">
        <v>2470</v>
      </c>
      <c r="F4030" s="58">
        <f>E4030*C4030*9%</f>
        <v>222.29999999999998</v>
      </c>
      <c r="G4030" s="58">
        <f>F4030</f>
        <v>222.29999999999998</v>
      </c>
      <c r="H4030" s="59">
        <f>G4030+F4030+E4030*C4030</f>
        <v>2914.6</v>
      </c>
    </row>
    <row r="4031" spans="1:8" x14ac:dyDescent="0.3">
      <c r="A4031" s="57">
        <v>3</v>
      </c>
      <c r="B4031" s="60" t="s">
        <v>770</v>
      </c>
      <c r="C4031" s="188">
        <v>1</v>
      </c>
      <c r="D4031" s="56">
        <v>998719</v>
      </c>
      <c r="E4031" s="57">
        <v>140</v>
      </c>
      <c r="F4031" s="58">
        <f>E4031*C4031*9%</f>
        <v>12.6</v>
      </c>
      <c r="G4031" s="58">
        <f>F4031</f>
        <v>12.6</v>
      </c>
      <c r="H4031" s="59">
        <f>G4031+F4031+E4031*C4031</f>
        <v>165.2</v>
      </c>
    </row>
    <row r="4032" spans="1:8" x14ac:dyDescent="0.3">
      <c r="A4032" s="57">
        <v>4</v>
      </c>
      <c r="B4032" s="237" t="s">
        <v>768</v>
      </c>
      <c r="C4032" s="188">
        <v>1</v>
      </c>
      <c r="D4032" s="56">
        <v>998719</v>
      </c>
      <c r="E4032" s="57">
        <v>13000</v>
      </c>
      <c r="F4032" s="58">
        <f>E4032*C4032*9%</f>
        <v>1170</v>
      </c>
      <c r="G4032" s="58">
        <f>F4032</f>
        <v>1170</v>
      </c>
      <c r="H4032" s="59">
        <f>G4032+F4032+E4032*C4032</f>
        <v>15340</v>
      </c>
    </row>
    <row r="4033" spans="1:8" x14ac:dyDescent="0.3">
      <c r="A4033" s="57">
        <v>5</v>
      </c>
      <c r="B4033" s="238" t="s">
        <v>771</v>
      </c>
      <c r="C4033" s="57">
        <v>1</v>
      </c>
      <c r="D4033" s="56">
        <v>998719</v>
      </c>
      <c r="E4033" s="57">
        <v>3500</v>
      </c>
      <c r="F4033" s="58">
        <f>E4033*C4033*9%</f>
        <v>315</v>
      </c>
      <c r="G4033" s="58">
        <f>F4033</f>
        <v>315</v>
      </c>
      <c r="H4033" s="59">
        <f>G4033+F4033+E4033*C4033</f>
        <v>4130</v>
      </c>
    </row>
    <row r="4034" spans="1:8" x14ac:dyDescent="0.3">
      <c r="A4034" s="57"/>
      <c r="B4034" s="238"/>
      <c r="C4034" s="57"/>
      <c r="D4034" s="56"/>
      <c r="E4034" s="57"/>
      <c r="F4034" s="58"/>
      <c r="G4034" s="58"/>
      <c r="H4034" s="59"/>
    </row>
    <row r="4035" spans="1:8" x14ac:dyDescent="0.3">
      <c r="A4035" s="57"/>
      <c r="B4035" s="60"/>
      <c r="C4035" s="239"/>
      <c r="D4035" s="56"/>
      <c r="E4035" s="57"/>
      <c r="F4035" s="58"/>
      <c r="G4035" s="58"/>
      <c r="H4035" s="59"/>
    </row>
    <row r="4036" spans="1:8" x14ac:dyDescent="0.3">
      <c r="A4036" s="173"/>
      <c r="B4036" s="174"/>
      <c r="C4036" s="175"/>
      <c r="D4036" s="152"/>
      <c r="E4036" s="175"/>
      <c r="F4036" s="165"/>
      <c r="G4036" s="165"/>
      <c r="H4036" s="166"/>
    </row>
    <row r="4037" spans="1:8" x14ac:dyDescent="0.3">
      <c r="A4037" s="173"/>
      <c r="B4037" s="174"/>
      <c r="C4037" s="175"/>
      <c r="D4037" s="152"/>
      <c r="E4037" s="175"/>
      <c r="F4037" s="165"/>
      <c r="G4037" s="165"/>
      <c r="H4037" s="166"/>
    </row>
    <row r="4038" spans="1:8" x14ac:dyDescent="0.3">
      <c r="A4038" s="173"/>
      <c r="B4038" s="174"/>
      <c r="C4038" s="175"/>
      <c r="D4038" s="152"/>
      <c r="E4038" s="175"/>
      <c r="F4038" s="165"/>
      <c r="G4038" s="165"/>
      <c r="H4038" s="166"/>
    </row>
    <row r="4039" spans="1:8" x14ac:dyDescent="0.3">
      <c r="A4039" s="173"/>
      <c r="B4039" s="174"/>
      <c r="C4039" s="175"/>
      <c r="D4039" s="152"/>
      <c r="E4039" s="175"/>
      <c r="F4039" s="165"/>
      <c r="G4039" s="165"/>
      <c r="H4039" s="166"/>
    </row>
    <row r="4040" spans="1:8" x14ac:dyDescent="0.3">
      <c r="A4040" s="173"/>
      <c r="B4040" s="174"/>
      <c r="C4040" s="175"/>
      <c r="D4040" s="152"/>
      <c r="E4040" s="175"/>
      <c r="F4040" s="165"/>
      <c r="G4040" s="165"/>
      <c r="H4040" s="166"/>
    </row>
    <row r="4041" spans="1:8" x14ac:dyDescent="0.3">
      <c r="A4041" s="173"/>
      <c r="B4041" s="174"/>
      <c r="C4041" s="175"/>
      <c r="D4041" s="152"/>
      <c r="E4041" s="175"/>
      <c r="F4041" s="165"/>
      <c r="G4041" s="165"/>
      <c r="H4041" s="166"/>
    </row>
    <row r="4042" spans="1:8" x14ac:dyDescent="0.3">
      <c r="A4042" s="173"/>
      <c r="B4042" s="174"/>
      <c r="C4042" s="175"/>
      <c r="D4042" s="152"/>
      <c r="E4042" s="175"/>
      <c r="F4042" s="165"/>
      <c r="G4042" s="165"/>
      <c r="H4042" s="166"/>
    </row>
    <row r="4043" spans="1:8" x14ac:dyDescent="0.3">
      <c r="A4043" s="173"/>
      <c r="B4043" s="174"/>
      <c r="C4043" s="175"/>
      <c r="D4043" s="152"/>
      <c r="E4043" s="175"/>
      <c r="F4043" s="165"/>
      <c r="G4043" s="165"/>
      <c r="H4043" s="166"/>
    </row>
    <row r="4044" spans="1:8" x14ac:dyDescent="0.3">
      <c r="A4044" s="173"/>
      <c r="B4044" s="174"/>
      <c r="C4044" s="175"/>
      <c r="D4044" s="152"/>
      <c r="E4044" s="175"/>
      <c r="F4044" s="165"/>
      <c r="G4044" s="165"/>
      <c r="H4044" s="166"/>
    </row>
    <row r="4045" spans="1:8" x14ac:dyDescent="0.3">
      <c r="A4045" s="173"/>
      <c r="B4045" s="174"/>
      <c r="C4045" s="175"/>
      <c r="D4045" s="152"/>
      <c r="E4045" s="175"/>
      <c r="F4045" s="165"/>
      <c r="G4045" s="165"/>
      <c r="H4045" s="166"/>
    </row>
    <row r="4046" spans="1:8" x14ac:dyDescent="0.3">
      <c r="A4046" s="173"/>
      <c r="B4046" s="174"/>
      <c r="C4046" s="175"/>
      <c r="D4046" s="152"/>
      <c r="E4046" s="175"/>
      <c r="F4046" s="165"/>
      <c r="G4046" s="165"/>
      <c r="H4046" s="166"/>
    </row>
    <row r="4047" spans="1:8" x14ac:dyDescent="0.3">
      <c r="A4047" s="27"/>
      <c r="B4047" s="174"/>
      <c r="C4047" s="24"/>
      <c r="D4047" s="152"/>
      <c r="E4047" s="175"/>
      <c r="F4047" s="175"/>
      <c r="G4047" s="162"/>
      <c r="H4047" s="154"/>
    </row>
    <row r="4048" spans="1:8" x14ac:dyDescent="0.3">
      <c r="A4048" s="27"/>
      <c r="B4048" s="174"/>
      <c r="C4048" s="24"/>
      <c r="D4048" s="152"/>
      <c r="E4048" s="25"/>
      <c r="F4048" s="175"/>
      <c r="G4048" s="162"/>
      <c r="H4048" s="154"/>
    </row>
    <row r="4049" spans="1:8" x14ac:dyDescent="0.3">
      <c r="A4049" s="27"/>
      <c r="B4049" s="28"/>
      <c r="C4049" s="24"/>
      <c r="D4049" s="152"/>
      <c r="E4049" s="25"/>
      <c r="F4049" s="175"/>
      <c r="G4049" s="162"/>
      <c r="H4049" s="154"/>
    </row>
    <row r="4050" spans="1:8" x14ac:dyDescent="0.3">
      <c r="A4050" s="27"/>
      <c r="B4050" s="28"/>
      <c r="C4050" s="24"/>
      <c r="D4050" s="25"/>
      <c r="E4050" s="25"/>
      <c r="F4050" s="25"/>
      <c r="G4050" s="28"/>
      <c r="H4050" s="32"/>
    </row>
    <row r="4051" spans="1:8" ht="15.6" x14ac:dyDescent="0.3">
      <c r="A4051" s="448" t="s">
        <v>45</v>
      </c>
      <c r="B4051" s="449"/>
      <c r="C4051" s="24"/>
      <c r="D4051" s="25"/>
      <c r="E4051" s="25"/>
      <c r="F4051" s="447" t="s">
        <v>46</v>
      </c>
      <c r="G4051" s="447"/>
      <c r="H4051" s="66">
        <f>C4029*E4029+C4030*E4030+C4031*E4031+C4032*E4032+C4033*E4033</f>
        <v>20160</v>
      </c>
    </row>
    <row r="4052" spans="1:8" ht="15.6" x14ac:dyDescent="0.3">
      <c r="A4052" s="497" t="s">
        <v>774</v>
      </c>
      <c r="B4052" s="498"/>
      <c r="C4052" s="498"/>
      <c r="D4052" s="498"/>
      <c r="E4052" s="498"/>
      <c r="F4052" s="447" t="s">
        <v>47</v>
      </c>
      <c r="G4052" s="447"/>
      <c r="H4052" s="66">
        <f>H4051*9%</f>
        <v>1814.3999999999999</v>
      </c>
    </row>
    <row r="4053" spans="1:8" ht="15.6" x14ac:dyDescent="0.3">
      <c r="A4053" s="27"/>
      <c r="B4053" s="28"/>
      <c r="C4053" s="24"/>
      <c r="D4053" s="25"/>
      <c r="E4053" s="25"/>
      <c r="F4053" s="447" t="s">
        <v>48</v>
      </c>
      <c r="G4053" s="447"/>
      <c r="H4053" s="66">
        <f>H4052</f>
        <v>1814.3999999999999</v>
      </c>
    </row>
    <row r="4054" spans="1:8" ht="15.6" x14ac:dyDescent="0.3">
      <c r="A4054" s="448" t="s">
        <v>49</v>
      </c>
      <c r="B4054" s="449"/>
      <c r="C4054" s="24"/>
      <c r="D4054" s="25"/>
      <c r="E4054" s="25"/>
      <c r="F4054" s="447" t="s">
        <v>50</v>
      </c>
      <c r="G4054" s="447"/>
      <c r="H4054" s="66">
        <v>23789</v>
      </c>
    </row>
    <row r="4055" spans="1:8" ht="15.6" x14ac:dyDescent="0.3">
      <c r="A4055" s="90"/>
      <c r="B4055" s="177"/>
      <c r="C4055" s="24"/>
      <c r="D4055" s="25"/>
      <c r="E4055" s="25"/>
      <c r="F4055" s="26"/>
      <c r="G4055" s="26"/>
      <c r="H4055" s="66"/>
    </row>
    <row r="4056" spans="1:8" ht="27" x14ac:dyDescent="0.3">
      <c r="A4056" s="29" t="s">
        <v>22</v>
      </c>
      <c r="B4056" s="30" t="s">
        <v>51</v>
      </c>
      <c r="C4056" s="31" t="s">
        <v>24</v>
      </c>
      <c r="D4056" s="31" t="s">
        <v>25</v>
      </c>
      <c r="E4056" s="528" t="s">
        <v>52</v>
      </c>
      <c r="F4056" s="528"/>
      <c r="G4056" s="28"/>
      <c r="H4056" s="32"/>
    </row>
    <row r="4057" spans="1:8" x14ac:dyDescent="0.3">
      <c r="A4057" s="33">
        <v>0.18</v>
      </c>
      <c r="B4057" s="34">
        <f>H4051</f>
        <v>20160</v>
      </c>
      <c r="C4057" s="240">
        <f>H4052</f>
        <v>1814.3999999999999</v>
      </c>
      <c r="D4057" s="240">
        <f>H4053</f>
        <v>1814.3999999999999</v>
      </c>
      <c r="E4057" s="529">
        <f>C4057+D4057</f>
        <v>3628.7999999999997</v>
      </c>
      <c r="F4057" s="530"/>
      <c r="G4057" s="28"/>
      <c r="H4057" s="32"/>
    </row>
    <row r="4058" spans="1:8" x14ac:dyDescent="0.3">
      <c r="A4058" s="452" t="s">
        <v>773</v>
      </c>
      <c r="B4058" s="453"/>
      <c r="C4058" s="453"/>
      <c r="D4058" s="453"/>
      <c r="E4058" s="453"/>
      <c r="F4058" s="453"/>
      <c r="G4058" s="453"/>
      <c r="H4058" s="454"/>
    </row>
    <row r="4059" spans="1:8" ht="15.6" x14ac:dyDescent="0.3">
      <c r="A4059" s="455" t="s">
        <v>53</v>
      </c>
      <c r="B4059" s="456"/>
      <c r="C4059" s="456"/>
      <c r="D4059" s="457"/>
      <c r="E4059" s="458" t="s">
        <v>54</v>
      </c>
      <c r="F4059" s="459"/>
      <c r="G4059" s="459"/>
      <c r="H4059" s="460"/>
    </row>
    <row r="4060" spans="1:8" x14ac:dyDescent="0.3">
      <c r="A4060" s="461" t="s">
        <v>55</v>
      </c>
      <c r="B4060" s="462"/>
      <c r="C4060" s="462"/>
      <c r="D4060" s="463"/>
      <c r="E4060" s="39"/>
      <c r="F4060" s="25"/>
      <c r="G4060" s="28"/>
      <c r="H4060" s="32"/>
    </row>
    <row r="4061" spans="1:8" x14ac:dyDescent="0.3">
      <c r="A4061" s="461" t="s">
        <v>56</v>
      </c>
      <c r="B4061" s="462"/>
      <c r="C4061" s="462"/>
      <c r="D4061" s="463"/>
      <c r="E4061" s="39"/>
      <c r="F4061" s="25"/>
      <c r="G4061" s="28"/>
      <c r="H4061" s="32"/>
    </row>
    <row r="4062" spans="1:8" x14ac:dyDescent="0.3">
      <c r="A4062" s="461" t="s">
        <v>57</v>
      </c>
      <c r="B4062" s="462"/>
      <c r="C4062" s="462"/>
      <c r="D4062" s="463"/>
      <c r="E4062" s="39"/>
      <c r="F4062" s="25"/>
      <c r="G4062" s="28"/>
      <c r="H4062" s="32"/>
    </row>
    <row r="4063" spans="1:8" ht="15.6" x14ac:dyDescent="0.3">
      <c r="A4063" s="464" t="s">
        <v>58</v>
      </c>
      <c r="B4063" s="465"/>
      <c r="C4063" s="465"/>
      <c r="D4063" s="510"/>
      <c r="E4063" s="466" t="s">
        <v>59</v>
      </c>
      <c r="F4063" s="467"/>
      <c r="G4063" s="467"/>
      <c r="H4063" s="468"/>
    </row>
    <row r="4064" spans="1:8" ht="15.6" x14ac:dyDescent="0.3">
      <c r="A4064" s="104"/>
      <c r="B4064" s="104"/>
      <c r="C4064" s="104"/>
      <c r="D4064" s="104"/>
      <c r="E4064" s="105"/>
      <c r="F4064" s="105"/>
      <c r="G4064" s="105"/>
      <c r="H4064" s="105"/>
    </row>
    <row r="4065" spans="1:9" ht="15.6" x14ac:dyDescent="0.3">
      <c r="A4065" s="104"/>
      <c r="B4065" s="104"/>
      <c r="C4065" s="104"/>
      <c r="D4065" s="104"/>
      <c r="E4065" s="105"/>
      <c r="F4065" s="105"/>
      <c r="G4065" s="105"/>
      <c r="H4065" s="105"/>
    </row>
    <row r="4066" spans="1:9" ht="44.4" x14ac:dyDescent="0.7">
      <c r="A4066" s="469" t="s">
        <v>0</v>
      </c>
      <c r="B4066" s="470"/>
      <c r="C4066" s="470"/>
      <c r="D4066" s="470"/>
      <c r="E4066" s="531" t="s">
        <v>1</v>
      </c>
      <c r="F4066" s="544"/>
      <c r="G4066" s="544"/>
      <c r="H4066" s="545"/>
    </row>
    <row r="4067" spans="1:9" ht="20.399999999999999" x14ac:dyDescent="0.35">
      <c r="A4067" s="1"/>
      <c r="B4067" s="535" t="s">
        <v>2</v>
      </c>
      <c r="C4067" s="535"/>
      <c r="D4067" s="535"/>
      <c r="E4067" s="546"/>
      <c r="F4067" s="546"/>
      <c r="G4067" s="546"/>
      <c r="H4067" s="547"/>
    </row>
    <row r="4068" spans="1:9" x14ac:dyDescent="0.3">
      <c r="A4068" s="477" t="s">
        <v>3</v>
      </c>
      <c r="B4068" s="478"/>
      <c r="C4068" s="479" t="s">
        <v>4</v>
      </c>
      <c r="D4068" s="479"/>
      <c r="E4068" s="548" t="s">
        <v>5</v>
      </c>
      <c r="F4068" s="549"/>
      <c r="G4068" s="549"/>
      <c r="H4068" s="550"/>
    </row>
    <row r="4069" spans="1:9" ht="15.6" x14ac:dyDescent="0.3">
      <c r="A4069" s="4" t="s">
        <v>6</v>
      </c>
      <c r="B4069" s="5"/>
      <c r="C4069" s="536" t="s">
        <v>7</v>
      </c>
      <c r="D4069" s="516"/>
      <c r="E4069" s="489">
        <v>89</v>
      </c>
      <c r="F4069" s="491"/>
      <c r="G4069" s="7" t="s">
        <v>8</v>
      </c>
      <c r="H4069" s="8">
        <v>45877</v>
      </c>
    </row>
    <row r="4070" spans="1:9" ht="15.6" x14ac:dyDescent="0.3">
      <c r="A4070" s="667" t="s">
        <v>775</v>
      </c>
      <c r="B4070" s="668"/>
      <c r="C4070" s="536" t="s">
        <v>10</v>
      </c>
      <c r="D4070" s="516"/>
      <c r="E4070" s="489"/>
      <c r="F4070" s="491"/>
      <c r="G4070" s="7" t="s">
        <v>8</v>
      </c>
      <c r="H4070" s="8"/>
    </row>
    <row r="4071" spans="1:9" ht="27.75" customHeight="1" x14ac:dyDescent="0.3">
      <c r="A4071" s="517" t="s">
        <v>776</v>
      </c>
      <c r="B4071" s="518"/>
      <c r="C4071" s="483" t="s">
        <v>12</v>
      </c>
      <c r="D4071" s="484"/>
      <c r="E4071" s="564" t="s">
        <v>779</v>
      </c>
      <c r="F4071" s="593"/>
      <c r="G4071" s="10" t="s">
        <v>8</v>
      </c>
      <c r="H4071" s="57" t="s">
        <v>487</v>
      </c>
    </row>
    <row r="4072" spans="1:9" ht="15.6" x14ac:dyDescent="0.3">
      <c r="A4072" s="556" t="s">
        <v>777</v>
      </c>
      <c r="B4072" s="557"/>
      <c r="C4072" s="536" t="s">
        <v>15</v>
      </c>
      <c r="D4072" s="516"/>
      <c r="E4072" s="302" t="s">
        <v>778</v>
      </c>
      <c r="F4072" s="303"/>
      <c r="G4072" s="112"/>
      <c r="H4072" s="126"/>
    </row>
    <row r="4073" spans="1:9" ht="15.6" x14ac:dyDescent="0.3">
      <c r="A4073" s="558" t="s">
        <v>780</v>
      </c>
      <c r="B4073" s="559"/>
      <c r="C4073" s="489"/>
      <c r="D4073" s="490"/>
      <c r="E4073" s="490"/>
      <c r="F4073" s="490"/>
      <c r="G4073" s="490"/>
      <c r="H4073" s="491"/>
    </row>
    <row r="4074" spans="1:9" ht="15" x14ac:dyDescent="0.3">
      <c r="A4074" s="493" t="s">
        <v>17</v>
      </c>
      <c r="B4074" s="495" t="s">
        <v>18</v>
      </c>
      <c r="C4074" s="495" t="s">
        <v>19</v>
      </c>
      <c r="D4074" s="495" t="s">
        <v>20</v>
      </c>
      <c r="E4074" s="495" t="s">
        <v>21</v>
      </c>
      <c r="F4074" s="541" t="s">
        <v>22</v>
      </c>
      <c r="G4074" s="542"/>
      <c r="H4074" s="493" t="s">
        <v>23</v>
      </c>
    </row>
    <row r="4075" spans="1:9" ht="27.6" x14ac:dyDescent="0.3">
      <c r="A4075" s="527"/>
      <c r="B4075" s="505"/>
      <c r="C4075" s="505"/>
      <c r="D4075" s="505"/>
      <c r="E4075" s="505"/>
      <c r="F4075" s="53" t="s">
        <v>24</v>
      </c>
      <c r="G4075" s="53" t="s">
        <v>25</v>
      </c>
      <c r="H4075" s="527"/>
    </row>
    <row r="4076" spans="1:9" s="189" customFormat="1" ht="27.6" x14ac:dyDescent="0.3">
      <c r="A4076" s="20">
        <v>1</v>
      </c>
      <c r="B4076" s="127" t="s">
        <v>784</v>
      </c>
      <c r="C4076" s="128">
        <v>4</v>
      </c>
      <c r="D4076" s="86">
        <v>8538</v>
      </c>
      <c r="E4076" s="55">
        <v>6000</v>
      </c>
      <c r="F4076" s="93">
        <f t="shared" ref="F4076:F4081" si="27">E4076*C4076*9%</f>
        <v>2160</v>
      </c>
      <c r="G4076" s="93">
        <f t="shared" ref="G4076:G4081" si="28">F4076</f>
        <v>2160</v>
      </c>
      <c r="H4076" s="62">
        <f t="shared" ref="H4076:H4081" si="29">G4076+F4076+E4076*C4076</f>
        <v>28320</v>
      </c>
      <c r="I4076" s="362">
        <f>C4076*E4076</f>
        <v>24000</v>
      </c>
    </row>
    <row r="4077" spans="1:9" x14ac:dyDescent="0.3">
      <c r="A4077" s="20">
        <v>2</v>
      </c>
      <c r="B4077" s="60" t="s">
        <v>781</v>
      </c>
      <c r="C4077" s="55">
        <v>1</v>
      </c>
      <c r="D4077" s="86">
        <v>8538</v>
      </c>
      <c r="E4077" s="55">
        <v>3000</v>
      </c>
      <c r="F4077" s="93">
        <f t="shared" si="27"/>
        <v>270</v>
      </c>
      <c r="G4077" s="93">
        <f t="shared" si="28"/>
        <v>270</v>
      </c>
      <c r="H4077" s="62">
        <f t="shared" si="29"/>
        <v>3540</v>
      </c>
      <c r="I4077" s="362">
        <f t="shared" ref="I4077:I4085" si="30">C4077*E4077</f>
        <v>3000</v>
      </c>
    </row>
    <row r="4078" spans="1:9" ht="27.6" x14ac:dyDescent="0.3">
      <c r="A4078" s="20">
        <v>3</v>
      </c>
      <c r="B4078" s="60" t="s">
        <v>782</v>
      </c>
      <c r="C4078" s="55">
        <v>35</v>
      </c>
      <c r="D4078" s="86">
        <v>830820</v>
      </c>
      <c r="E4078" s="55">
        <v>150</v>
      </c>
      <c r="F4078" s="93">
        <f t="shared" si="27"/>
        <v>472.5</v>
      </c>
      <c r="G4078" s="93">
        <f t="shared" si="28"/>
        <v>472.5</v>
      </c>
      <c r="H4078" s="62">
        <f t="shared" si="29"/>
        <v>6195</v>
      </c>
      <c r="I4078" s="362">
        <f t="shared" si="30"/>
        <v>5250</v>
      </c>
    </row>
    <row r="4079" spans="1:9" x14ac:dyDescent="0.3">
      <c r="A4079" s="20">
        <v>4</v>
      </c>
      <c r="B4079" s="60" t="s">
        <v>783</v>
      </c>
      <c r="C4079" s="129">
        <v>5</v>
      </c>
      <c r="D4079" s="86">
        <v>998719</v>
      </c>
      <c r="E4079" s="55">
        <v>800</v>
      </c>
      <c r="F4079" s="93">
        <f t="shared" si="27"/>
        <v>360</v>
      </c>
      <c r="G4079" s="93">
        <f t="shared" si="28"/>
        <v>360</v>
      </c>
      <c r="H4079" s="62">
        <f t="shared" si="29"/>
        <v>4720</v>
      </c>
      <c r="I4079" s="362">
        <f t="shared" si="30"/>
        <v>4000</v>
      </c>
    </row>
    <row r="4080" spans="1:9" x14ac:dyDescent="0.3">
      <c r="A4080" s="20">
        <v>5</v>
      </c>
      <c r="B4080" s="130" t="s">
        <v>786</v>
      </c>
      <c r="C4080" s="129">
        <v>5</v>
      </c>
      <c r="D4080" s="86">
        <v>998719</v>
      </c>
      <c r="E4080" s="55">
        <v>1700</v>
      </c>
      <c r="F4080" s="93">
        <f t="shared" si="27"/>
        <v>765</v>
      </c>
      <c r="G4080" s="93">
        <f t="shared" si="28"/>
        <v>765</v>
      </c>
      <c r="H4080" s="62">
        <f t="shared" si="29"/>
        <v>10030</v>
      </c>
      <c r="I4080" s="362">
        <f t="shared" si="30"/>
        <v>8500</v>
      </c>
    </row>
    <row r="4081" spans="1:9" ht="27.6" x14ac:dyDescent="0.3">
      <c r="A4081" s="20">
        <v>6</v>
      </c>
      <c r="B4081" s="130" t="s">
        <v>787</v>
      </c>
      <c r="C4081" s="55">
        <v>30</v>
      </c>
      <c r="D4081" s="297">
        <v>85446020</v>
      </c>
      <c r="E4081" s="55">
        <v>450</v>
      </c>
      <c r="F4081" s="93">
        <f t="shared" si="27"/>
        <v>1215</v>
      </c>
      <c r="G4081" s="93">
        <f t="shared" si="28"/>
        <v>1215</v>
      </c>
      <c r="H4081" s="62">
        <f t="shared" si="29"/>
        <v>15930</v>
      </c>
      <c r="I4081" s="362">
        <f t="shared" si="30"/>
        <v>13500</v>
      </c>
    </row>
    <row r="4082" spans="1:9" x14ac:dyDescent="0.3">
      <c r="A4082" s="131"/>
      <c r="B4082" s="132"/>
      <c r="C4082" s="24"/>
      <c r="D4082" s="24"/>
      <c r="E4082" s="24"/>
      <c r="F4082" s="133"/>
      <c r="G4082" s="133"/>
      <c r="H4082" s="134"/>
      <c r="I4082" s="362">
        <f t="shared" si="30"/>
        <v>0</v>
      </c>
    </row>
    <row r="4083" spans="1:9" ht="15" x14ac:dyDescent="0.3">
      <c r="A4083" s="131"/>
      <c r="B4083" s="132"/>
      <c r="C4083" s="24"/>
      <c r="D4083" s="24"/>
      <c r="E4083" s="24"/>
      <c r="F4083" s="541" t="s">
        <v>22</v>
      </c>
      <c r="G4083" s="542"/>
      <c r="H4083" s="134"/>
      <c r="I4083" s="362">
        <f t="shared" si="30"/>
        <v>0</v>
      </c>
    </row>
    <row r="4084" spans="1:9" ht="27.6" x14ac:dyDescent="0.3">
      <c r="A4084" s="27"/>
      <c r="B4084" s="28"/>
      <c r="C4084" s="24"/>
      <c r="D4084" s="25"/>
      <c r="E4084" s="25"/>
      <c r="F4084" s="53" t="s">
        <v>668</v>
      </c>
      <c r="G4084" s="53" t="s">
        <v>793</v>
      </c>
      <c r="H4084" s="32"/>
      <c r="I4084" s="362">
        <f t="shared" si="30"/>
        <v>0</v>
      </c>
    </row>
    <row r="4085" spans="1:9" x14ac:dyDescent="0.3">
      <c r="A4085" s="55">
        <v>7</v>
      </c>
      <c r="B4085" s="63" t="s">
        <v>785</v>
      </c>
      <c r="C4085" s="55">
        <v>9</v>
      </c>
      <c r="D4085" s="55">
        <v>2508</v>
      </c>
      <c r="E4085" s="55">
        <v>400</v>
      </c>
      <c r="F4085" s="93">
        <v>90</v>
      </c>
      <c r="G4085" s="93">
        <f>F4085</f>
        <v>90</v>
      </c>
      <c r="H4085" s="62">
        <f>G4085+F4085+E4085*C4085</f>
        <v>3780</v>
      </c>
      <c r="I4085" s="362">
        <f t="shared" si="30"/>
        <v>3600</v>
      </c>
    </row>
    <row r="4086" spans="1:9" x14ac:dyDescent="0.3">
      <c r="A4086" s="27"/>
      <c r="B4086" s="28"/>
      <c r="C4086" s="24"/>
      <c r="D4086" s="25"/>
      <c r="E4086" s="25"/>
      <c r="F4086" s="28"/>
      <c r="G4086" s="28"/>
      <c r="H4086" s="32"/>
    </row>
    <row r="4087" spans="1:9" x14ac:dyDescent="0.3">
      <c r="A4087" s="27"/>
      <c r="B4087" s="28"/>
      <c r="C4087" s="24"/>
      <c r="D4087" s="25"/>
      <c r="E4087" s="25"/>
      <c r="F4087" s="28"/>
      <c r="G4087" s="28"/>
      <c r="H4087" s="32"/>
    </row>
    <row r="4088" spans="1:9" x14ac:dyDescent="0.3">
      <c r="A4088" s="27"/>
      <c r="B4088" s="28"/>
      <c r="C4088" s="24"/>
      <c r="D4088" s="25"/>
      <c r="E4088" s="25"/>
      <c r="F4088" s="28"/>
      <c r="G4088" s="28"/>
      <c r="H4088" s="32"/>
    </row>
    <row r="4089" spans="1:9" x14ac:dyDescent="0.3">
      <c r="A4089" s="27"/>
      <c r="B4089" s="28"/>
      <c r="C4089" s="24"/>
      <c r="D4089" s="25"/>
      <c r="E4089" s="25"/>
      <c r="F4089" s="28"/>
      <c r="G4089" s="28"/>
      <c r="H4089" s="32"/>
    </row>
    <row r="4090" spans="1:9" x14ac:dyDescent="0.3">
      <c r="A4090" s="27"/>
      <c r="B4090" s="28"/>
      <c r="C4090" s="24"/>
      <c r="D4090" s="25"/>
      <c r="E4090" s="25"/>
      <c r="F4090" s="28"/>
      <c r="G4090" s="28"/>
      <c r="H4090" s="32"/>
    </row>
    <row r="4091" spans="1:9" ht="15.6" x14ac:dyDescent="0.3">
      <c r="A4091" s="448" t="s">
        <v>97</v>
      </c>
      <c r="B4091" s="449"/>
      <c r="C4091" s="449"/>
      <c r="D4091" s="25"/>
      <c r="E4091" s="25"/>
      <c r="F4091" s="447" t="s">
        <v>790</v>
      </c>
      <c r="G4091" s="447"/>
      <c r="H4091" s="66">
        <v>61850</v>
      </c>
    </row>
    <row r="4092" spans="1:9" x14ac:dyDescent="0.3">
      <c r="A4092" s="497" t="s">
        <v>814</v>
      </c>
      <c r="B4092" s="498"/>
      <c r="C4092" s="498"/>
      <c r="D4092" s="498"/>
      <c r="E4092" s="498"/>
      <c r="F4092" s="664" t="s">
        <v>791</v>
      </c>
      <c r="G4092" s="664"/>
      <c r="H4092" s="66">
        <v>5243</v>
      </c>
    </row>
    <row r="4093" spans="1:9" x14ac:dyDescent="0.3">
      <c r="A4093" s="27"/>
      <c r="B4093" s="28"/>
      <c r="C4093" s="24"/>
      <c r="D4093" s="25"/>
      <c r="E4093" s="25"/>
      <c r="F4093" s="664" t="s">
        <v>792</v>
      </c>
      <c r="G4093" s="664"/>
      <c r="H4093" s="66">
        <f>H4092</f>
        <v>5243</v>
      </c>
    </row>
    <row r="4094" spans="1:9" x14ac:dyDescent="0.3">
      <c r="A4094" s="27"/>
      <c r="B4094" s="28"/>
      <c r="C4094" s="24"/>
      <c r="D4094" s="25"/>
      <c r="E4094" s="25"/>
      <c r="F4094" s="664" t="s">
        <v>788</v>
      </c>
      <c r="G4094" s="664"/>
      <c r="H4094" s="66">
        <v>90</v>
      </c>
    </row>
    <row r="4095" spans="1:9" x14ac:dyDescent="0.3">
      <c r="A4095" s="27"/>
      <c r="B4095" s="28"/>
      <c r="C4095" s="24"/>
      <c r="D4095" s="25"/>
      <c r="E4095" s="25"/>
      <c r="F4095" s="664" t="s">
        <v>789</v>
      </c>
      <c r="G4095" s="664"/>
      <c r="H4095" s="66">
        <v>90</v>
      </c>
    </row>
    <row r="4096" spans="1:9" ht="15.6" x14ac:dyDescent="0.3">
      <c r="A4096" s="448" t="s">
        <v>49</v>
      </c>
      <c r="B4096" s="449"/>
      <c r="C4096" s="449"/>
      <c r="D4096" s="25"/>
      <c r="E4096" s="25"/>
      <c r="F4096" s="447" t="s">
        <v>50</v>
      </c>
      <c r="G4096" s="447"/>
      <c r="H4096" s="66">
        <f>SUM(H4091:H4095)</f>
        <v>72516</v>
      </c>
    </row>
    <row r="4097" spans="1:8" ht="27" x14ac:dyDescent="0.3">
      <c r="A4097" s="304" t="s">
        <v>22</v>
      </c>
      <c r="B4097" s="307" t="s">
        <v>51</v>
      </c>
      <c r="C4097" s="14" t="s">
        <v>24</v>
      </c>
      <c r="D4097" s="306" t="s">
        <v>25</v>
      </c>
      <c r="E4097" s="669" t="s">
        <v>52</v>
      </c>
      <c r="F4097" s="669"/>
      <c r="G4097" s="669"/>
      <c r="H4097" s="32"/>
    </row>
    <row r="4098" spans="1:8" x14ac:dyDescent="0.3">
      <c r="A4098" s="305">
        <v>0.18</v>
      </c>
      <c r="B4098" s="62">
        <v>58250</v>
      </c>
      <c r="C4098" s="55">
        <f>H4092</f>
        <v>5243</v>
      </c>
      <c r="D4098" s="55">
        <f>H4092</f>
        <v>5243</v>
      </c>
      <c r="E4098" s="670">
        <v>10486</v>
      </c>
      <c r="F4098" s="670"/>
      <c r="G4098" s="670"/>
      <c r="H4098" s="75"/>
    </row>
    <row r="4099" spans="1:8" ht="27" x14ac:dyDescent="0.3">
      <c r="C4099" s="14" t="s">
        <v>668</v>
      </c>
      <c r="D4099" s="306" t="s">
        <v>793</v>
      </c>
      <c r="E4099" s="670"/>
      <c r="F4099" s="670"/>
      <c r="G4099" s="670"/>
      <c r="H4099" s="75"/>
    </row>
    <row r="4100" spans="1:8" x14ac:dyDescent="0.3">
      <c r="A4100" s="305">
        <v>0.05</v>
      </c>
      <c r="B4100" s="62">
        <v>3600</v>
      </c>
      <c r="C4100" s="55">
        <v>90</v>
      </c>
      <c r="D4100" s="55">
        <v>90</v>
      </c>
      <c r="E4100" s="670">
        <v>180</v>
      </c>
      <c r="F4100" s="670"/>
      <c r="G4100" s="670"/>
      <c r="H4100" s="75"/>
    </row>
    <row r="4101" spans="1:8" x14ac:dyDescent="0.3">
      <c r="A4101" s="452" t="s">
        <v>794</v>
      </c>
      <c r="B4101" s="453"/>
      <c r="C4101" s="453"/>
      <c r="D4101" s="453"/>
      <c r="E4101" s="309" t="s">
        <v>815</v>
      </c>
      <c r="F4101" s="309"/>
      <c r="G4101" s="309"/>
      <c r="H4101" s="308"/>
    </row>
    <row r="4102" spans="1:8" ht="15.6" x14ac:dyDescent="0.3">
      <c r="A4102" s="455" t="s">
        <v>53</v>
      </c>
      <c r="B4102" s="456"/>
      <c r="C4102" s="456"/>
      <c r="D4102" s="135"/>
      <c r="E4102" s="458" t="s">
        <v>54</v>
      </c>
      <c r="F4102" s="459"/>
      <c r="G4102" s="459"/>
      <c r="H4102" s="460"/>
    </row>
    <row r="4103" spans="1:8" x14ac:dyDescent="0.3">
      <c r="A4103" s="100" t="s">
        <v>55</v>
      </c>
      <c r="B4103" s="101"/>
      <c r="C4103" s="101"/>
      <c r="D4103" s="101"/>
      <c r="E4103" s="39"/>
      <c r="F4103" s="25"/>
      <c r="G4103" s="28"/>
      <c r="H4103" s="32"/>
    </row>
    <row r="4104" spans="1:8" x14ac:dyDescent="0.3">
      <c r="A4104" s="461" t="s">
        <v>56</v>
      </c>
      <c r="B4104" s="462"/>
      <c r="C4104" s="462"/>
      <c r="D4104" s="101"/>
      <c r="E4104" s="39"/>
      <c r="F4104" s="25"/>
      <c r="G4104" s="28"/>
      <c r="H4104" s="32"/>
    </row>
    <row r="4105" spans="1:8" x14ac:dyDescent="0.3">
      <c r="A4105" s="461" t="s">
        <v>57</v>
      </c>
      <c r="B4105" s="462"/>
      <c r="C4105" s="462"/>
      <c r="D4105" s="463"/>
      <c r="E4105" s="39"/>
      <c r="F4105" s="25"/>
      <c r="G4105" s="28"/>
      <c r="H4105" s="32"/>
    </row>
    <row r="4106" spans="1:8" ht="15.6" x14ac:dyDescent="0.3">
      <c r="A4106" s="464" t="s">
        <v>58</v>
      </c>
      <c r="B4106" s="465"/>
      <c r="C4106" s="465"/>
      <c r="D4106" s="510"/>
      <c r="E4106" s="466" t="s">
        <v>59</v>
      </c>
      <c r="F4106" s="467"/>
      <c r="G4106" s="467"/>
      <c r="H4106" s="468"/>
    </row>
    <row r="4107" spans="1:8" ht="15.6" x14ac:dyDescent="0.3">
      <c r="A4107" s="300"/>
      <c r="B4107" s="104"/>
      <c r="C4107" s="104"/>
      <c r="D4107" s="104"/>
      <c r="E4107" s="105"/>
      <c r="F4107" s="105"/>
      <c r="G4107" s="105"/>
      <c r="H4107" s="301"/>
    </row>
    <row r="4108" spans="1:8" ht="44.4" x14ac:dyDescent="0.7">
      <c r="A4108" s="469" t="s">
        <v>0</v>
      </c>
      <c r="B4108" s="470"/>
      <c r="C4108" s="470"/>
      <c r="D4108" s="470"/>
      <c r="E4108" s="531" t="s">
        <v>1</v>
      </c>
      <c r="F4108" s="544"/>
      <c r="G4108" s="544"/>
      <c r="H4108" s="545"/>
    </row>
    <row r="4109" spans="1:8" ht="20.399999999999999" x14ac:dyDescent="0.35">
      <c r="A4109" s="1"/>
      <c r="B4109" s="476" t="s">
        <v>2</v>
      </c>
      <c r="C4109" s="476"/>
      <c r="D4109" s="476"/>
      <c r="E4109" s="546"/>
      <c r="F4109" s="546"/>
      <c r="G4109" s="546"/>
      <c r="H4109" s="547"/>
    </row>
    <row r="4110" spans="1:8" x14ac:dyDescent="0.3">
      <c r="A4110" s="477" t="s">
        <v>3</v>
      </c>
      <c r="B4110" s="478"/>
      <c r="C4110" s="479" t="s">
        <v>4</v>
      </c>
      <c r="D4110" s="479"/>
      <c r="E4110" s="654" t="s">
        <v>5</v>
      </c>
      <c r="F4110" s="654"/>
      <c r="G4110" s="654"/>
      <c r="H4110" s="654"/>
    </row>
    <row r="4111" spans="1:8" ht="15.6" x14ac:dyDescent="0.3">
      <c r="A4111" s="138" t="s">
        <v>6</v>
      </c>
      <c r="B4111" s="5"/>
      <c r="C4111" s="512" t="s">
        <v>7</v>
      </c>
      <c r="D4111" s="513"/>
      <c r="E4111" s="482">
        <v>90</v>
      </c>
      <c r="F4111" s="482"/>
      <c r="G4111" s="7" t="s">
        <v>8</v>
      </c>
      <c r="H4111" s="9">
        <v>45877</v>
      </c>
    </row>
    <row r="4112" spans="1:8" ht="15.6" x14ac:dyDescent="0.3">
      <c r="A4112" s="667" t="s">
        <v>775</v>
      </c>
      <c r="B4112" s="668"/>
      <c r="C4112" s="516" t="s">
        <v>10</v>
      </c>
      <c r="D4112" s="481"/>
      <c r="E4112" s="482"/>
      <c r="F4112" s="482"/>
      <c r="G4112" s="7" t="s">
        <v>8</v>
      </c>
      <c r="H4112" s="9"/>
    </row>
    <row r="4113" spans="1:9" ht="23.25" customHeight="1" x14ac:dyDescent="0.3">
      <c r="A4113" s="517" t="s">
        <v>776</v>
      </c>
      <c r="B4113" s="518"/>
      <c r="C4113" s="484" t="s">
        <v>12</v>
      </c>
      <c r="D4113" s="519"/>
      <c r="E4113" s="665" t="s">
        <v>796</v>
      </c>
      <c r="F4113" s="666"/>
      <c r="G4113" s="10" t="s">
        <v>8</v>
      </c>
      <c r="H4113" s="11" t="s">
        <v>795</v>
      </c>
    </row>
    <row r="4114" spans="1:9" ht="15.6" x14ac:dyDescent="0.3">
      <c r="A4114" s="556" t="s">
        <v>777</v>
      </c>
      <c r="B4114" s="557"/>
      <c r="C4114" s="521" t="s">
        <v>15</v>
      </c>
      <c r="D4114" s="522"/>
      <c r="E4114" s="523" t="s">
        <v>778</v>
      </c>
      <c r="F4114" s="524"/>
      <c r="G4114" s="524"/>
      <c r="H4114" s="6"/>
    </row>
    <row r="4115" spans="1:9" ht="15.6" x14ac:dyDescent="0.3">
      <c r="A4115" s="558" t="s">
        <v>780</v>
      </c>
      <c r="B4115" s="559"/>
      <c r="C4115" s="230"/>
      <c r="D4115" s="231"/>
      <c r="E4115" s="232"/>
      <c r="F4115" s="233"/>
      <c r="G4115" s="233"/>
      <c r="H4115" s="231"/>
    </row>
    <row r="4116" spans="1:9" ht="15" x14ac:dyDescent="0.3">
      <c r="A4116" s="527" t="s">
        <v>17</v>
      </c>
      <c r="B4116" s="505" t="s">
        <v>18</v>
      </c>
      <c r="C4116" s="494" t="s">
        <v>19</v>
      </c>
      <c r="D4116" s="494" t="s">
        <v>20</v>
      </c>
      <c r="E4116" s="494" t="s">
        <v>21</v>
      </c>
      <c r="F4116" s="494" t="s">
        <v>22</v>
      </c>
      <c r="G4116" s="494"/>
      <c r="H4116" s="492" t="s">
        <v>23</v>
      </c>
    </row>
    <row r="4117" spans="1:9" ht="27.6" x14ac:dyDescent="0.3">
      <c r="A4117" s="492"/>
      <c r="B4117" s="494"/>
      <c r="C4117" s="494"/>
      <c r="D4117" s="494"/>
      <c r="E4117" s="494"/>
      <c r="F4117" s="53" t="s">
        <v>24</v>
      </c>
      <c r="G4117" s="53" t="s">
        <v>25</v>
      </c>
      <c r="H4117" s="492"/>
    </row>
    <row r="4118" spans="1:9" x14ac:dyDescent="0.3">
      <c r="A4118" s="57">
        <v>1</v>
      </c>
      <c r="B4118" s="60" t="s">
        <v>760</v>
      </c>
      <c r="C4118" s="57">
        <v>1</v>
      </c>
      <c r="D4118" s="56">
        <v>998719</v>
      </c>
      <c r="E4118" s="57">
        <v>7000</v>
      </c>
      <c r="F4118" s="58">
        <f>E4118*C4118*9%</f>
        <v>630</v>
      </c>
      <c r="G4118" s="58">
        <f>F4118</f>
        <v>630</v>
      </c>
      <c r="H4118" s="59">
        <f>G4118+F4118+E4118*C4118</f>
        <v>8260</v>
      </c>
      <c r="I4118" s="362">
        <f>E4118*C4118</f>
        <v>7000</v>
      </c>
    </row>
    <row r="4119" spans="1:9" x14ac:dyDescent="0.3">
      <c r="A4119" s="57">
        <v>2</v>
      </c>
      <c r="B4119" s="60" t="s">
        <v>751</v>
      </c>
      <c r="C4119" s="57">
        <v>6</v>
      </c>
      <c r="D4119" s="56">
        <v>998719</v>
      </c>
      <c r="E4119" s="185">
        <v>3500</v>
      </c>
      <c r="F4119" s="58">
        <f>E4119*C4119*9%</f>
        <v>1890</v>
      </c>
      <c r="G4119" s="58">
        <f>F4119</f>
        <v>1890</v>
      </c>
      <c r="H4119" s="59">
        <f>G4119+F4119+E4119*C4119</f>
        <v>24780</v>
      </c>
      <c r="I4119" s="362">
        <f t="shared" ref="I4119:I4125" si="31">E4119*C4119</f>
        <v>21000</v>
      </c>
    </row>
    <row r="4120" spans="1:9" x14ac:dyDescent="0.3">
      <c r="A4120" s="57">
        <v>3</v>
      </c>
      <c r="B4120" s="237" t="s">
        <v>756</v>
      </c>
      <c r="C4120" s="188">
        <v>1</v>
      </c>
      <c r="D4120" s="56">
        <v>998719</v>
      </c>
      <c r="E4120" s="57">
        <v>2000</v>
      </c>
      <c r="F4120" s="58">
        <f t="shared" ref="F4120:F4125" si="32">E4120*C4120*9%</f>
        <v>180</v>
      </c>
      <c r="G4120" s="58">
        <f t="shared" ref="G4120:G4125" si="33">F4120</f>
        <v>180</v>
      </c>
      <c r="H4120" s="59">
        <f t="shared" ref="H4120:H4125" si="34">G4120+F4120+E4120*C4120</f>
        <v>2360</v>
      </c>
      <c r="I4120" s="362">
        <f t="shared" si="31"/>
        <v>2000</v>
      </c>
    </row>
    <row r="4121" spans="1:9" x14ac:dyDescent="0.3">
      <c r="A4121" s="57">
        <v>4</v>
      </c>
      <c r="B4121" s="237" t="s">
        <v>757</v>
      </c>
      <c r="C4121" s="188">
        <v>3</v>
      </c>
      <c r="D4121" s="56">
        <v>998719</v>
      </c>
      <c r="E4121" s="57">
        <v>1500</v>
      </c>
      <c r="F4121" s="58">
        <f t="shared" si="32"/>
        <v>405</v>
      </c>
      <c r="G4121" s="58">
        <f t="shared" si="33"/>
        <v>405</v>
      </c>
      <c r="H4121" s="59">
        <f t="shared" si="34"/>
        <v>5310</v>
      </c>
      <c r="I4121" s="362">
        <f t="shared" si="31"/>
        <v>4500</v>
      </c>
    </row>
    <row r="4122" spans="1:9" x14ac:dyDescent="0.3">
      <c r="A4122" s="57">
        <v>5</v>
      </c>
      <c r="B4122" s="238" t="s">
        <v>761</v>
      </c>
      <c r="C4122" s="57">
        <v>1</v>
      </c>
      <c r="D4122" s="56">
        <v>998719</v>
      </c>
      <c r="E4122" s="57">
        <v>15000</v>
      </c>
      <c r="F4122" s="58">
        <f t="shared" si="32"/>
        <v>1350</v>
      </c>
      <c r="G4122" s="58">
        <f t="shared" si="33"/>
        <v>1350</v>
      </c>
      <c r="H4122" s="59">
        <f t="shared" si="34"/>
        <v>17700</v>
      </c>
      <c r="I4122" s="362">
        <f t="shared" si="31"/>
        <v>15000</v>
      </c>
    </row>
    <row r="4123" spans="1:9" x14ac:dyDescent="0.3">
      <c r="A4123" s="57">
        <v>6</v>
      </c>
      <c r="B4123" s="238" t="s">
        <v>797</v>
      </c>
      <c r="C4123" s="57">
        <v>1</v>
      </c>
      <c r="D4123" s="56">
        <v>998719</v>
      </c>
      <c r="E4123" s="57">
        <v>4500</v>
      </c>
      <c r="F4123" s="58">
        <f t="shared" si="32"/>
        <v>405</v>
      </c>
      <c r="G4123" s="58">
        <f t="shared" si="33"/>
        <v>405</v>
      </c>
      <c r="H4123" s="59">
        <f t="shared" si="34"/>
        <v>5310</v>
      </c>
      <c r="I4123" s="362">
        <f t="shared" si="31"/>
        <v>4500</v>
      </c>
    </row>
    <row r="4124" spans="1:9" ht="20.25" customHeight="1" x14ac:dyDescent="0.3">
      <c r="A4124" s="57">
        <v>7</v>
      </c>
      <c r="B4124" s="60" t="s">
        <v>798</v>
      </c>
      <c r="C4124" s="239">
        <v>1</v>
      </c>
      <c r="D4124" s="56">
        <v>998719</v>
      </c>
      <c r="E4124" s="57">
        <v>5500</v>
      </c>
      <c r="F4124" s="58">
        <f t="shared" si="32"/>
        <v>495</v>
      </c>
      <c r="G4124" s="58">
        <f t="shared" si="33"/>
        <v>495</v>
      </c>
      <c r="H4124" s="59">
        <f t="shared" si="34"/>
        <v>6490</v>
      </c>
      <c r="I4124" s="362">
        <f t="shared" si="31"/>
        <v>5500</v>
      </c>
    </row>
    <row r="4125" spans="1:9" x14ac:dyDescent="0.3">
      <c r="A4125" s="57">
        <v>8</v>
      </c>
      <c r="B4125" s="60" t="s">
        <v>799</v>
      </c>
      <c r="C4125" s="57">
        <v>35</v>
      </c>
      <c r="D4125" s="297">
        <v>27101985</v>
      </c>
      <c r="E4125" s="57">
        <v>150</v>
      </c>
      <c r="F4125" s="58">
        <f t="shared" si="32"/>
        <v>472.5</v>
      </c>
      <c r="G4125" s="58">
        <f t="shared" si="33"/>
        <v>472.5</v>
      </c>
      <c r="H4125" s="59">
        <f t="shared" si="34"/>
        <v>6195</v>
      </c>
      <c r="I4125" s="362">
        <f t="shared" si="31"/>
        <v>5250</v>
      </c>
    </row>
    <row r="4126" spans="1:9" x14ac:dyDescent="0.3">
      <c r="A4126" s="173"/>
      <c r="B4126" s="174"/>
      <c r="C4126" s="175"/>
      <c r="D4126" s="152"/>
      <c r="E4126" s="175"/>
      <c r="F4126" s="165"/>
      <c r="G4126" s="165"/>
      <c r="H4126" s="166"/>
    </row>
    <row r="4127" spans="1:9" x14ac:dyDescent="0.3">
      <c r="A4127" s="173"/>
      <c r="B4127" s="174"/>
      <c r="C4127" s="175"/>
      <c r="D4127" s="152"/>
      <c r="E4127" s="175"/>
      <c r="F4127" s="165"/>
      <c r="G4127" s="165"/>
      <c r="H4127" s="166"/>
    </row>
    <row r="4128" spans="1:9" x14ac:dyDescent="0.3">
      <c r="A4128" s="173"/>
      <c r="B4128" s="174"/>
      <c r="C4128" s="175"/>
      <c r="D4128" s="152"/>
      <c r="E4128" s="175"/>
      <c r="F4128" s="165"/>
      <c r="G4128" s="165"/>
      <c r="H4128" s="166"/>
    </row>
    <row r="4129" spans="1:8" x14ac:dyDescent="0.3">
      <c r="A4129" s="173"/>
      <c r="B4129" s="174"/>
      <c r="C4129" s="175"/>
      <c r="D4129" s="152"/>
      <c r="E4129" s="175"/>
      <c r="F4129" s="165"/>
      <c r="G4129" s="165"/>
      <c r="H4129" s="166"/>
    </row>
    <row r="4130" spans="1:8" x14ac:dyDescent="0.3">
      <c r="A4130" s="173"/>
      <c r="B4130" s="174"/>
      <c r="C4130" s="175"/>
      <c r="D4130" s="152"/>
      <c r="E4130" s="175"/>
      <c r="F4130" s="165"/>
      <c r="G4130" s="165"/>
      <c r="H4130" s="166"/>
    </row>
    <row r="4131" spans="1:8" x14ac:dyDescent="0.3">
      <c r="A4131" s="173"/>
      <c r="B4131" s="174"/>
      <c r="C4131" s="175"/>
      <c r="D4131" s="152"/>
      <c r="E4131" s="175"/>
      <c r="F4131" s="165"/>
      <c r="G4131" s="165"/>
      <c r="H4131" s="166"/>
    </row>
    <row r="4132" spans="1:8" x14ac:dyDescent="0.3">
      <c r="A4132" s="173"/>
      <c r="B4132" s="174"/>
      <c r="C4132" s="175"/>
      <c r="D4132" s="152"/>
      <c r="E4132" s="175"/>
      <c r="F4132" s="165"/>
      <c r="G4132" s="165"/>
      <c r="H4132" s="166"/>
    </row>
    <row r="4133" spans="1:8" x14ac:dyDescent="0.3">
      <c r="A4133" s="173"/>
      <c r="B4133" s="174"/>
      <c r="C4133" s="175"/>
      <c r="D4133" s="152"/>
      <c r="E4133" s="175"/>
      <c r="F4133" s="165"/>
      <c r="G4133" s="165"/>
      <c r="H4133" s="166"/>
    </row>
    <row r="4134" spans="1:8" x14ac:dyDescent="0.3">
      <c r="A4134" s="173"/>
      <c r="B4134" s="174"/>
      <c r="C4134" s="175"/>
      <c r="D4134" s="152"/>
      <c r="E4134" s="175"/>
      <c r="F4134" s="165"/>
      <c r="G4134" s="165"/>
      <c r="H4134" s="166"/>
    </row>
    <row r="4135" spans="1:8" x14ac:dyDescent="0.3">
      <c r="A4135" s="27"/>
      <c r="B4135" s="174"/>
      <c r="C4135" s="24"/>
      <c r="D4135" s="152"/>
      <c r="E4135" s="175"/>
      <c r="F4135" s="175"/>
      <c r="G4135" s="162"/>
      <c r="H4135" s="154"/>
    </row>
    <row r="4136" spans="1:8" x14ac:dyDescent="0.3">
      <c r="A4136" s="27"/>
      <c r="B4136" s="174"/>
      <c r="C4136" s="24"/>
      <c r="D4136" s="152"/>
      <c r="E4136" s="25"/>
      <c r="F4136" s="175"/>
      <c r="G4136" s="162"/>
      <c r="H4136" s="154"/>
    </row>
    <row r="4137" spans="1:8" x14ac:dyDescent="0.3">
      <c r="A4137" s="27"/>
      <c r="B4137" s="28"/>
      <c r="C4137" s="24"/>
      <c r="D4137" s="152"/>
      <c r="E4137" s="25"/>
      <c r="F4137" s="175"/>
      <c r="G4137" s="162"/>
      <c r="H4137" s="154"/>
    </row>
    <row r="4138" spans="1:8" x14ac:dyDescent="0.3">
      <c r="A4138" s="27"/>
      <c r="B4138" s="28"/>
      <c r="C4138" s="24"/>
      <c r="D4138" s="25"/>
      <c r="E4138" s="25"/>
      <c r="F4138" s="25"/>
      <c r="G4138" s="28"/>
      <c r="H4138" s="32"/>
    </row>
    <row r="4139" spans="1:8" ht="15.6" x14ac:dyDescent="0.3">
      <c r="A4139" s="448" t="s">
        <v>45</v>
      </c>
      <c r="B4139" s="449"/>
      <c r="C4139" s="24"/>
      <c r="D4139" s="25"/>
      <c r="E4139" s="25"/>
      <c r="F4139" s="447" t="s">
        <v>46</v>
      </c>
      <c r="G4139" s="447"/>
      <c r="H4139" s="66">
        <f>C4118*E4118+C4119*E4119+C4120*E4120+C4121*E4121+C4122*E4122+C4123*E4123+C4124*E4124+C4125*E4125</f>
        <v>64750</v>
      </c>
    </row>
    <row r="4140" spans="1:8" ht="15.6" x14ac:dyDescent="0.3">
      <c r="A4140" s="497" t="s">
        <v>816</v>
      </c>
      <c r="B4140" s="498"/>
      <c r="C4140" s="498"/>
      <c r="D4140" s="498"/>
      <c r="E4140" s="498"/>
      <c r="F4140" s="447" t="s">
        <v>47</v>
      </c>
      <c r="G4140" s="447"/>
      <c r="H4140" s="66">
        <f>H4139*9%</f>
        <v>5827.5</v>
      </c>
    </row>
    <row r="4141" spans="1:8" ht="15.6" x14ac:dyDescent="0.3">
      <c r="A4141" s="27"/>
      <c r="B4141" s="28"/>
      <c r="C4141" s="24"/>
      <c r="D4141" s="25"/>
      <c r="E4141" s="25"/>
      <c r="F4141" s="447" t="s">
        <v>48</v>
      </c>
      <c r="G4141" s="447"/>
      <c r="H4141" s="66">
        <f>H4140</f>
        <v>5827.5</v>
      </c>
    </row>
    <row r="4142" spans="1:8" ht="15.6" x14ac:dyDescent="0.3">
      <c r="A4142" s="448" t="s">
        <v>49</v>
      </c>
      <c r="B4142" s="449"/>
      <c r="C4142" s="24"/>
      <c r="D4142" s="25"/>
      <c r="E4142" s="25"/>
      <c r="F4142" s="447" t="s">
        <v>50</v>
      </c>
      <c r="G4142" s="447"/>
      <c r="H4142" s="66">
        <f>H4139+H4140+H4141</f>
        <v>76405</v>
      </c>
    </row>
    <row r="4143" spans="1:8" ht="15.6" x14ac:dyDescent="0.3">
      <c r="A4143" s="90"/>
      <c r="B4143" s="177"/>
      <c r="C4143" s="24"/>
      <c r="D4143" s="25"/>
      <c r="E4143" s="25"/>
      <c r="F4143" s="26"/>
      <c r="G4143" s="26"/>
      <c r="H4143" s="66"/>
    </row>
    <row r="4144" spans="1:8" ht="27" x14ac:dyDescent="0.3">
      <c r="A4144" s="29" t="s">
        <v>22</v>
      </c>
      <c r="B4144" s="30" t="s">
        <v>51</v>
      </c>
      <c r="C4144" s="31" t="s">
        <v>24</v>
      </c>
      <c r="D4144" s="31" t="s">
        <v>25</v>
      </c>
      <c r="E4144" s="528" t="s">
        <v>52</v>
      </c>
      <c r="F4144" s="528"/>
      <c r="G4144" s="28"/>
      <c r="H4144" s="32"/>
    </row>
    <row r="4145" spans="1:8" x14ac:dyDescent="0.3">
      <c r="A4145" s="33">
        <v>0.18</v>
      </c>
      <c r="B4145" s="34">
        <f>H4139</f>
        <v>64750</v>
      </c>
      <c r="C4145" s="35">
        <f>H4140</f>
        <v>5827.5</v>
      </c>
      <c r="D4145" s="35">
        <f>H4141</f>
        <v>5827.5</v>
      </c>
      <c r="E4145" s="529">
        <f>C4145+D4145</f>
        <v>11655</v>
      </c>
      <c r="F4145" s="530"/>
      <c r="G4145" s="28"/>
      <c r="H4145" s="32"/>
    </row>
    <row r="4146" spans="1:8" x14ac:dyDescent="0.3">
      <c r="A4146" s="452" t="s">
        <v>800</v>
      </c>
      <c r="B4146" s="453"/>
      <c r="C4146" s="453"/>
      <c r="D4146" s="453"/>
      <c r="E4146" s="453"/>
      <c r="F4146" s="453"/>
      <c r="G4146" s="453"/>
      <c r="H4146" s="454"/>
    </row>
    <row r="4147" spans="1:8" ht="15.6" x14ac:dyDescent="0.3">
      <c r="A4147" s="455" t="s">
        <v>53</v>
      </c>
      <c r="B4147" s="456"/>
      <c r="C4147" s="456"/>
      <c r="D4147" s="457"/>
      <c r="E4147" s="458" t="s">
        <v>54</v>
      </c>
      <c r="F4147" s="459"/>
      <c r="G4147" s="459"/>
      <c r="H4147" s="460"/>
    </row>
    <row r="4148" spans="1:8" x14ac:dyDescent="0.3">
      <c r="A4148" s="461" t="s">
        <v>55</v>
      </c>
      <c r="B4148" s="462"/>
      <c r="C4148" s="462"/>
      <c r="D4148" s="463"/>
      <c r="E4148" s="39"/>
      <c r="F4148" s="25"/>
      <c r="G4148" s="28"/>
      <c r="H4148" s="32"/>
    </row>
    <row r="4149" spans="1:8" x14ac:dyDescent="0.3">
      <c r="A4149" s="461" t="s">
        <v>56</v>
      </c>
      <c r="B4149" s="462"/>
      <c r="C4149" s="462"/>
      <c r="D4149" s="463"/>
      <c r="E4149" s="39"/>
      <c r="F4149" s="25"/>
      <c r="G4149" s="28"/>
      <c r="H4149" s="32"/>
    </row>
    <row r="4150" spans="1:8" x14ac:dyDescent="0.3">
      <c r="A4150" s="461" t="s">
        <v>57</v>
      </c>
      <c r="B4150" s="462"/>
      <c r="C4150" s="462"/>
      <c r="D4150" s="463"/>
      <c r="E4150" s="39"/>
      <c r="F4150" s="25"/>
      <c r="G4150" s="28"/>
      <c r="H4150" s="32"/>
    </row>
    <row r="4151" spans="1:8" ht="15.6" x14ac:dyDescent="0.3">
      <c r="A4151" s="464" t="s">
        <v>58</v>
      </c>
      <c r="B4151" s="465"/>
      <c r="C4151" s="465"/>
      <c r="D4151" s="510"/>
      <c r="E4151" s="466" t="s">
        <v>59</v>
      </c>
      <c r="F4151" s="467"/>
      <c r="G4151" s="467"/>
      <c r="H4151" s="468"/>
    </row>
    <row r="4152" spans="1:8" ht="15.6" x14ac:dyDescent="0.3">
      <c r="A4152" s="104"/>
      <c r="B4152" s="104"/>
      <c r="C4152" s="104"/>
      <c r="D4152" s="104"/>
      <c r="E4152" s="105"/>
      <c r="F4152" s="105"/>
      <c r="G4152" s="105"/>
      <c r="H4152" s="105"/>
    </row>
    <row r="4153" spans="1:8" ht="15.6" x14ac:dyDescent="0.3">
      <c r="A4153" s="104"/>
      <c r="B4153" s="104"/>
      <c r="C4153" s="104"/>
      <c r="D4153" s="104"/>
      <c r="E4153" s="105"/>
      <c r="F4153" s="105"/>
      <c r="G4153" s="105"/>
      <c r="H4153" s="105"/>
    </row>
    <row r="4154" spans="1:8" ht="15.6" x14ac:dyDescent="0.3">
      <c r="A4154" s="104"/>
      <c r="B4154" s="104"/>
      <c r="C4154" s="104"/>
      <c r="D4154" s="104"/>
      <c r="E4154" s="105"/>
      <c r="F4154" s="105"/>
      <c r="G4154" s="105"/>
      <c r="H4154" s="105"/>
    </row>
    <row r="4155" spans="1:8" ht="15.6" x14ac:dyDescent="0.3">
      <c r="A4155" s="104"/>
      <c r="B4155" s="104"/>
      <c r="C4155" s="104"/>
      <c r="D4155" s="104"/>
      <c r="E4155" s="105"/>
      <c r="F4155" s="105"/>
      <c r="G4155" s="105"/>
      <c r="H4155" s="105"/>
    </row>
    <row r="4156" spans="1:8" ht="15.6" x14ac:dyDescent="0.3">
      <c r="A4156" s="104"/>
      <c r="B4156" s="104"/>
      <c r="C4156" s="104"/>
      <c r="D4156" s="104"/>
      <c r="E4156" s="105"/>
      <c r="F4156" s="105"/>
      <c r="G4156" s="105"/>
      <c r="H4156" s="105"/>
    </row>
    <row r="4157" spans="1:8" ht="15.6" x14ac:dyDescent="0.3">
      <c r="A4157" s="104"/>
      <c r="B4157" s="104"/>
      <c r="C4157" s="104"/>
      <c r="D4157" s="104"/>
      <c r="E4157" s="105"/>
      <c r="F4157" s="105"/>
      <c r="G4157" s="105"/>
      <c r="H4157" s="105"/>
    </row>
    <row r="4158" spans="1:8" ht="15.6" x14ac:dyDescent="0.3">
      <c r="A4158" s="104"/>
      <c r="B4158" s="104"/>
      <c r="C4158" s="104"/>
      <c r="D4158" s="104"/>
      <c r="E4158" s="105"/>
      <c r="F4158" s="105"/>
      <c r="G4158" s="105"/>
      <c r="H4158" s="105"/>
    </row>
    <row r="4159" spans="1:8" ht="15.6" x14ac:dyDescent="0.3">
      <c r="A4159" s="104"/>
      <c r="B4159" s="104"/>
      <c r="C4159" s="104"/>
      <c r="D4159" s="104"/>
      <c r="E4159" s="105"/>
      <c r="F4159" s="105"/>
      <c r="G4159" s="105"/>
      <c r="H4159" s="105"/>
    </row>
    <row r="4160" spans="1:8" ht="15.6" x14ac:dyDescent="0.3">
      <c r="A4160" s="104"/>
      <c r="B4160" s="104"/>
      <c r="C4160" s="104"/>
      <c r="D4160" s="104"/>
      <c r="E4160" s="105"/>
      <c r="F4160" s="105"/>
      <c r="G4160" s="105"/>
      <c r="H4160" s="105"/>
    </row>
    <row r="4164" spans="1:11" ht="44.4" x14ac:dyDescent="0.7">
      <c r="A4164" s="469" t="s">
        <v>0</v>
      </c>
      <c r="B4164" s="470"/>
      <c r="C4164" s="470"/>
      <c r="D4164" s="470"/>
      <c r="E4164" s="531" t="s">
        <v>1</v>
      </c>
      <c r="F4164" s="544"/>
      <c r="G4164" s="544"/>
      <c r="H4164" s="545"/>
    </row>
    <row r="4165" spans="1:11" ht="20.399999999999999" x14ac:dyDescent="0.35">
      <c r="A4165" s="1"/>
      <c r="B4165" s="535" t="s">
        <v>2</v>
      </c>
      <c r="C4165" s="535"/>
      <c r="D4165" s="535"/>
      <c r="E4165" s="546"/>
      <c r="F4165" s="546"/>
      <c r="G4165" s="546"/>
      <c r="H4165" s="547"/>
    </row>
    <row r="4166" spans="1:11" x14ac:dyDescent="0.3">
      <c r="A4166" s="477" t="s">
        <v>3</v>
      </c>
      <c r="B4166" s="478"/>
      <c r="C4166" s="479" t="s">
        <v>4</v>
      </c>
      <c r="D4166" s="479"/>
      <c r="E4166" s="548" t="s">
        <v>5</v>
      </c>
      <c r="F4166" s="549"/>
      <c r="G4166" s="549"/>
      <c r="H4166" s="550"/>
    </row>
    <row r="4167" spans="1:11" ht="15.6" x14ac:dyDescent="0.3">
      <c r="A4167" s="4" t="s">
        <v>6</v>
      </c>
      <c r="B4167" s="5"/>
      <c r="C4167" s="536" t="s">
        <v>7</v>
      </c>
      <c r="D4167" s="516"/>
      <c r="E4167" s="489">
        <v>91</v>
      </c>
      <c r="F4167" s="491"/>
      <c r="G4167" s="7" t="s">
        <v>8</v>
      </c>
      <c r="H4167" s="8">
        <v>45877</v>
      </c>
    </row>
    <row r="4168" spans="1:11" ht="15.6" x14ac:dyDescent="0.3">
      <c r="A4168" s="556" t="s">
        <v>817</v>
      </c>
      <c r="B4168" s="557"/>
      <c r="C4168" s="536" t="s">
        <v>10</v>
      </c>
      <c r="D4168" s="516"/>
      <c r="E4168" s="489"/>
      <c r="F4168" s="491"/>
      <c r="G4168" s="7" t="s">
        <v>8</v>
      </c>
      <c r="H4168" s="8"/>
    </row>
    <row r="4169" spans="1:11" ht="17.399999999999999" x14ac:dyDescent="0.3">
      <c r="A4169" s="121" t="s">
        <v>818</v>
      </c>
      <c r="B4169" s="310"/>
      <c r="C4169" s="483" t="s">
        <v>12</v>
      </c>
      <c r="D4169" s="484"/>
      <c r="E4169" s="564"/>
      <c r="F4169" s="593"/>
      <c r="G4169" s="10" t="s">
        <v>8</v>
      </c>
      <c r="H4169" s="57"/>
      <c r="K4169" s="311" t="s">
        <v>822</v>
      </c>
    </row>
    <row r="4170" spans="1:11" ht="15.6" x14ac:dyDescent="0.3">
      <c r="A4170" s="108" t="s">
        <v>819</v>
      </c>
      <c r="B4170" s="228"/>
      <c r="C4170" s="536" t="s">
        <v>15</v>
      </c>
      <c r="D4170" s="516"/>
      <c r="E4170" s="566" t="s">
        <v>821</v>
      </c>
      <c r="F4170" s="567"/>
      <c r="G4170" s="567"/>
      <c r="H4170" s="126"/>
    </row>
    <row r="4171" spans="1:11" ht="15.6" x14ac:dyDescent="0.3">
      <c r="A4171" s="558" t="s">
        <v>820</v>
      </c>
      <c r="B4171" s="559"/>
      <c r="C4171" s="489"/>
      <c r="D4171" s="490"/>
      <c r="E4171" s="490"/>
      <c r="F4171" s="490"/>
      <c r="G4171" s="490"/>
      <c r="H4171" s="491"/>
    </row>
    <row r="4172" spans="1:11" ht="15" x14ac:dyDescent="0.3">
      <c r="A4172" s="493" t="s">
        <v>17</v>
      </c>
      <c r="B4172" s="495" t="s">
        <v>18</v>
      </c>
      <c r="C4172" s="495" t="s">
        <v>19</v>
      </c>
      <c r="D4172" s="495" t="s">
        <v>20</v>
      </c>
      <c r="E4172" s="495" t="s">
        <v>21</v>
      </c>
      <c r="F4172" s="541" t="s">
        <v>22</v>
      </c>
      <c r="G4172" s="542"/>
      <c r="H4172" s="493" t="s">
        <v>23</v>
      </c>
    </row>
    <row r="4173" spans="1:11" ht="27.6" x14ac:dyDescent="0.3">
      <c r="A4173" s="527"/>
      <c r="B4173" s="505"/>
      <c r="C4173" s="505"/>
      <c r="D4173" s="505"/>
      <c r="E4173" s="505"/>
      <c r="F4173" s="53" t="s">
        <v>24</v>
      </c>
      <c r="G4173" s="53" t="s">
        <v>25</v>
      </c>
      <c r="H4173" s="527"/>
    </row>
    <row r="4174" spans="1:11" s="189" customFormat="1" ht="27.6" x14ac:dyDescent="0.3">
      <c r="A4174" s="20">
        <v>1</v>
      </c>
      <c r="B4174" s="127" t="s">
        <v>801</v>
      </c>
      <c r="C4174" s="128">
        <v>2</v>
      </c>
      <c r="D4174" s="55">
        <v>8538</v>
      </c>
      <c r="E4174" s="55">
        <v>10000</v>
      </c>
      <c r="F4174" s="93">
        <f>E4174*C4174*9%</f>
        <v>1800</v>
      </c>
      <c r="G4174" s="93">
        <f>F4174</f>
        <v>1800</v>
      </c>
      <c r="H4174" s="62">
        <f>G4174+F4174+E4174*C4174</f>
        <v>23600</v>
      </c>
      <c r="I4174" s="362">
        <f t="shared" ref="I4174:I4177" si="35">C4174*E4174</f>
        <v>20000</v>
      </c>
    </row>
    <row r="4175" spans="1:11" x14ac:dyDescent="0.3">
      <c r="A4175" s="20">
        <v>2</v>
      </c>
      <c r="B4175" s="60" t="s">
        <v>803</v>
      </c>
      <c r="C4175" s="55">
        <v>2</v>
      </c>
      <c r="D4175" s="86">
        <v>998719</v>
      </c>
      <c r="E4175" s="55">
        <v>1500</v>
      </c>
      <c r="F4175" s="93">
        <f>E4175*C4175*9%</f>
        <v>270</v>
      </c>
      <c r="G4175" s="93">
        <f>F4175</f>
        <v>270</v>
      </c>
      <c r="H4175" s="62">
        <f>G4175+F4175+E4175*C4175</f>
        <v>3540</v>
      </c>
      <c r="I4175" s="362">
        <f t="shared" si="35"/>
        <v>3000</v>
      </c>
    </row>
    <row r="4176" spans="1:11" ht="27.6" x14ac:dyDescent="0.3">
      <c r="A4176" s="20">
        <v>3</v>
      </c>
      <c r="B4176" s="130" t="s">
        <v>804</v>
      </c>
      <c r="C4176" s="55">
        <v>30</v>
      </c>
      <c r="D4176" s="297">
        <v>85446020</v>
      </c>
      <c r="E4176" s="55">
        <v>338</v>
      </c>
      <c r="F4176" s="93">
        <f>E4176*C4176*9%</f>
        <v>912.6</v>
      </c>
      <c r="G4176" s="93">
        <f>F4176</f>
        <v>912.6</v>
      </c>
      <c r="H4176" s="62">
        <f>G4176+F4176+E4176*C4176</f>
        <v>11965.2</v>
      </c>
      <c r="I4176" s="362">
        <f t="shared" si="35"/>
        <v>10140</v>
      </c>
    </row>
    <row r="4177" spans="1:9" ht="27.6" x14ac:dyDescent="0.3">
      <c r="A4177" s="20">
        <v>1</v>
      </c>
      <c r="B4177" s="60" t="s">
        <v>802</v>
      </c>
      <c r="C4177" s="55">
        <v>4</v>
      </c>
      <c r="D4177" s="55">
        <v>2508</v>
      </c>
      <c r="E4177" s="55">
        <v>950</v>
      </c>
      <c r="F4177" s="93">
        <f>E4177*C4177*9%</f>
        <v>342</v>
      </c>
      <c r="G4177" s="93">
        <f>F4177</f>
        <v>342</v>
      </c>
      <c r="H4177" s="62">
        <f>G4177+F4177+E4177*C4177</f>
        <v>4484</v>
      </c>
      <c r="I4177" s="362">
        <f t="shared" si="35"/>
        <v>3800</v>
      </c>
    </row>
    <row r="4178" spans="1:9" x14ac:dyDescent="0.3">
      <c r="A4178" s="131"/>
      <c r="B4178" s="174"/>
      <c r="C4178" s="24"/>
      <c r="D4178" s="24"/>
      <c r="E4178" s="24"/>
      <c r="F4178" s="133"/>
      <c r="G4178" s="133"/>
      <c r="H4178" s="134"/>
    </row>
    <row r="4179" spans="1:9" x14ac:dyDescent="0.3">
      <c r="A4179" s="131"/>
      <c r="B4179" s="174"/>
      <c r="C4179" s="24"/>
      <c r="D4179" s="24"/>
      <c r="E4179" s="24"/>
      <c r="F4179" s="133"/>
      <c r="G4179" s="133"/>
      <c r="H4179" s="134"/>
    </row>
    <row r="4180" spans="1:9" x14ac:dyDescent="0.3">
      <c r="A4180" s="131"/>
      <c r="B4180" s="174"/>
      <c r="C4180" s="24"/>
      <c r="D4180" s="24"/>
      <c r="E4180" s="24"/>
      <c r="F4180" s="133"/>
      <c r="G4180" s="133"/>
      <c r="H4180" s="134"/>
    </row>
    <row r="4181" spans="1:9" x14ac:dyDescent="0.3">
      <c r="A4181" s="131"/>
      <c r="B4181" s="174"/>
      <c r="C4181" s="24"/>
      <c r="D4181" s="24"/>
      <c r="E4181" s="24"/>
      <c r="F4181" s="133"/>
      <c r="G4181" s="133"/>
      <c r="H4181" s="134"/>
    </row>
    <row r="4182" spans="1:9" x14ac:dyDescent="0.3">
      <c r="A4182" s="131"/>
      <c r="B4182" s="174"/>
      <c r="C4182" s="24"/>
      <c r="D4182" s="24"/>
      <c r="E4182" s="24"/>
      <c r="F4182" s="133"/>
      <c r="G4182" s="133"/>
      <c r="H4182" s="134"/>
    </row>
    <row r="4183" spans="1:9" x14ac:dyDescent="0.3">
      <c r="A4183" s="131"/>
      <c r="B4183" s="174"/>
      <c r="C4183" s="24"/>
      <c r="D4183" s="24"/>
      <c r="E4183" s="24"/>
      <c r="F4183" s="133"/>
      <c r="G4183" s="133"/>
      <c r="H4183" s="134"/>
    </row>
    <row r="4184" spans="1:9" x14ac:dyDescent="0.3">
      <c r="A4184" s="131"/>
      <c r="B4184" s="174"/>
      <c r="C4184" s="24"/>
      <c r="D4184" s="24"/>
      <c r="E4184" s="24"/>
      <c r="F4184" s="133"/>
      <c r="G4184" s="133"/>
      <c r="H4184" s="134"/>
    </row>
    <row r="4185" spans="1:9" x14ac:dyDescent="0.3">
      <c r="A4185" s="131"/>
      <c r="B4185" s="174"/>
      <c r="C4185" s="24"/>
      <c r="D4185" s="24"/>
      <c r="E4185" s="24"/>
      <c r="F4185" s="133"/>
      <c r="G4185" s="133"/>
      <c r="H4185" s="134"/>
    </row>
    <row r="4186" spans="1:9" x14ac:dyDescent="0.3">
      <c r="A4186" s="131"/>
      <c r="B4186" s="174"/>
      <c r="C4186" s="24"/>
      <c r="D4186" s="24"/>
      <c r="E4186" s="24"/>
      <c r="F4186" s="133"/>
      <c r="G4186" s="133"/>
      <c r="H4186" s="134"/>
    </row>
    <row r="4187" spans="1:9" x14ac:dyDescent="0.3">
      <c r="A4187" s="131"/>
      <c r="B4187" s="174"/>
      <c r="C4187" s="24"/>
      <c r="D4187" s="24"/>
      <c r="E4187" s="24"/>
      <c r="F4187" s="133"/>
      <c r="G4187" s="133"/>
      <c r="H4187" s="134"/>
    </row>
    <row r="4188" spans="1:9" x14ac:dyDescent="0.3">
      <c r="A4188" s="131"/>
      <c r="B4188" s="174"/>
      <c r="C4188" s="24"/>
      <c r="D4188" s="24"/>
      <c r="E4188" s="24"/>
      <c r="F4188" s="133"/>
      <c r="G4188" s="133"/>
      <c r="H4188" s="134"/>
    </row>
    <row r="4189" spans="1:9" x14ac:dyDescent="0.3">
      <c r="A4189" s="27"/>
      <c r="B4189" s="28"/>
      <c r="C4189" s="24"/>
      <c r="D4189" s="25"/>
      <c r="E4189" s="25"/>
      <c r="F4189" s="28"/>
      <c r="G4189" s="28"/>
      <c r="H4189" s="32"/>
    </row>
    <row r="4190" spans="1:9" x14ac:dyDescent="0.3">
      <c r="A4190" s="27"/>
      <c r="B4190" s="28"/>
      <c r="C4190" s="24"/>
      <c r="D4190" s="25"/>
      <c r="E4190" s="25"/>
      <c r="F4190" s="28"/>
      <c r="G4190" s="28"/>
      <c r="H4190" s="32"/>
    </row>
    <row r="4191" spans="1:9" x14ac:dyDescent="0.3">
      <c r="A4191" s="27"/>
      <c r="B4191" s="28"/>
      <c r="C4191" s="24"/>
      <c r="D4191" s="25"/>
      <c r="E4191" s="25"/>
      <c r="F4191" s="28"/>
      <c r="G4191" s="28"/>
      <c r="H4191" s="32"/>
    </row>
    <row r="4192" spans="1:9" x14ac:dyDescent="0.3">
      <c r="A4192" s="27"/>
      <c r="B4192" s="28"/>
      <c r="C4192" s="24"/>
      <c r="D4192" s="25"/>
      <c r="E4192" s="25"/>
      <c r="F4192" s="28"/>
      <c r="G4192" s="28"/>
      <c r="H4192" s="32"/>
    </row>
    <row r="4193" spans="1:18" x14ac:dyDescent="0.3">
      <c r="A4193" s="27"/>
      <c r="B4193" s="28"/>
      <c r="C4193" s="24"/>
      <c r="D4193" s="25"/>
      <c r="E4193" s="25"/>
      <c r="F4193" s="28"/>
      <c r="G4193" s="28"/>
      <c r="H4193" s="32"/>
    </row>
    <row r="4194" spans="1:18" ht="15.6" x14ac:dyDescent="0.3">
      <c r="A4194" s="448" t="s">
        <v>45</v>
      </c>
      <c r="B4194" s="449"/>
      <c r="C4194" s="449"/>
      <c r="D4194" s="25"/>
      <c r="E4194" s="25"/>
      <c r="F4194" s="447" t="s">
        <v>790</v>
      </c>
      <c r="G4194" s="447"/>
      <c r="H4194" s="66">
        <v>36940</v>
      </c>
    </row>
    <row r="4195" spans="1:18" x14ac:dyDescent="0.3">
      <c r="A4195" s="497" t="s">
        <v>884</v>
      </c>
      <c r="B4195" s="498"/>
      <c r="C4195" s="498"/>
      <c r="D4195" s="498"/>
      <c r="E4195" s="498"/>
      <c r="F4195" s="664" t="s">
        <v>791</v>
      </c>
      <c r="G4195" s="664"/>
      <c r="H4195" s="66">
        <v>3325</v>
      </c>
    </row>
    <row r="4196" spans="1:18" x14ac:dyDescent="0.3">
      <c r="A4196" s="27"/>
      <c r="B4196" s="28"/>
      <c r="C4196" s="24"/>
      <c r="D4196" s="25"/>
      <c r="E4196" s="25"/>
      <c r="F4196" s="664" t="s">
        <v>792</v>
      </c>
      <c r="G4196" s="664"/>
      <c r="H4196" s="66">
        <f>H4195</f>
        <v>3325</v>
      </c>
    </row>
    <row r="4197" spans="1:18" ht="15.6" x14ac:dyDescent="0.3">
      <c r="A4197" s="448" t="s">
        <v>49</v>
      </c>
      <c r="B4197" s="449"/>
      <c r="C4197" s="449"/>
      <c r="D4197" s="25"/>
      <c r="E4197" s="25"/>
      <c r="F4197" s="447" t="s">
        <v>50</v>
      </c>
      <c r="G4197" s="447"/>
      <c r="H4197" s="66">
        <f>SUM(H4194:H4196)</f>
        <v>43590</v>
      </c>
    </row>
    <row r="4198" spans="1:18" ht="27" x14ac:dyDescent="0.3">
      <c r="A4198" s="307" t="s">
        <v>22</v>
      </c>
      <c r="B4198" s="307" t="s">
        <v>51</v>
      </c>
      <c r="C4198" s="14" t="s">
        <v>24</v>
      </c>
      <c r="D4198" s="306" t="s">
        <v>25</v>
      </c>
      <c r="E4198" s="669" t="s">
        <v>52</v>
      </c>
      <c r="F4198" s="669"/>
      <c r="G4198" s="94"/>
      <c r="H4198" s="32"/>
    </row>
    <row r="4199" spans="1:18" x14ac:dyDescent="0.3">
      <c r="A4199" s="313">
        <v>0.18</v>
      </c>
      <c r="B4199" s="62">
        <v>36940</v>
      </c>
      <c r="C4199" s="312">
        <v>3325</v>
      </c>
      <c r="D4199" s="312">
        <v>3325</v>
      </c>
      <c r="E4199" s="670">
        <f>C4199+D4199</f>
        <v>6650</v>
      </c>
      <c r="F4199" s="670"/>
      <c r="G4199" s="55"/>
      <c r="H4199" s="75"/>
    </row>
    <row r="4200" spans="1:18" x14ac:dyDescent="0.3">
      <c r="A4200" s="508" t="s">
        <v>883</v>
      </c>
      <c r="B4200" s="509"/>
      <c r="C4200" s="509"/>
      <c r="D4200" s="509"/>
      <c r="E4200" s="453"/>
      <c r="F4200" s="453"/>
      <c r="G4200" s="453"/>
      <c r="H4200" s="454"/>
    </row>
    <row r="4201" spans="1:18" ht="15.6" x14ac:dyDescent="0.3">
      <c r="A4201" s="455" t="s">
        <v>53</v>
      </c>
      <c r="B4201" s="456"/>
      <c r="C4201" s="456"/>
      <c r="D4201" s="135"/>
      <c r="E4201" s="458" t="s">
        <v>54</v>
      </c>
      <c r="F4201" s="459"/>
      <c r="G4201" s="459"/>
      <c r="H4201" s="460"/>
    </row>
    <row r="4202" spans="1:18" x14ac:dyDescent="0.3">
      <c r="A4202" s="100" t="s">
        <v>55</v>
      </c>
      <c r="B4202" s="101"/>
      <c r="C4202" s="101"/>
      <c r="D4202" s="101"/>
      <c r="E4202" s="39"/>
      <c r="F4202" s="25"/>
      <c r="G4202" s="28"/>
      <c r="H4202" s="32"/>
    </row>
    <row r="4203" spans="1:18" x14ac:dyDescent="0.3">
      <c r="A4203" s="461" t="s">
        <v>56</v>
      </c>
      <c r="B4203" s="462"/>
      <c r="C4203" s="462"/>
      <c r="D4203" s="101"/>
      <c r="E4203" s="39"/>
      <c r="F4203" s="25"/>
      <c r="G4203" s="28"/>
      <c r="H4203" s="32"/>
    </row>
    <row r="4204" spans="1:18" x14ac:dyDescent="0.3">
      <c r="A4204" s="461" t="s">
        <v>57</v>
      </c>
      <c r="B4204" s="462"/>
      <c r="C4204" s="462"/>
      <c r="D4204" s="463"/>
      <c r="E4204" s="39"/>
      <c r="F4204" s="25"/>
      <c r="G4204" s="28"/>
      <c r="H4204" s="32"/>
    </row>
    <row r="4205" spans="1:18" ht="15.6" x14ac:dyDescent="0.3">
      <c r="A4205" s="464" t="s">
        <v>58</v>
      </c>
      <c r="B4205" s="465"/>
      <c r="C4205" s="465"/>
      <c r="D4205" s="510"/>
      <c r="E4205" s="466" t="s">
        <v>59</v>
      </c>
      <c r="F4205" s="467"/>
      <c r="G4205" s="467"/>
      <c r="H4205" s="468"/>
    </row>
    <row r="4208" spans="1:18" ht="44.4" x14ac:dyDescent="0.7">
      <c r="A4208" s="469" t="s">
        <v>0</v>
      </c>
      <c r="B4208" s="470"/>
      <c r="C4208" s="470"/>
      <c r="D4208" s="470"/>
      <c r="E4208" s="471" t="s">
        <v>92</v>
      </c>
      <c r="F4208" s="472"/>
      <c r="G4208" s="472"/>
      <c r="H4208" s="473"/>
      <c r="K4208" s="732"/>
      <c r="L4208" s="732"/>
      <c r="M4208" s="733"/>
      <c r="N4208" s="733"/>
      <c r="O4208" s="733"/>
      <c r="P4208" s="733"/>
      <c r="Q4208" s="733"/>
      <c r="R4208" s="733"/>
    </row>
    <row r="4209" spans="1:18" ht="20.399999999999999" x14ac:dyDescent="0.35">
      <c r="A4209" s="1"/>
      <c r="B4209" s="476" t="s">
        <v>2</v>
      </c>
      <c r="C4209" s="476"/>
      <c r="D4209" s="476"/>
      <c r="E4209" s="474"/>
      <c r="F4209" s="474"/>
      <c r="G4209" s="474"/>
      <c r="H4209" s="475"/>
      <c r="K4209" s="734"/>
      <c r="L4209" s="735"/>
      <c r="M4209" s="735"/>
      <c r="N4209" s="735"/>
      <c r="O4209" s="735"/>
      <c r="P4209" s="735"/>
      <c r="Q4209" s="735"/>
      <c r="R4209" s="734"/>
    </row>
    <row r="4210" spans="1:18" x14ac:dyDescent="0.3">
      <c r="A4210" s="477" t="s">
        <v>3</v>
      </c>
      <c r="B4210" s="478"/>
      <c r="C4210" s="136"/>
      <c r="D4210" s="499" t="s">
        <v>4</v>
      </c>
      <c r="E4210" s="499"/>
      <c r="F4210" s="137"/>
      <c r="G4210" s="575" t="s">
        <v>134</v>
      </c>
      <c r="H4210" s="576"/>
      <c r="K4210" s="734"/>
      <c r="L4210" s="735"/>
      <c r="M4210" s="735"/>
      <c r="N4210" s="735"/>
      <c r="O4210" s="735"/>
      <c r="P4210" s="317"/>
      <c r="Q4210" s="317"/>
      <c r="R4210" s="734"/>
    </row>
    <row r="4211" spans="1:18" ht="22.5" customHeight="1" x14ac:dyDescent="0.3">
      <c r="A4211" s="138" t="s">
        <v>6</v>
      </c>
      <c r="B4211" s="5"/>
      <c r="C4211" s="481" t="s">
        <v>7</v>
      </c>
      <c r="D4211" s="481"/>
      <c r="E4211" s="482">
        <v>92</v>
      </c>
      <c r="F4211" s="482"/>
      <c r="G4211" s="7" t="s">
        <v>8</v>
      </c>
      <c r="H4211" s="8">
        <v>45877</v>
      </c>
    </row>
    <row r="4212" spans="1:18" ht="15.6" x14ac:dyDescent="0.3">
      <c r="A4212" s="556" t="s">
        <v>177</v>
      </c>
      <c r="B4212" s="557"/>
      <c r="C4212" s="481" t="s">
        <v>10</v>
      </c>
      <c r="D4212" s="481"/>
      <c r="E4212" s="482"/>
      <c r="F4212" s="482"/>
      <c r="G4212" s="7" t="s">
        <v>8</v>
      </c>
      <c r="H4212" s="6"/>
      <c r="K4212" s="175"/>
      <c r="L4212" s="174"/>
      <c r="M4212" s="175"/>
      <c r="N4212" s="152"/>
      <c r="O4212" s="175"/>
      <c r="P4212" s="165"/>
      <c r="Q4212" s="165"/>
      <c r="R4212" s="318"/>
    </row>
    <row r="4213" spans="1:18" ht="15.6" x14ac:dyDescent="0.3">
      <c r="A4213" s="577" t="s">
        <v>178</v>
      </c>
      <c r="B4213" s="578"/>
      <c r="C4213" s="481" t="s">
        <v>12</v>
      </c>
      <c r="D4213" s="481"/>
      <c r="E4213" s="482"/>
      <c r="F4213" s="482"/>
      <c r="G4213" s="7" t="s">
        <v>8</v>
      </c>
      <c r="H4213" s="8"/>
      <c r="K4213" s="24"/>
      <c r="L4213" s="132"/>
      <c r="M4213" s="24"/>
      <c r="N4213" s="152"/>
      <c r="O4213" s="24"/>
      <c r="P4213" s="165"/>
      <c r="Q4213" s="165"/>
      <c r="R4213" s="318"/>
    </row>
    <row r="4214" spans="1:18" ht="15.6" x14ac:dyDescent="0.3">
      <c r="A4214" s="556" t="s">
        <v>179</v>
      </c>
      <c r="B4214" s="557"/>
      <c r="C4214" s="481" t="s">
        <v>15</v>
      </c>
      <c r="D4214" s="481"/>
      <c r="E4214" s="566" t="s">
        <v>180</v>
      </c>
      <c r="F4214" s="567"/>
      <c r="G4214" s="567"/>
      <c r="H4214" s="568"/>
      <c r="K4214" s="244"/>
      <c r="L4214" s="132"/>
      <c r="M4214" s="24"/>
      <c r="N4214" s="164"/>
      <c r="O4214" s="24"/>
      <c r="P4214" s="165"/>
      <c r="Q4214" s="165"/>
      <c r="R4214" s="318"/>
    </row>
    <row r="4215" spans="1:18" ht="15.6" x14ac:dyDescent="0.3">
      <c r="A4215" s="558" t="s">
        <v>828</v>
      </c>
      <c r="B4215" s="559"/>
      <c r="C4215" s="569"/>
      <c r="D4215" s="570"/>
      <c r="E4215" s="570"/>
      <c r="F4215" s="570"/>
      <c r="G4215" s="570"/>
      <c r="H4215" s="571"/>
      <c r="K4215" s="244"/>
      <c r="L4215" s="132"/>
      <c r="M4215" s="24"/>
      <c r="N4215" s="164"/>
      <c r="O4215" s="24"/>
      <c r="P4215" s="165"/>
      <c r="Q4215" s="165"/>
      <c r="R4215" s="318"/>
    </row>
    <row r="4216" spans="1:18" ht="15" x14ac:dyDescent="0.3">
      <c r="A4216" s="492" t="s">
        <v>17</v>
      </c>
      <c r="B4216" s="494" t="s">
        <v>18</v>
      </c>
      <c r="C4216" s="494" t="s">
        <v>19</v>
      </c>
      <c r="D4216" s="494" t="s">
        <v>20</v>
      </c>
      <c r="E4216" s="494" t="s">
        <v>21</v>
      </c>
      <c r="F4216" s="494" t="s">
        <v>22</v>
      </c>
      <c r="G4216" s="494"/>
      <c r="H4216" s="492" t="s">
        <v>23</v>
      </c>
      <c r="K4216" s="244"/>
      <c r="L4216" s="132"/>
      <c r="M4216" s="24"/>
      <c r="N4216" s="164"/>
      <c r="O4216" s="24"/>
      <c r="P4216" s="165"/>
      <c r="Q4216" s="165"/>
      <c r="R4216" s="318"/>
    </row>
    <row r="4217" spans="1:18" ht="27.6" x14ac:dyDescent="0.3">
      <c r="A4217" s="492"/>
      <c r="B4217" s="494"/>
      <c r="C4217" s="494"/>
      <c r="D4217" s="494"/>
      <c r="E4217" s="494"/>
      <c r="F4217" s="53" t="s">
        <v>24</v>
      </c>
      <c r="G4217" s="53" t="s">
        <v>25</v>
      </c>
      <c r="H4217" s="492"/>
      <c r="K4217" s="24"/>
      <c r="L4217" s="132"/>
      <c r="M4217" s="24"/>
      <c r="N4217" s="25"/>
      <c r="O4217" s="25"/>
      <c r="P4217" s="165"/>
      <c r="Q4217" s="165"/>
      <c r="R4217" s="318"/>
    </row>
    <row r="4218" spans="1:18" x14ac:dyDescent="0.3">
      <c r="A4218" s="57">
        <v>1</v>
      </c>
      <c r="B4218" s="113" t="s">
        <v>809</v>
      </c>
      <c r="C4218" s="57">
        <v>1</v>
      </c>
      <c r="D4218" s="169">
        <v>998719</v>
      </c>
      <c r="E4218" s="57">
        <v>3500</v>
      </c>
      <c r="F4218" s="58">
        <f>C4218*E4218*9%</f>
        <v>315</v>
      </c>
      <c r="G4218" s="58">
        <f>C4218*E4218*9%</f>
        <v>315</v>
      </c>
      <c r="H4218" s="59">
        <f>C4218*E4218+F4218+G4218</f>
        <v>4130</v>
      </c>
      <c r="K4218" s="24"/>
      <c r="L4218" s="28"/>
      <c r="M4218" s="24"/>
      <c r="N4218" s="25"/>
      <c r="O4218" s="25"/>
      <c r="P4218" s="165"/>
      <c r="Q4218" s="165"/>
      <c r="R4218" s="318"/>
    </row>
    <row r="4219" spans="1:18" x14ac:dyDescent="0.3">
      <c r="A4219" s="90"/>
      <c r="B4219" s="132"/>
      <c r="C4219" s="24"/>
      <c r="D4219" s="164"/>
      <c r="E4219" s="24"/>
      <c r="F4219" s="165"/>
      <c r="G4219" s="165"/>
      <c r="H4219" s="166"/>
      <c r="K4219" s="24"/>
      <c r="L4219" s="28"/>
      <c r="M4219" s="24"/>
      <c r="N4219" s="25"/>
      <c r="O4219" s="25"/>
      <c r="P4219" s="165"/>
      <c r="Q4219" s="165"/>
      <c r="R4219" s="318"/>
    </row>
    <row r="4220" spans="1:18" x14ac:dyDescent="0.3">
      <c r="A4220" s="90"/>
      <c r="B4220" s="132"/>
      <c r="C4220" s="24"/>
      <c r="D4220" s="164"/>
      <c r="E4220" s="24"/>
      <c r="F4220" s="165"/>
      <c r="G4220" s="165"/>
      <c r="H4220" s="166"/>
      <c r="K4220" s="24"/>
      <c r="L4220" s="28"/>
      <c r="M4220" s="24"/>
      <c r="N4220" s="25"/>
      <c r="O4220" s="25"/>
      <c r="P4220" s="165"/>
      <c r="Q4220" s="165"/>
      <c r="R4220" s="318"/>
    </row>
    <row r="4221" spans="1:18" x14ac:dyDescent="0.3">
      <c r="A4221" s="90"/>
      <c r="B4221" s="132"/>
      <c r="C4221" s="24"/>
      <c r="D4221" s="164"/>
      <c r="E4221" s="24"/>
      <c r="F4221" s="165"/>
      <c r="G4221" s="165"/>
      <c r="H4221" s="166"/>
      <c r="K4221" s="24"/>
      <c r="L4221" s="28"/>
      <c r="M4221" s="24"/>
      <c r="N4221" s="25"/>
      <c r="O4221" s="25"/>
      <c r="P4221" s="28"/>
      <c r="Q4221" s="28"/>
      <c r="R4221" s="25"/>
    </row>
    <row r="4222" spans="1:18" x14ac:dyDescent="0.3">
      <c r="A4222" s="27"/>
      <c r="B4222" s="132"/>
      <c r="C4222" s="24"/>
      <c r="D4222" s="25"/>
      <c r="E4222" s="25"/>
      <c r="F4222" s="165"/>
      <c r="G4222" s="165"/>
      <c r="H4222" s="166"/>
      <c r="K4222" s="24"/>
      <c r="L4222" s="28"/>
      <c r="M4222" s="24"/>
      <c r="N4222" s="25"/>
      <c r="O4222" s="25"/>
      <c r="P4222" s="28"/>
      <c r="Q4222" s="28"/>
      <c r="R4222" s="25"/>
    </row>
    <row r="4223" spans="1:18" x14ac:dyDescent="0.3">
      <c r="A4223" s="27"/>
      <c r="B4223" s="28"/>
      <c r="C4223" s="24"/>
      <c r="D4223" s="25"/>
      <c r="E4223" s="25"/>
      <c r="F4223" s="165"/>
      <c r="G4223" s="165"/>
      <c r="H4223" s="166"/>
      <c r="K4223" s="24"/>
      <c r="L4223" s="28"/>
      <c r="M4223" s="24"/>
      <c r="N4223" s="25"/>
      <c r="O4223" s="25"/>
      <c r="P4223" s="28"/>
      <c r="Q4223" s="28"/>
      <c r="R4223" s="25"/>
    </row>
    <row r="4224" spans="1:18" x14ac:dyDescent="0.3">
      <c r="A4224" s="27"/>
      <c r="B4224" s="28"/>
      <c r="C4224" s="24"/>
      <c r="D4224" s="25"/>
      <c r="E4224" s="25"/>
      <c r="F4224" s="165"/>
      <c r="G4224" s="165"/>
      <c r="H4224" s="166"/>
      <c r="K4224" s="24"/>
      <c r="L4224" s="28"/>
      <c r="M4224" s="24"/>
      <c r="N4224" s="25"/>
      <c r="O4224" s="25"/>
      <c r="P4224" s="28"/>
      <c r="Q4224" s="28"/>
      <c r="R4224" s="25"/>
    </row>
    <row r="4225" spans="1:18" x14ac:dyDescent="0.3">
      <c r="A4225" s="27"/>
      <c r="B4225" s="28"/>
      <c r="C4225" s="24"/>
      <c r="D4225" s="25"/>
      <c r="E4225" s="25"/>
      <c r="F4225" s="165"/>
      <c r="G4225" s="165"/>
      <c r="H4225" s="166"/>
      <c r="K4225" s="24"/>
      <c r="L4225" s="28"/>
      <c r="M4225" s="24"/>
      <c r="N4225" s="25"/>
      <c r="O4225" s="25"/>
      <c r="P4225" s="28"/>
      <c r="Q4225" s="28"/>
      <c r="R4225" s="25"/>
    </row>
    <row r="4226" spans="1:18" x14ac:dyDescent="0.3">
      <c r="A4226" s="27"/>
      <c r="B4226" s="28"/>
      <c r="C4226" s="24"/>
      <c r="D4226" s="25"/>
      <c r="E4226" s="25"/>
      <c r="F4226" s="165"/>
      <c r="G4226" s="165"/>
      <c r="H4226" s="166"/>
      <c r="K4226" s="24"/>
      <c r="L4226" s="28"/>
      <c r="M4226" s="24"/>
      <c r="N4226" s="25"/>
      <c r="O4226" s="25"/>
      <c r="P4226" s="28"/>
      <c r="Q4226" s="28"/>
      <c r="R4226" s="25"/>
    </row>
    <row r="4227" spans="1:18" x14ac:dyDescent="0.3">
      <c r="A4227" s="27"/>
      <c r="B4227" s="28"/>
      <c r="C4227" s="24"/>
      <c r="D4227" s="25"/>
      <c r="E4227" s="25"/>
      <c r="F4227" s="165"/>
      <c r="G4227" s="165"/>
      <c r="H4227" s="166"/>
      <c r="K4227" s="24"/>
      <c r="L4227" s="28"/>
      <c r="M4227" s="24"/>
      <c r="N4227" s="25"/>
      <c r="O4227" s="25"/>
      <c r="P4227" s="28"/>
      <c r="Q4227" s="28"/>
      <c r="R4227" s="25"/>
    </row>
    <row r="4228" spans="1:18" x14ac:dyDescent="0.3">
      <c r="A4228" s="27"/>
      <c r="B4228" s="28"/>
      <c r="C4228" s="24"/>
      <c r="D4228" s="25"/>
      <c r="E4228" s="25"/>
      <c r="F4228" s="165"/>
      <c r="G4228" s="165"/>
      <c r="H4228" s="166"/>
      <c r="K4228" s="24"/>
      <c r="L4228" s="28"/>
      <c r="M4228" s="24"/>
      <c r="N4228" s="25"/>
      <c r="O4228" s="25"/>
      <c r="P4228" s="28"/>
      <c r="Q4228" s="28"/>
      <c r="R4228" s="25"/>
    </row>
    <row r="4229" spans="1:18" x14ac:dyDescent="0.3">
      <c r="A4229" s="27"/>
      <c r="B4229" s="28"/>
      <c r="C4229" s="24"/>
      <c r="D4229" s="25"/>
      <c r="E4229" s="25"/>
      <c r="F4229" s="165"/>
      <c r="G4229" s="165"/>
      <c r="H4229" s="166"/>
      <c r="K4229" s="24"/>
      <c r="L4229" s="28"/>
      <c r="M4229" s="24"/>
      <c r="N4229" s="25"/>
      <c r="O4229" s="25"/>
      <c r="P4229" s="28"/>
      <c r="Q4229" s="28"/>
      <c r="R4229" s="25"/>
    </row>
    <row r="4230" spans="1:18" x14ac:dyDescent="0.3">
      <c r="A4230" s="27"/>
      <c r="B4230" s="28"/>
      <c r="C4230" s="24"/>
      <c r="D4230" s="25"/>
      <c r="E4230" s="25"/>
      <c r="F4230" s="165"/>
      <c r="G4230" s="165"/>
      <c r="H4230" s="166"/>
      <c r="K4230" s="24"/>
      <c r="L4230" s="28"/>
      <c r="M4230" s="24"/>
      <c r="N4230" s="25"/>
      <c r="O4230" s="25"/>
      <c r="P4230" s="28"/>
      <c r="Q4230" s="28"/>
      <c r="R4230" s="25"/>
    </row>
    <row r="4231" spans="1:18" x14ac:dyDescent="0.3">
      <c r="A4231" s="27"/>
      <c r="B4231" s="28"/>
      <c r="C4231" s="24"/>
      <c r="D4231" s="25"/>
      <c r="E4231" s="25"/>
      <c r="F4231" s="28"/>
      <c r="G4231" s="28"/>
      <c r="H4231" s="32"/>
      <c r="K4231" s="24"/>
      <c r="L4231" s="28"/>
      <c r="M4231" s="24"/>
      <c r="N4231" s="25"/>
      <c r="O4231" s="25"/>
      <c r="P4231" s="28"/>
      <c r="Q4231" s="28"/>
      <c r="R4231" s="25"/>
    </row>
    <row r="4232" spans="1:18" x14ac:dyDescent="0.3">
      <c r="A4232" s="27"/>
      <c r="B4232" s="28"/>
      <c r="C4232" s="24"/>
      <c r="D4232" s="25"/>
      <c r="E4232" s="25"/>
      <c r="F4232" s="28"/>
      <c r="G4232" s="28"/>
      <c r="H4232" s="32"/>
      <c r="K4232" s="24"/>
      <c r="L4232" s="28"/>
      <c r="M4232" s="24"/>
      <c r="N4232" s="25"/>
      <c r="O4232" s="25"/>
      <c r="P4232" s="28"/>
      <c r="Q4232" s="28"/>
      <c r="R4232" s="25"/>
    </row>
    <row r="4233" spans="1:18" x14ac:dyDescent="0.3">
      <c r="A4233" s="27"/>
      <c r="B4233" s="28"/>
      <c r="C4233" s="24"/>
      <c r="D4233" s="25"/>
      <c r="E4233" s="25"/>
      <c r="F4233" s="28"/>
      <c r="G4233" s="28"/>
      <c r="H4233" s="32"/>
      <c r="K4233" s="24"/>
      <c r="L4233" s="28"/>
      <c r="M4233" s="24"/>
      <c r="N4233" s="25"/>
      <c r="O4233" s="25"/>
      <c r="P4233" s="28"/>
      <c r="Q4233" s="28"/>
      <c r="R4233" s="25"/>
    </row>
    <row r="4234" spans="1:18" x14ac:dyDescent="0.3">
      <c r="A4234" s="27"/>
      <c r="B4234" s="28"/>
      <c r="C4234" s="24"/>
      <c r="D4234" s="25"/>
      <c r="E4234" s="25"/>
      <c r="F4234" s="28"/>
      <c r="G4234" s="28"/>
      <c r="H4234" s="32"/>
      <c r="K4234" s="24"/>
      <c r="L4234" s="28"/>
      <c r="M4234" s="24"/>
      <c r="N4234" s="25"/>
      <c r="O4234" s="25"/>
      <c r="P4234" s="28"/>
      <c r="Q4234" s="28"/>
      <c r="R4234" s="25"/>
    </row>
    <row r="4235" spans="1:18" ht="15.6" x14ac:dyDescent="0.3">
      <c r="A4235" s="27"/>
      <c r="B4235" s="28"/>
      <c r="C4235" s="24"/>
      <c r="D4235" s="25"/>
      <c r="E4235" s="25"/>
      <c r="F4235" s="28"/>
      <c r="G4235" s="28"/>
      <c r="H4235" s="32"/>
      <c r="K4235" s="449"/>
      <c r="L4235" s="449"/>
      <c r="M4235" s="449"/>
      <c r="N4235" s="25"/>
      <c r="O4235" s="25"/>
      <c r="P4235" s="447"/>
      <c r="Q4235" s="447"/>
      <c r="R4235" s="240"/>
    </row>
    <row r="4236" spans="1:18" ht="15.6" x14ac:dyDescent="0.3">
      <c r="A4236" s="27"/>
      <c r="B4236" s="28"/>
      <c r="C4236" s="24"/>
      <c r="D4236" s="25"/>
      <c r="E4236" s="25"/>
      <c r="F4236" s="28"/>
      <c r="G4236" s="28"/>
      <c r="H4236" s="32"/>
      <c r="K4236" s="498"/>
      <c r="L4236" s="498"/>
      <c r="M4236" s="498"/>
      <c r="N4236" s="498"/>
      <c r="O4236" s="498"/>
      <c r="P4236" s="447"/>
      <c r="Q4236" s="447"/>
      <c r="R4236" s="240"/>
    </row>
    <row r="4237" spans="1:18" ht="15.6" x14ac:dyDescent="0.3">
      <c r="A4237" s="27"/>
      <c r="B4237" s="28"/>
      <c r="C4237" s="24"/>
      <c r="D4237" s="25"/>
      <c r="E4237" s="25"/>
      <c r="F4237" s="28"/>
      <c r="G4237" s="28"/>
      <c r="H4237" s="32"/>
      <c r="K4237" s="24"/>
      <c r="L4237" s="28"/>
      <c r="M4237" s="24"/>
      <c r="N4237" s="25"/>
      <c r="O4237" s="25"/>
      <c r="P4237" s="447"/>
      <c r="Q4237" s="447"/>
      <c r="R4237" s="240"/>
    </row>
    <row r="4238" spans="1:18" ht="15.6" x14ac:dyDescent="0.3">
      <c r="A4238" s="27"/>
      <c r="B4238" s="28"/>
      <c r="C4238" s="24"/>
      <c r="D4238" s="25"/>
      <c r="E4238" s="25"/>
      <c r="F4238" s="28"/>
      <c r="G4238" s="28"/>
      <c r="H4238" s="32"/>
      <c r="K4238" s="449"/>
      <c r="L4238" s="449"/>
      <c r="M4238" s="449"/>
      <c r="N4238" s="449"/>
      <c r="O4238" s="25"/>
      <c r="P4238" s="447"/>
      <c r="Q4238" s="447"/>
      <c r="R4238" s="240"/>
    </row>
    <row r="4239" spans="1:18" x14ac:dyDescent="0.3">
      <c r="A4239" s="27"/>
      <c r="B4239" s="28"/>
      <c r="C4239" s="24"/>
      <c r="D4239" s="25"/>
      <c r="E4239" s="25"/>
      <c r="F4239" s="28"/>
      <c r="G4239" s="28"/>
      <c r="H4239" s="32"/>
      <c r="K4239" s="30"/>
      <c r="L4239" s="69"/>
      <c r="M4239" s="70"/>
      <c r="N4239" s="31"/>
      <c r="O4239" s="450"/>
      <c r="P4239" s="450"/>
      <c r="Q4239" s="28"/>
      <c r="R4239" s="25"/>
    </row>
    <row r="4240" spans="1:18" x14ac:dyDescent="0.3">
      <c r="A4240" s="27"/>
      <c r="B4240" s="28"/>
      <c r="C4240" s="24"/>
      <c r="D4240" s="25"/>
      <c r="E4240" s="25"/>
      <c r="F4240" s="28"/>
      <c r="G4240" s="28"/>
      <c r="H4240" s="32"/>
      <c r="K4240" s="296"/>
      <c r="L4240" s="291"/>
      <c r="M4240" s="24"/>
      <c r="N4240" s="24"/>
      <c r="O4240" s="729"/>
      <c r="P4240" s="729"/>
      <c r="Q4240" s="24"/>
      <c r="R4240" s="24"/>
    </row>
    <row r="4241" spans="1:18" x14ac:dyDescent="0.3">
      <c r="A4241" s="27"/>
      <c r="B4241" s="28"/>
      <c r="C4241" s="24"/>
      <c r="D4241" s="25"/>
      <c r="E4241" s="25"/>
      <c r="F4241" s="28"/>
      <c r="G4241" s="28"/>
      <c r="H4241" s="32"/>
      <c r="K4241" s="731"/>
      <c r="L4241" s="731"/>
      <c r="M4241" s="731"/>
      <c r="N4241" s="731"/>
      <c r="O4241" s="731"/>
      <c r="P4241" s="731"/>
      <c r="Q4241" s="731"/>
      <c r="R4241" s="731"/>
    </row>
    <row r="4242" spans="1:18" ht="15.6" x14ac:dyDescent="0.3">
      <c r="A4242" s="448" t="s">
        <v>45</v>
      </c>
      <c r="B4242" s="449"/>
      <c r="C4242" s="449"/>
      <c r="D4242" s="25"/>
      <c r="E4242" s="25"/>
      <c r="F4242" s="447" t="s">
        <v>46</v>
      </c>
      <c r="G4242" s="447"/>
      <c r="H4242" s="66">
        <v>3500</v>
      </c>
      <c r="K4242" s="730"/>
      <c r="L4242" s="730"/>
      <c r="M4242" s="730"/>
      <c r="N4242" s="730"/>
      <c r="O4242" s="573"/>
      <c r="P4242" s="573"/>
      <c r="Q4242" s="573"/>
      <c r="R4242" s="573"/>
    </row>
    <row r="4243" spans="1:18" ht="15.6" x14ac:dyDescent="0.3">
      <c r="A4243" s="497" t="s">
        <v>805</v>
      </c>
      <c r="B4243" s="498"/>
      <c r="C4243" s="498"/>
      <c r="D4243" s="498"/>
      <c r="E4243" s="498"/>
      <c r="F4243" s="447" t="s">
        <v>47</v>
      </c>
      <c r="G4243" s="447"/>
      <c r="H4243" s="66">
        <f>H4242*9%</f>
        <v>315</v>
      </c>
      <c r="K4243" s="462"/>
      <c r="L4243" s="462"/>
      <c r="M4243" s="462"/>
      <c r="N4243" s="462"/>
      <c r="O4243" s="25"/>
      <c r="P4243" s="28"/>
      <c r="Q4243" s="28"/>
      <c r="R4243" s="25"/>
    </row>
    <row r="4244" spans="1:18" ht="15.6" x14ac:dyDescent="0.3">
      <c r="A4244" s="27"/>
      <c r="B4244" s="28"/>
      <c r="C4244" s="24"/>
      <c r="D4244" s="25"/>
      <c r="E4244" s="25"/>
      <c r="F4244" s="447" t="s">
        <v>48</v>
      </c>
      <c r="G4244" s="447"/>
      <c r="H4244" s="66">
        <f>H4242*9%</f>
        <v>315</v>
      </c>
      <c r="K4244" s="462"/>
      <c r="L4244" s="462"/>
      <c r="M4244" s="462"/>
      <c r="N4244" s="462"/>
      <c r="O4244" s="25"/>
      <c r="P4244" s="28"/>
      <c r="Q4244" s="28"/>
      <c r="R4244" s="25"/>
    </row>
    <row r="4245" spans="1:18" ht="15.6" x14ac:dyDescent="0.3">
      <c r="A4245" s="448" t="s">
        <v>49</v>
      </c>
      <c r="B4245" s="449"/>
      <c r="C4245" s="449"/>
      <c r="D4245" s="449"/>
      <c r="E4245" s="25"/>
      <c r="F4245" s="447" t="s">
        <v>50</v>
      </c>
      <c r="G4245" s="447"/>
      <c r="H4245" s="66">
        <v>4130</v>
      </c>
      <c r="K4245" s="462"/>
      <c r="L4245" s="462"/>
      <c r="M4245" s="462"/>
      <c r="N4245" s="462"/>
      <c r="O4245" s="319"/>
      <c r="R4245" s="319"/>
    </row>
    <row r="4246" spans="1:18" ht="27" x14ac:dyDescent="0.3">
      <c r="A4246" s="68" t="s">
        <v>22</v>
      </c>
      <c r="B4246" s="69" t="s">
        <v>51</v>
      </c>
      <c r="C4246" s="70" t="s">
        <v>24</v>
      </c>
      <c r="D4246" s="31" t="s">
        <v>25</v>
      </c>
      <c r="E4246" s="450" t="s">
        <v>52</v>
      </c>
      <c r="F4246" s="450"/>
      <c r="G4246" s="28"/>
      <c r="H4246" s="32"/>
      <c r="K4246" s="686"/>
      <c r="L4246" s="686"/>
      <c r="M4246" s="686"/>
      <c r="N4246" s="686"/>
      <c r="O4246" s="573"/>
      <c r="P4246" s="573"/>
      <c r="Q4246" s="573"/>
      <c r="R4246" s="573"/>
    </row>
    <row r="4247" spans="1:18" x14ac:dyDescent="0.3">
      <c r="A4247" s="72">
        <v>0.18</v>
      </c>
      <c r="B4247" s="73">
        <f>H4242</f>
        <v>3500</v>
      </c>
      <c r="C4247" s="74">
        <f>H4243</f>
        <v>315</v>
      </c>
      <c r="D4247" s="74">
        <f>H4244</f>
        <v>315</v>
      </c>
      <c r="E4247" s="507">
        <f>C4247+D4247</f>
        <v>630</v>
      </c>
      <c r="F4247" s="507"/>
      <c r="G4247" s="74"/>
      <c r="H4247" s="75"/>
    </row>
    <row r="4248" spans="1:18" x14ac:dyDescent="0.3">
      <c r="A4248" s="452" t="s">
        <v>806</v>
      </c>
      <c r="B4248" s="453"/>
      <c r="C4248" s="453"/>
      <c r="D4248" s="453"/>
      <c r="E4248" s="453"/>
      <c r="F4248" s="453"/>
      <c r="G4248" s="453"/>
      <c r="H4248" s="454"/>
    </row>
    <row r="4249" spans="1:18" ht="15.6" x14ac:dyDescent="0.3">
      <c r="A4249" s="455" t="s">
        <v>53</v>
      </c>
      <c r="B4249" s="456"/>
      <c r="C4249" s="456"/>
      <c r="D4249" s="457"/>
      <c r="E4249" s="458" t="s">
        <v>54</v>
      </c>
      <c r="F4249" s="459"/>
      <c r="G4249" s="459"/>
      <c r="H4249" s="460"/>
    </row>
    <row r="4250" spans="1:18" x14ac:dyDescent="0.3">
      <c r="A4250" s="461" t="s">
        <v>55</v>
      </c>
      <c r="B4250" s="462"/>
      <c r="C4250" s="462"/>
      <c r="D4250" s="463"/>
      <c r="E4250" s="39"/>
      <c r="F4250" s="28"/>
      <c r="G4250" s="28"/>
      <c r="H4250" s="32"/>
    </row>
    <row r="4251" spans="1:18" x14ac:dyDescent="0.3">
      <c r="A4251" s="461" t="s">
        <v>56</v>
      </c>
      <c r="B4251" s="462"/>
      <c r="C4251" s="462"/>
      <c r="D4251" s="463"/>
      <c r="E4251" s="39"/>
      <c r="F4251" s="28"/>
      <c r="G4251" s="28"/>
      <c r="H4251" s="32"/>
    </row>
    <row r="4252" spans="1:18" x14ac:dyDescent="0.3">
      <c r="A4252" s="461" t="s">
        <v>57</v>
      </c>
      <c r="B4252" s="462"/>
      <c r="C4252" s="462"/>
      <c r="D4252" s="463"/>
      <c r="E4252" s="167"/>
      <c r="H4252" s="168"/>
    </row>
    <row r="4253" spans="1:18" ht="15.6" x14ac:dyDescent="0.3">
      <c r="A4253" s="464" t="s">
        <v>58</v>
      </c>
      <c r="B4253" s="465"/>
      <c r="C4253" s="465"/>
      <c r="D4253" s="510"/>
      <c r="E4253" s="466" t="s">
        <v>59</v>
      </c>
      <c r="F4253" s="467"/>
      <c r="G4253" s="467"/>
      <c r="H4253" s="468"/>
    </row>
    <row r="4256" spans="1:18" ht="44.4" x14ac:dyDescent="0.7">
      <c r="A4256" s="469" t="s">
        <v>0</v>
      </c>
      <c r="B4256" s="470"/>
      <c r="C4256" s="470"/>
      <c r="D4256" s="470"/>
      <c r="E4256" s="531" t="s">
        <v>1</v>
      </c>
      <c r="F4256" s="544"/>
      <c r="G4256" s="544"/>
      <c r="H4256" s="545"/>
    </row>
    <row r="4257" spans="1:8" ht="20.399999999999999" x14ac:dyDescent="0.35">
      <c r="A4257" s="1"/>
      <c r="B4257" s="476" t="s">
        <v>2</v>
      </c>
      <c r="C4257" s="476"/>
      <c r="D4257" s="476"/>
      <c r="E4257" s="546"/>
      <c r="F4257" s="546"/>
      <c r="G4257" s="546"/>
      <c r="H4257" s="547"/>
    </row>
    <row r="4258" spans="1:8" x14ac:dyDescent="0.3">
      <c r="A4258" s="477" t="s">
        <v>3</v>
      </c>
      <c r="B4258" s="478"/>
      <c r="C4258" s="479" t="s">
        <v>4</v>
      </c>
      <c r="D4258" s="479"/>
      <c r="E4258" s="654" t="s">
        <v>5</v>
      </c>
      <c r="F4258" s="654"/>
      <c r="G4258" s="654"/>
      <c r="H4258" s="654"/>
    </row>
    <row r="4259" spans="1:8" ht="15.6" x14ac:dyDescent="0.3">
      <c r="A4259" s="138" t="s">
        <v>6</v>
      </c>
      <c r="B4259" s="5"/>
      <c r="C4259" s="512" t="s">
        <v>7</v>
      </c>
      <c r="D4259" s="513"/>
      <c r="E4259" s="482">
        <v>93</v>
      </c>
      <c r="F4259" s="482"/>
      <c r="G4259" s="7" t="s">
        <v>8</v>
      </c>
      <c r="H4259" s="9">
        <v>45908</v>
      </c>
    </row>
    <row r="4260" spans="1:8" ht="15.6" x14ac:dyDescent="0.3">
      <c r="A4260" s="667" t="s">
        <v>824</v>
      </c>
      <c r="B4260" s="668"/>
      <c r="C4260" s="516" t="s">
        <v>10</v>
      </c>
      <c r="D4260" s="481"/>
      <c r="E4260" s="482"/>
      <c r="F4260" s="482"/>
      <c r="G4260" s="7" t="s">
        <v>8</v>
      </c>
      <c r="H4260" s="9"/>
    </row>
    <row r="4261" spans="1:8" ht="15" x14ac:dyDescent="0.3">
      <c r="A4261" s="517" t="s">
        <v>825</v>
      </c>
      <c r="B4261" s="518"/>
      <c r="C4261" s="484" t="s">
        <v>12</v>
      </c>
      <c r="D4261" s="519"/>
      <c r="E4261" s="665"/>
      <c r="F4261" s="666"/>
      <c r="G4261" s="10" t="s">
        <v>8</v>
      </c>
      <c r="H4261" s="11"/>
    </row>
    <row r="4262" spans="1:8" ht="15.6" x14ac:dyDescent="0.3">
      <c r="A4262" s="556" t="s">
        <v>826</v>
      </c>
      <c r="B4262" s="557"/>
      <c r="C4262" s="521" t="s">
        <v>15</v>
      </c>
      <c r="D4262" s="522"/>
      <c r="E4262" s="523" t="s">
        <v>827</v>
      </c>
      <c r="F4262" s="524"/>
      <c r="G4262" s="524"/>
      <c r="H4262" s="6"/>
    </row>
    <row r="4263" spans="1:8" ht="15.6" x14ac:dyDescent="0.3">
      <c r="A4263" s="558" t="s">
        <v>823</v>
      </c>
      <c r="B4263" s="559"/>
      <c r="C4263" s="230"/>
      <c r="D4263" s="231"/>
      <c r="E4263" s="232"/>
      <c r="F4263" s="233"/>
      <c r="G4263" s="233"/>
      <c r="H4263" s="231"/>
    </row>
    <row r="4264" spans="1:8" ht="15" x14ac:dyDescent="0.3">
      <c r="A4264" s="527" t="s">
        <v>17</v>
      </c>
      <c r="B4264" s="505" t="s">
        <v>18</v>
      </c>
      <c r="C4264" s="494" t="s">
        <v>19</v>
      </c>
      <c r="D4264" s="494" t="s">
        <v>20</v>
      </c>
      <c r="E4264" s="494" t="s">
        <v>21</v>
      </c>
      <c r="F4264" s="494" t="s">
        <v>22</v>
      </c>
      <c r="G4264" s="494"/>
      <c r="H4264" s="492" t="s">
        <v>23</v>
      </c>
    </row>
    <row r="4265" spans="1:8" ht="27.6" x14ac:dyDescent="0.3">
      <c r="A4265" s="492"/>
      <c r="B4265" s="494"/>
      <c r="C4265" s="494"/>
      <c r="D4265" s="494"/>
      <c r="E4265" s="494"/>
      <c r="F4265" s="53" t="s">
        <v>24</v>
      </c>
      <c r="G4265" s="53" t="s">
        <v>25</v>
      </c>
      <c r="H4265" s="492"/>
    </row>
    <row r="4266" spans="1:8" x14ac:dyDescent="0.3">
      <c r="A4266" s="57">
        <v>2</v>
      </c>
      <c r="B4266" s="60" t="s">
        <v>751</v>
      </c>
      <c r="C4266" s="57">
        <v>2</v>
      </c>
      <c r="D4266" s="56">
        <v>998719</v>
      </c>
      <c r="E4266" s="185">
        <v>3500</v>
      </c>
      <c r="F4266" s="58">
        <f>E4266*C4266*9%</f>
        <v>630</v>
      </c>
      <c r="G4266" s="58">
        <f>F4266</f>
        <v>630</v>
      </c>
      <c r="H4266" s="59">
        <f>G4266+F4266+E4266*C4266</f>
        <v>8260</v>
      </c>
    </row>
    <row r="4267" spans="1:8" x14ac:dyDescent="0.3">
      <c r="A4267" s="57"/>
      <c r="B4267" s="237"/>
      <c r="C4267" s="188"/>
      <c r="D4267" s="56"/>
      <c r="E4267" s="57"/>
      <c r="F4267" s="58"/>
      <c r="G4267" s="58"/>
      <c r="H4267" s="59"/>
    </row>
    <row r="4268" spans="1:8" x14ac:dyDescent="0.3">
      <c r="A4268" s="57"/>
      <c r="B4268" s="237"/>
      <c r="C4268" s="188"/>
      <c r="D4268" s="56"/>
      <c r="E4268" s="57"/>
      <c r="F4268" s="58"/>
      <c r="G4268" s="58"/>
      <c r="H4268" s="59"/>
    </row>
    <row r="4269" spans="1:8" x14ac:dyDescent="0.3">
      <c r="A4269" s="57"/>
      <c r="B4269" s="238"/>
      <c r="C4269" s="57"/>
      <c r="D4269" s="56"/>
      <c r="E4269" s="57"/>
      <c r="F4269" s="58"/>
      <c r="G4269" s="58"/>
      <c r="H4269" s="59"/>
    </row>
    <row r="4270" spans="1:8" x14ac:dyDescent="0.3">
      <c r="A4270" s="57"/>
      <c r="B4270" s="238"/>
      <c r="C4270" s="57"/>
      <c r="D4270" s="56"/>
      <c r="E4270" s="57"/>
      <c r="F4270" s="58"/>
      <c r="G4270" s="58"/>
      <c r="H4270" s="59"/>
    </row>
    <row r="4271" spans="1:8" x14ac:dyDescent="0.3">
      <c r="A4271" s="57"/>
      <c r="B4271" s="60"/>
      <c r="C4271" s="239"/>
      <c r="D4271" s="56"/>
      <c r="E4271" s="57"/>
      <c r="F4271" s="58"/>
      <c r="G4271" s="58"/>
      <c r="H4271" s="59"/>
    </row>
    <row r="4272" spans="1:8" x14ac:dyDescent="0.3">
      <c r="A4272" s="57"/>
      <c r="B4272" s="60"/>
      <c r="C4272" s="57"/>
      <c r="D4272" s="86"/>
      <c r="E4272" s="57"/>
      <c r="F4272" s="58"/>
      <c r="G4272" s="58"/>
      <c r="H4272" s="59"/>
    </row>
    <row r="4273" spans="1:8" x14ac:dyDescent="0.3">
      <c r="A4273" s="173"/>
      <c r="B4273" s="174"/>
      <c r="C4273" s="175"/>
      <c r="D4273" s="152"/>
      <c r="E4273" s="175"/>
      <c r="F4273" s="165"/>
      <c r="G4273" s="165"/>
      <c r="H4273" s="166"/>
    </row>
    <row r="4274" spans="1:8" x14ac:dyDescent="0.3">
      <c r="A4274" s="173"/>
      <c r="B4274" s="174"/>
      <c r="C4274" s="175"/>
      <c r="D4274" s="152"/>
      <c r="E4274" s="175"/>
      <c r="F4274" s="165"/>
      <c r="G4274" s="165"/>
      <c r="H4274" s="166"/>
    </row>
    <row r="4275" spans="1:8" x14ac:dyDescent="0.3">
      <c r="A4275" s="173"/>
      <c r="B4275" s="174"/>
      <c r="C4275" s="175"/>
      <c r="D4275" s="152"/>
      <c r="E4275" s="175"/>
      <c r="F4275" s="165"/>
      <c r="G4275" s="165"/>
      <c r="H4275" s="166"/>
    </row>
    <row r="4276" spans="1:8" x14ac:dyDescent="0.3">
      <c r="A4276" s="173"/>
      <c r="B4276" s="174"/>
      <c r="C4276" s="175"/>
      <c r="D4276" s="152"/>
      <c r="E4276" s="175"/>
      <c r="F4276" s="165"/>
      <c r="G4276" s="165"/>
      <c r="H4276" s="166"/>
    </row>
    <row r="4277" spans="1:8" x14ac:dyDescent="0.3">
      <c r="A4277" s="173"/>
      <c r="B4277" s="174"/>
      <c r="C4277" s="175"/>
      <c r="D4277" s="152"/>
      <c r="E4277" s="175"/>
      <c r="F4277" s="165"/>
      <c r="G4277" s="165"/>
      <c r="H4277" s="166"/>
    </row>
    <row r="4278" spans="1:8" x14ac:dyDescent="0.3">
      <c r="A4278" s="173"/>
      <c r="B4278" s="174"/>
      <c r="C4278" s="175"/>
      <c r="D4278" s="152"/>
      <c r="E4278" s="175"/>
      <c r="F4278" s="165"/>
      <c r="G4278" s="165"/>
      <c r="H4278" s="166"/>
    </row>
    <row r="4279" spans="1:8" x14ac:dyDescent="0.3">
      <c r="A4279" s="173"/>
      <c r="B4279" s="174"/>
      <c r="C4279" s="175"/>
      <c r="D4279" s="152"/>
      <c r="E4279" s="175"/>
      <c r="F4279" s="165"/>
      <c r="G4279" s="165"/>
      <c r="H4279" s="166"/>
    </row>
    <row r="4280" spans="1:8" x14ac:dyDescent="0.3">
      <c r="A4280" s="173"/>
      <c r="B4280" s="174"/>
      <c r="C4280" s="175"/>
      <c r="D4280" s="152"/>
      <c r="E4280" s="175"/>
      <c r="F4280" s="165"/>
      <c r="G4280" s="165"/>
      <c r="H4280" s="166"/>
    </row>
    <row r="4281" spans="1:8" x14ac:dyDescent="0.3">
      <c r="A4281" s="173"/>
      <c r="B4281" s="174"/>
      <c r="C4281" s="175"/>
      <c r="D4281" s="152"/>
      <c r="E4281" s="175"/>
      <c r="F4281" s="165"/>
      <c r="G4281" s="165"/>
      <c r="H4281" s="166"/>
    </row>
    <row r="4282" spans="1:8" x14ac:dyDescent="0.3">
      <c r="A4282" s="27"/>
      <c r="B4282" s="174"/>
      <c r="C4282" s="24"/>
      <c r="D4282" s="152"/>
      <c r="E4282" s="175"/>
      <c r="F4282" s="175"/>
      <c r="G4282" s="162"/>
      <c r="H4282" s="154"/>
    </row>
    <row r="4283" spans="1:8" x14ac:dyDescent="0.3">
      <c r="A4283" s="27"/>
      <c r="B4283" s="174"/>
      <c r="C4283" s="24"/>
      <c r="D4283" s="152"/>
      <c r="E4283" s="25"/>
      <c r="F4283" s="175"/>
      <c r="G4283" s="162"/>
      <c r="H4283" s="154"/>
    </row>
    <row r="4284" spans="1:8" x14ac:dyDescent="0.3">
      <c r="A4284" s="27"/>
      <c r="B4284" s="28"/>
      <c r="C4284" s="24"/>
      <c r="D4284" s="152"/>
      <c r="E4284" s="25"/>
      <c r="F4284" s="175"/>
      <c r="G4284" s="162"/>
      <c r="H4284" s="154"/>
    </row>
    <row r="4285" spans="1:8" x14ac:dyDescent="0.3">
      <c r="A4285" s="27"/>
      <c r="B4285" s="28"/>
      <c r="C4285" s="24"/>
      <c r="D4285" s="25"/>
      <c r="E4285" s="25"/>
      <c r="F4285" s="25"/>
      <c r="G4285" s="28"/>
      <c r="H4285" s="32"/>
    </row>
    <row r="4286" spans="1:8" ht="15.6" x14ac:dyDescent="0.3">
      <c r="A4286" s="448" t="s">
        <v>45</v>
      </c>
      <c r="B4286" s="449"/>
      <c r="C4286" s="24"/>
      <c r="D4286" s="25"/>
      <c r="E4286" s="25"/>
      <c r="F4286" s="447" t="s">
        <v>46</v>
      </c>
      <c r="G4286" s="447"/>
      <c r="H4286" s="66">
        <v>7000</v>
      </c>
    </row>
    <row r="4287" spans="1:8" ht="15.6" x14ac:dyDescent="0.3">
      <c r="A4287" s="497" t="s">
        <v>838</v>
      </c>
      <c r="B4287" s="498"/>
      <c r="C4287" s="498"/>
      <c r="D4287" s="498"/>
      <c r="E4287" s="498"/>
      <c r="F4287" s="447" t="s">
        <v>47</v>
      </c>
      <c r="G4287" s="447"/>
      <c r="H4287" s="66">
        <f>H4286*9%</f>
        <v>630</v>
      </c>
    </row>
    <row r="4288" spans="1:8" ht="15.6" x14ac:dyDescent="0.3">
      <c r="A4288" s="27"/>
      <c r="B4288" s="28"/>
      <c r="C4288" s="24"/>
      <c r="D4288" s="25"/>
      <c r="E4288" s="25"/>
      <c r="F4288" s="447" t="s">
        <v>48</v>
      </c>
      <c r="G4288" s="447"/>
      <c r="H4288" s="66">
        <f>H4287</f>
        <v>630</v>
      </c>
    </row>
    <row r="4289" spans="1:8" ht="15.6" x14ac:dyDescent="0.3">
      <c r="A4289" s="448" t="s">
        <v>49</v>
      </c>
      <c r="B4289" s="449"/>
      <c r="C4289" s="24"/>
      <c r="D4289" s="25"/>
      <c r="E4289" s="25"/>
      <c r="F4289" s="447" t="s">
        <v>50</v>
      </c>
      <c r="G4289" s="447"/>
      <c r="H4289" s="66">
        <f>H4286+H4287+H4288</f>
        <v>8260</v>
      </c>
    </row>
    <row r="4290" spans="1:8" ht="15.6" x14ac:dyDescent="0.3">
      <c r="A4290" s="90"/>
      <c r="B4290" s="177"/>
      <c r="C4290" s="24"/>
      <c r="D4290" s="25"/>
      <c r="E4290" s="25"/>
      <c r="F4290" s="26"/>
      <c r="G4290" s="26"/>
      <c r="H4290" s="66"/>
    </row>
    <row r="4291" spans="1:8" ht="27" x14ac:dyDescent="0.3">
      <c r="A4291" s="29" t="s">
        <v>22</v>
      </c>
      <c r="B4291" s="30" t="s">
        <v>51</v>
      </c>
      <c r="C4291" s="31" t="s">
        <v>24</v>
      </c>
      <c r="D4291" s="31" t="s">
        <v>25</v>
      </c>
      <c r="E4291" s="528" t="s">
        <v>52</v>
      </c>
      <c r="F4291" s="528"/>
      <c r="G4291" s="28"/>
      <c r="H4291" s="32"/>
    </row>
    <row r="4292" spans="1:8" x14ac:dyDescent="0.3">
      <c r="A4292" s="315">
        <v>0.18</v>
      </c>
      <c r="B4292" s="314">
        <f>H4286</f>
        <v>7000</v>
      </c>
      <c r="C4292" s="316">
        <f>H4287</f>
        <v>630</v>
      </c>
      <c r="D4292" s="316">
        <f>H4288</f>
        <v>630</v>
      </c>
      <c r="E4292" s="529">
        <f>C4292+D4292</f>
        <v>1260</v>
      </c>
      <c r="F4292" s="530"/>
      <c r="G4292" s="162"/>
      <c r="H4292" s="154"/>
    </row>
    <row r="4293" spans="1:8" x14ac:dyDescent="0.3">
      <c r="A4293" s="452" t="s">
        <v>839</v>
      </c>
      <c r="B4293" s="453"/>
      <c r="C4293" s="453"/>
      <c r="D4293" s="453"/>
      <c r="E4293" s="453"/>
      <c r="F4293" s="453"/>
      <c r="G4293" s="453"/>
      <c r="H4293" s="454"/>
    </row>
    <row r="4294" spans="1:8" ht="15.6" x14ac:dyDescent="0.3">
      <c r="A4294" s="455" t="s">
        <v>53</v>
      </c>
      <c r="B4294" s="456"/>
      <c r="C4294" s="456"/>
      <c r="D4294" s="457"/>
      <c r="E4294" s="458" t="s">
        <v>54</v>
      </c>
      <c r="F4294" s="459"/>
      <c r="G4294" s="459"/>
      <c r="H4294" s="460"/>
    </row>
    <row r="4295" spans="1:8" x14ac:dyDescent="0.3">
      <c r="A4295" s="461" t="s">
        <v>55</v>
      </c>
      <c r="B4295" s="462"/>
      <c r="C4295" s="462"/>
      <c r="D4295" s="463"/>
      <c r="E4295" s="39"/>
      <c r="F4295" s="25"/>
      <c r="G4295" s="28"/>
      <c r="H4295" s="32"/>
    </row>
    <row r="4296" spans="1:8" x14ac:dyDescent="0.3">
      <c r="A4296" s="461" t="s">
        <v>56</v>
      </c>
      <c r="B4296" s="462"/>
      <c r="C4296" s="462"/>
      <c r="D4296" s="463"/>
      <c r="E4296" s="39"/>
      <c r="F4296" s="25"/>
      <c r="G4296" s="28"/>
      <c r="H4296" s="32"/>
    </row>
    <row r="4297" spans="1:8" x14ac:dyDescent="0.3">
      <c r="A4297" s="461" t="s">
        <v>57</v>
      </c>
      <c r="B4297" s="462"/>
      <c r="C4297" s="462"/>
      <c r="D4297" s="463"/>
      <c r="E4297" s="39"/>
      <c r="F4297" s="25"/>
      <c r="G4297" s="28"/>
      <c r="H4297" s="32"/>
    </row>
    <row r="4298" spans="1:8" ht="15.6" x14ac:dyDescent="0.3">
      <c r="A4298" s="464" t="s">
        <v>58</v>
      </c>
      <c r="B4298" s="465"/>
      <c r="C4298" s="465"/>
      <c r="D4298" s="510"/>
      <c r="E4298" s="466" t="s">
        <v>59</v>
      </c>
      <c r="F4298" s="467"/>
      <c r="G4298" s="467"/>
      <c r="H4298" s="468"/>
    </row>
    <row r="4299" spans="1:8" ht="15.6" x14ac:dyDescent="0.3">
      <c r="A4299" s="104"/>
      <c r="B4299" s="104"/>
      <c r="C4299" s="104"/>
      <c r="D4299" s="104"/>
      <c r="E4299" s="105"/>
      <c r="F4299" s="105"/>
      <c r="G4299" s="105"/>
      <c r="H4299" s="301"/>
    </row>
    <row r="4302" spans="1:8" ht="44.4" x14ac:dyDescent="0.7">
      <c r="A4302" s="469" t="s">
        <v>0</v>
      </c>
      <c r="B4302" s="470"/>
      <c r="C4302" s="470"/>
      <c r="D4302" s="470"/>
      <c r="E4302" s="531" t="s">
        <v>1</v>
      </c>
      <c r="F4302" s="544"/>
      <c r="G4302" s="544"/>
      <c r="H4302" s="545"/>
    </row>
    <row r="4303" spans="1:8" ht="20.399999999999999" x14ac:dyDescent="0.35">
      <c r="A4303" s="1"/>
      <c r="B4303" s="476" t="s">
        <v>2</v>
      </c>
      <c r="C4303" s="476"/>
      <c r="D4303" s="476"/>
      <c r="E4303" s="546"/>
      <c r="F4303" s="546"/>
      <c r="G4303" s="546"/>
      <c r="H4303" s="547"/>
    </row>
    <row r="4304" spans="1:8" x14ac:dyDescent="0.3">
      <c r="A4304" s="477" t="s">
        <v>3</v>
      </c>
      <c r="B4304" s="478"/>
      <c r="C4304" s="479" t="s">
        <v>4</v>
      </c>
      <c r="D4304" s="479"/>
      <c r="E4304" s="654" t="s">
        <v>5</v>
      </c>
      <c r="F4304" s="654"/>
      <c r="G4304" s="654"/>
      <c r="H4304" s="654"/>
    </row>
    <row r="4305" spans="1:8" ht="15.6" x14ac:dyDescent="0.3">
      <c r="A4305" s="138" t="s">
        <v>6</v>
      </c>
      <c r="B4305" s="5"/>
      <c r="C4305" s="512" t="s">
        <v>7</v>
      </c>
      <c r="D4305" s="513"/>
      <c r="E4305" s="482">
        <v>94</v>
      </c>
      <c r="F4305" s="482"/>
      <c r="G4305" s="7" t="s">
        <v>8</v>
      </c>
      <c r="H4305" s="9">
        <v>45908</v>
      </c>
    </row>
    <row r="4306" spans="1:8" ht="15.6" x14ac:dyDescent="0.3">
      <c r="A4306" s="667" t="s">
        <v>830</v>
      </c>
      <c r="B4306" s="668"/>
      <c r="C4306" s="516" t="s">
        <v>10</v>
      </c>
      <c r="D4306" s="481"/>
      <c r="E4306" s="482"/>
      <c r="F4306" s="482"/>
      <c r="G4306" s="7" t="s">
        <v>8</v>
      </c>
      <c r="H4306" s="9"/>
    </row>
    <row r="4307" spans="1:8" ht="15" x14ac:dyDescent="0.3">
      <c r="A4307" s="517" t="s">
        <v>831</v>
      </c>
      <c r="B4307" s="518"/>
      <c r="C4307" s="484" t="s">
        <v>12</v>
      </c>
      <c r="D4307" s="519"/>
      <c r="E4307" s="665"/>
      <c r="F4307" s="666"/>
      <c r="G4307" s="10" t="s">
        <v>8</v>
      </c>
      <c r="H4307" s="11"/>
    </row>
    <row r="4308" spans="1:8" ht="15.6" x14ac:dyDescent="0.3">
      <c r="A4308" s="556" t="s">
        <v>832</v>
      </c>
      <c r="B4308" s="557"/>
      <c r="C4308" s="521" t="s">
        <v>15</v>
      </c>
      <c r="D4308" s="522"/>
      <c r="E4308" s="523" t="s">
        <v>829</v>
      </c>
      <c r="F4308" s="524"/>
      <c r="G4308" s="524"/>
      <c r="H4308" s="6"/>
    </row>
    <row r="4309" spans="1:8" ht="15.6" x14ac:dyDescent="0.3">
      <c r="A4309" s="558" t="s">
        <v>833</v>
      </c>
      <c r="B4309" s="559"/>
      <c r="C4309" s="230"/>
      <c r="D4309" s="231"/>
      <c r="E4309" s="232"/>
      <c r="F4309" s="233"/>
      <c r="G4309" s="233"/>
      <c r="H4309" s="231"/>
    </row>
    <row r="4310" spans="1:8" ht="15" x14ac:dyDescent="0.3">
      <c r="A4310" s="527" t="s">
        <v>17</v>
      </c>
      <c r="B4310" s="505" t="s">
        <v>18</v>
      </c>
      <c r="C4310" s="494" t="s">
        <v>19</v>
      </c>
      <c r="D4310" s="494" t="s">
        <v>20</v>
      </c>
      <c r="E4310" s="494" t="s">
        <v>21</v>
      </c>
      <c r="F4310" s="494" t="s">
        <v>834</v>
      </c>
      <c r="G4310" s="494"/>
      <c r="H4310" s="492" t="s">
        <v>23</v>
      </c>
    </row>
    <row r="4311" spans="1:8" ht="27.6" x14ac:dyDescent="0.3">
      <c r="A4311" s="492"/>
      <c r="B4311" s="494"/>
      <c r="C4311" s="494"/>
      <c r="D4311" s="494"/>
      <c r="E4311" s="494"/>
      <c r="F4311" s="53" t="s">
        <v>398</v>
      </c>
      <c r="G4311" s="53"/>
      <c r="H4311" s="492"/>
    </row>
    <row r="4312" spans="1:8" x14ac:dyDescent="0.3">
      <c r="A4312" s="57">
        <v>2</v>
      </c>
      <c r="B4312" s="60" t="s">
        <v>485</v>
      </c>
      <c r="C4312" s="57">
        <v>3</v>
      </c>
      <c r="D4312" s="56">
        <v>998719</v>
      </c>
      <c r="E4312" s="185">
        <v>7200</v>
      </c>
      <c r="F4312" s="58">
        <v>3888</v>
      </c>
      <c r="G4312" s="58"/>
      <c r="H4312" s="59">
        <f>G4312+F4312+E4312*C4312</f>
        <v>25488</v>
      </c>
    </row>
    <row r="4313" spans="1:8" x14ac:dyDescent="0.3">
      <c r="A4313" s="57"/>
      <c r="B4313" s="237"/>
      <c r="C4313" s="188"/>
      <c r="D4313" s="56"/>
      <c r="E4313" s="57"/>
      <c r="F4313" s="58"/>
      <c r="G4313" s="58"/>
      <c r="H4313" s="59"/>
    </row>
    <row r="4314" spans="1:8" x14ac:dyDescent="0.3">
      <c r="A4314" s="57"/>
      <c r="B4314" s="237"/>
      <c r="C4314" s="188"/>
      <c r="D4314" s="56"/>
      <c r="E4314" s="57"/>
      <c r="F4314" s="58"/>
      <c r="G4314" s="58"/>
      <c r="H4314" s="59"/>
    </row>
    <row r="4315" spans="1:8" x14ac:dyDescent="0.3">
      <c r="A4315" s="57"/>
      <c r="B4315" s="238"/>
      <c r="C4315" s="57"/>
      <c r="D4315" s="56"/>
      <c r="E4315" s="57"/>
      <c r="F4315" s="58"/>
      <c r="G4315" s="58"/>
      <c r="H4315" s="59"/>
    </row>
    <row r="4316" spans="1:8" x14ac:dyDescent="0.3">
      <c r="A4316" s="57"/>
      <c r="B4316" s="238"/>
      <c r="C4316" s="57"/>
      <c r="D4316" s="56"/>
      <c r="E4316" s="57"/>
      <c r="F4316" s="58"/>
      <c r="G4316" s="58"/>
      <c r="H4316" s="59"/>
    </row>
    <row r="4317" spans="1:8" x14ac:dyDescent="0.3">
      <c r="A4317" s="57"/>
      <c r="B4317" s="60"/>
      <c r="C4317" s="239"/>
      <c r="D4317" s="56"/>
      <c r="E4317" s="57"/>
      <c r="F4317" s="58"/>
      <c r="G4317" s="58"/>
      <c r="H4317" s="59"/>
    </row>
    <row r="4318" spans="1:8" x14ac:dyDescent="0.3">
      <c r="A4318" s="57"/>
      <c r="B4318" s="60"/>
      <c r="C4318" s="57"/>
      <c r="D4318" s="86"/>
      <c r="E4318" s="57"/>
      <c r="F4318" s="58"/>
      <c r="G4318" s="58"/>
      <c r="H4318" s="59"/>
    </row>
    <row r="4319" spans="1:8" x14ac:dyDescent="0.3">
      <c r="A4319" s="173"/>
      <c r="B4319" s="174"/>
      <c r="C4319" s="175"/>
      <c r="D4319" s="152"/>
      <c r="E4319" s="175"/>
      <c r="F4319" s="165"/>
      <c r="G4319" s="165"/>
      <c r="H4319" s="166"/>
    </row>
    <row r="4320" spans="1:8" x14ac:dyDescent="0.3">
      <c r="A4320" s="173"/>
      <c r="B4320" s="174"/>
      <c r="C4320" s="175"/>
      <c r="D4320" s="152"/>
      <c r="E4320" s="175"/>
      <c r="F4320" s="165"/>
      <c r="G4320" s="165"/>
      <c r="H4320" s="166"/>
    </row>
    <row r="4321" spans="1:8" x14ac:dyDescent="0.3">
      <c r="A4321" s="173"/>
      <c r="B4321" s="174"/>
      <c r="C4321" s="175"/>
      <c r="D4321" s="152"/>
      <c r="E4321" s="175"/>
      <c r="F4321" s="165"/>
      <c r="G4321" s="165"/>
      <c r="H4321" s="166"/>
    </row>
    <row r="4322" spans="1:8" x14ac:dyDescent="0.3">
      <c r="A4322" s="173"/>
      <c r="B4322" s="174"/>
      <c r="C4322" s="175"/>
      <c r="D4322" s="152"/>
      <c r="E4322" s="175"/>
      <c r="F4322" s="165"/>
      <c r="G4322" s="165"/>
      <c r="H4322" s="166"/>
    </row>
    <row r="4323" spans="1:8" x14ac:dyDescent="0.3">
      <c r="A4323" s="173"/>
      <c r="B4323" s="174"/>
      <c r="C4323" s="175"/>
      <c r="D4323" s="152"/>
      <c r="E4323" s="175"/>
      <c r="F4323" s="165"/>
      <c r="G4323" s="165"/>
      <c r="H4323" s="166"/>
    </row>
    <row r="4324" spans="1:8" x14ac:dyDescent="0.3">
      <c r="A4324" s="173"/>
      <c r="B4324" s="174"/>
      <c r="C4324" s="175"/>
      <c r="D4324" s="152"/>
      <c r="E4324" s="175"/>
      <c r="F4324" s="165"/>
      <c r="G4324" s="165"/>
      <c r="H4324" s="166"/>
    </row>
    <row r="4325" spans="1:8" x14ac:dyDescent="0.3">
      <c r="A4325" s="173"/>
      <c r="B4325" s="174"/>
      <c r="C4325" s="175"/>
      <c r="D4325" s="152"/>
      <c r="E4325" s="175"/>
      <c r="F4325" s="165"/>
      <c r="G4325" s="165"/>
      <c r="H4325" s="166"/>
    </row>
    <row r="4326" spans="1:8" x14ac:dyDescent="0.3">
      <c r="A4326" s="173"/>
      <c r="B4326" s="174"/>
      <c r="C4326" s="175"/>
      <c r="D4326" s="152"/>
      <c r="E4326" s="175"/>
      <c r="F4326" s="165"/>
      <c r="G4326" s="165"/>
      <c r="H4326" s="166"/>
    </row>
    <row r="4327" spans="1:8" x14ac:dyDescent="0.3">
      <c r="A4327" s="173"/>
      <c r="B4327" s="174"/>
      <c r="C4327" s="175"/>
      <c r="D4327" s="152"/>
      <c r="E4327" s="175"/>
      <c r="F4327" s="165"/>
      <c r="G4327" s="165"/>
      <c r="H4327" s="166"/>
    </row>
    <row r="4328" spans="1:8" x14ac:dyDescent="0.3">
      <c r="A4328" s="27"/>
      <c r="B4328" s="174"/>
      <c r="C4328" s="24"/>
      <c r="D4328" s="152"/>
      <c r="E4328" s="175"/>
      <c r="F4328" s="175"/>
      <c r="G4328" s="162"/>
      <c r="H4328" s="154"/>
    </row>
    <row r="4329" spans="1:8" x14ac:dyDescent="0.3">
      <c r="A4329" s="27"/>
      <c r="B4329" s="174"/>
      <c r="C4329" s="24"/>
      <c r="D4329" s="152"/>
      <c r="E4329" s="25"/>
      <c r="F4329" s="175"/>
      <c r="G4329" s="162"/>
      <c r="H4329" s="154"/>
    </row>
    <row r="4330" spans="1:8" x14ac:dyDescent="0.3">
      <c r="A4330" s="27"/>
      <c r="B4330" s="28"/>
      <c r="C4330" s="24"/>
      <c r="D4330" s="152"/>
      <c r="E4330" s="25"/>
      <c r="F4330" s="175"/>
      <c r="G4330" s="162"/>
      <c r="H4330" s="154"/>
    </row>
    <row r="4331" spans="1:8" x14ac:dyDescent="0.3">
      <c r="A4331" s="27"/>
      <c r="B4331" s="28"/>
      <c r="C4331" s="24"/>
      <c r="D4331" s="25"/>
      <c r="E4331" s="25"/>
      <c r="F4331" s="25"/>
      <c r="G4331" s="28"/>
      <c r="H4331" s="32"/>
    </row>
    <row r="4332" spans="1:8" ht="15.6" x14ac:dyDescent="0.3">
      <c r="A4332" s="448" t="s">
        <v>45</v>
      </c>
      <c r="B4332" s="449"/>
      <c r="C4332" s="24"/>
      <c r="D4332" s="25"/>
      <c r="E4332" s="25"/>
      <c r="F4332" s="447" t="s">
        <v>46</v>
      </c>
      <c r="G4332" s="447"/>
      <c r="H4332" s="66">
        <v>21600</v>
      </c>
    </row>
    <row r="4333" spans="1:8" ht="15.6" x14ac:dyDescent="0.3">
      <c r="A4333" s="497" t="s">
        <v>836</v>
      </c>
      <c r="B4333" s="498"/>
      <c r="C4333" s="498"/>
      <c r="D4333" s="498"/>
      <c r="E4333" s="498"/>
      <c r="F4333" s="447" t="s">
        <v>396</v>
      </c>
      <c r="G4333" s="447"/>
      <c r="H4333" s="66">
        <v>3888</v>
      </c>
    </row>
    <row r="4334" spans="1:8" ht="15.6" x14ac:dyDescent="0.3">
      <c r="A4334" s="27"/>
      <c r="B4334" s="28"/>
      <c r="C4334" s="24"/>
      <c r="D4334" s="25"/>
      <c r="E4334" s="25"/>
      <c r="F4334" s="447"/>
      <c r="G4334" s="447"/>
      <c r="H4334" s="66"/>
    </row>
    <row r="4335" spans="1:8" ht="15.6" x14ac:dyDescent="0.3">
      <c r="A4335" s="448" t="s">
        <v>49</v>
      </c>
      <c r="B4335" s="449"/>
      <c r="C4335" s="24"/>
      <c r="D4335" s="25"/>
      <c r="E4335" s="25"/>
      <c r="F4335" s="447" t="s">
        <v>50</v>
      </c>
      <c r="G4335" s="447"/>
      <c r="H4335" s="66">
        <f>H4332+H4333+H4334</f>
        <v>25488</v>
      </c>
    </row>
    <row r="4336" spans="1:8" ht="15.6" x14ac:dyDescent="0.3">
      <c r="A4336" s="90"/>
      <c r="B4336" s="177"/>
      <c r="C4336" s="24"/>
      <c r="D4336" s="25"/>
      <c r="E4336" s="25"/>
      <c r="F4336" s="26"/>
      <c r="G4336" s="26"/>
      <c r="H4336" s="66"/>
    </row>
    <row r="4337" spans="1:8" ht="27" x14ac:dyDescent="0.3">
      <c r="A4337" s="29" t="s">
        <v>22</v>
      </c>
      <c r="B4337" s="30" t="s">
        <v>51</v>
      </c>
      <c r="C4337" s="31" t="s">
        <v>835</v>
      </c>
      <c r="D4337" s="31"/>
      <c r="E4337" s="528" t="s">
        <v>52</v>
      </c>
      <c r="F4337" s="528"/>
      <c r="G4337" s="28"/>
      <c r="H4337" s="32"/>
    </row>
    <row r="4338" spans="1:8" x14ac:dyDescent="0.3">
      <c r="A4338" s="315">
        <v>0.18</v>
      </c>
      <c r="B4338" s="314">
        <f>H4332</f>
        <v>21600</v>
      </c>
      <c r="C4338" s="316">
        <f>H4333</f>
        <v>3888</v>
      </c>
      <c r="D4338" s="316"/>
      <c r="E4338" s="529">
        <f>C4338+D4338</f>
        <v>3888</v>
      </c>
      <c r="F4338" s="530"/>
      <c r="G4338" s="162"/>
      <c r="H4338" s="154"/>
    </row>
    <row r="4339" spans="1:8" x14ac:dyDescent="0.3">
      <c r="A4339" s="452" t="s">
        <v>837</v>
      </c>
      <c r="B4339" s="453"/>
      <c r="C4339" s="453"/>
      <c r="D4339" s="453"/>
      <c r="E4339" s="453"/>
      <c r="F4339" s="453"/>
      <c r="G4339" s="453"/>
      <c r="H4339" s="454"/>
    </row>
    <row r="4340" spans="1:8" ht="15.6" x14ac:dyDescent="0.3">
      <c r="A4340" s="455" t="s">
        <v>53</v>
      </c>
      <c r="B4340" s="456"/>
      <c r="C4340" s="456"/>
      <c r="D4340" s="457"/>
      <c r="E4340" s="458" t="s">
        <v>54</v>
      </c>
      <c r="F4340" s="459"/>
      <c r="G4340" s="459"/>
      <c r="H4340" s="460"/>
    </row>
    <row r="4341" spans="1:8" x14ac:dyDescent="0.3">
      <c r="A4341" s="461" t="s">
        <v>55</v>
      </c>
      <c r="B4341" s="462"/>
      <c r="C4341" s="462"/>
      <c r="D4341" s="463"/>
      <c r="E4341" s="39"/>
      <c r="F4341" s="25"/>
      <c r="G4341" s="28"/>
      <c r="H4341" s="32"/>
    </row>
    <row r="4342" spans="1:8" x14ac:dyDescent="0.3">
      <c r="A4342" s="461" t="s">
        <v>56</v>
      </c>
      <c r="B4342" s="462"/>
      <c r="C4342" s="462"/>
      <c r="D4342" s="463"/>
      <c r="E4342" s="39"/>
      <c r="F4342" s="25"/>
      <c r="G4342" s="28"/>
      <c r="H4342" s="32"/>
    </row>
    <row r="4343" spans="1:8" x14ac:dyDescent="0.3">
      <c r="A4343" s="461" t="s">
        <v>57</v>
      </c>
      <c r="B4343" s="462"/>
      <c r="C4343" s="462"/>
      <c r="D4343" s="463"/>
      <c r="E4343" s="39"/>
      <c r="F4343" s="25"/>
      <c r="G4343" s="28"/>
      <c r="H4343" s="32"/>
    </row>
    <row r="4344" spans="1:8" ht="15.6" x14ac:dyDescent="0.3">
      <c r="A4344" s="464" t="s">
        <v>58</v>
      </c>
      <c r="B4344" s="465"/>
      <c r="C4344" s="465"/>
      <c r="D4344" s="510"/>
      <c r="E4344" s="466" t="s">
        <v>59</v>
      </c>
      <c r="F4344" s="467"/>
      <c r="G4344" s="467"/>
      <c r="H4344" s="468"/>
    </row>
    <row r="4349" spans="1:8" ht="44.4" x14ac:dyDescent="0.7">
      <c r="A4349" s="469" t="s">
        <v>0</v>
      </c>
      <c r="B4349" s="470"/>
      <c r="C4349" s="470"/>
      <c r="D4349" s="470"/>
      <c r="E4349" s="531" t="s">
        <v>1</v>
      </c>
      <c r="F4349" s="544"/>
      <c r="G4349" s="544"/>
      <c r="H4349" s="545"/>
    </row>
    <row r="4350" spans="1:8" ht="20.399999999999999" x14ac:dyDescent="0.35">
      <c r="A4350" s="1"/>
      <c r="B4350" s="476" t="s">
        <v>2</v>
      </c>
      <c r="C4350" s="476"/>
      <c r="D4350" s="476"/>
      <c r="E4350" s="546"/>
      <c r="F4350" s="546"/>
      <c r="G4350" s="546"/>
      <c r="H4350" s="547"/>
    </row>
    <row r="4351" spans="1:8" x14ac:dyDescent="0.3">
      <c r="A4351" s="477" t="s">
        <v>3</v>
      </c>
      <c r="B4351" s="478"/>
      <c r="C4351" s="479" t="s">
        <v>4</v>
      </c>
      <c r="D4351" s="479"/>
      <c r="E4351" s="654" t="s">
        <v>5</v>
      </c>
      <c r="F4351" s="654"/>
      <c r="G4351" s="654"/>
      <c r="H4351" s="654"/>
    </row>
    <row r="4352" spans="1:8" ht="15.6" x14ac:dyDescent="0.3">
      <c r="A4352" s="138" t="s">
        <v>6</v>
      </c>
      <c r="B4352" s="5"/>
      <c r="C4352" s="512" t="s">
        <v>7</v>
      </c>
      <c r="D4352" s="513"/>
      <c r="E4352" s="482">
        <v>95</v>
      </c>
      <c r="F4352" s="482"/>
      <c r="G4352" s="7" t="s">
        <v>8</v>
      </c>
      <c r="H4352" s="9">
        <v>45908</v>
      </c>
    </row>
    <row r="4353" spans="1:8" ht="15.6" x14ac:dyDescent="0.3">
      <c r="A4353" s="667" t="s">
        <v>841</v>
      </c>
      <c r="B4353" s="668"/>
      <c r="C4353" s="516" t="s">
        <v>10</v>
      </c>
      <c r="D4353" s="481"/>
      <c r="E4353" s="482"/>
      <c r="F4353" s="482"/>
      <c r="G4353" s="7" t="s">
        <v>8</v>
      </c>
      <c r="H4353" s="9"/>
    </row>
    <row r="4354" spans="1:8" ht="15" x14ac:dyDescent="0.3">
      <c r="A4354" s="517" t="s">
        <v>842</v>
      </c>
      <c r="B4354" s="518"/>
      <c r="C4354" s="484" t="s">
        <v>12</v>
      </c>
      <c r="D4354" s="519"/>
      <c r="E4354" s="665"/>
      <c r="F4354" s="666"/>
      <c r="G4354" s="10" t="s">
        <v>8</v>
      </c>
      <c r="H4354" s="11"/>
    </row>
    <row r="4355" spans="1:8" ht="15.6" x14ac:dyDescent="0.3">
      <c r="A4355" s="556" t="s">
        <v>843</v>
      </c>
      <c r="B4355" s="557"/>
      <c r="C4355" s="521" t="s">
        <v>15</v>
      </c>
      <c r="D4355" s="522"/>
      <c r="E4355" s="523" t="s">
        <v>840</v>
      </c>
      <c r="F4355" s="524"/>
      <c r="G4355" s="524"/>
      <c r="H4355" s="6"/>
    </row>
    <row r="4356" spans="1:8" ht="15.6" x14ac:dyDescent="0.3">
      <c r="A4356" s="558" t="s">
        <v>129</v>
      </c>
      <c r="B4356" s="559"/>
      <c r="C4356" s="230"/>
      <c r="D4356" s="231"/>
      <c r="E4356" s="232"/>
      <c r="F4356" s="233"/>
      <c r="G4356" s="233"/>
      <c r="H4356" s="231"/>
    </row>
    <row r="4357" spans="1:8" ht="15" x14ac:dyDescent="0.3">
      <c r="A4357" s="527" t="s">
        <v>17</v>
      </c>
      <c r="B4357" s="505" t="s">
        <v>18</v>
      </c>
      <c r="C4357" s="494" t="s">
        <v>19</v>
      </c>
      <c r="D4357" s="494" t="s">
        <v>20</v>
      </c>
      <c r="E4357" s="494" t="s">
        <v>21</v>
      </c>
      <c r="F4357" s="494" t="s">
        <v>22</v>
      </c>
      <c r="G4357" s="494"/>
      <c r="H4357" s="492" t="s">
        <v>23</v>
      </c>
    </row>
    <row r="4358" spans="1:8" ht="15" customHeight="1" x14ac:dyDescent="0.3">
      <c r="A4358" s="492"/>
      <c r="B4358" s="494"/>
      <c r="C4358" s="494"/>
      <c r="D4358" s="494"/>
      <c r="E4358" s="494"/>
      <c r="F4358" s="53" t="s">
        <v>24</v>
      </c>
      <c r="G4358" s="53" t="s">
        <v>25</v>
      </c>
      <c r="H4358" s="492"/>
    </row>
    <row r="4359" spans="1:8" x14ac:dyDescent="0.3">
      <c r="A4359" s="57">
        <v>1</v>
      </c>
      <c r="B4359" s="60" t="s">
        <v>844</v>
      </c>
      <c r="C4359" s="57">
        <v>1</v>
      </c>
      <c r="D4359" s="56">
        <v>998719</v>
      </c>
      <c r="E4359" s="185">
        <v>4300</v>
      </c>
      <c r="F4359" s="58">
        <f>E4359*C4359*9%</f>
        <v>387</v>
      </c>
      <c r="G4359" s="58">
        <f>F4359</f>
        <v>387</v>
      </c>
      <c r="H4359" s="59">
        <f>G4359+F4359+E4359*C4359</f>
        <v>5074</v>
      </c>
    </row>
    <row r="4360" spans="1:8" x14ac:dyDescent="0.3">
      <c r="A4360" s="57"/>
      <c r="B4360" s="237"/>
      <c r="C4360" s="188"/>
      <c r="D4360" s="56"/>
      <c r="E4360" s="57"/>
      <c r="F4360" s="58"/>
      <c r="G4360" s="58"/>
      <c r="H4360" s="59"/>
    </row>
    <row r="4361" spans="1:8" x14ac:dyDescent="0.3">
      <c r="A4361" s="57"/>
      <c r="B4361" s="237"/>
      <c r="C4361" s="188"/>
      <c r="D4361" s="56"/>
      <c r="E4361" s="57"/>
      <c r="F4361" s="58"/>
      <c r="G4361" s="58"/>
      <c r="H4361" s="59"/>
    </row>
    <row r="4362" spans="1:8" x14ac:dyDescent="0.3">
      <c r="A4362" s="57"/>
      <c r="B4362" s="238"/>
      <c r="C4362" s="57"/>
      <c r="D4362" s="56"/>
      <c r="E4362" s="57"/>
      <c r="F4362" s="58"/>
      <c r="G4362" s="58"/>
      <c r="H4362" s="59"/>
    </row>
    <row r="4363" spans="1:8" x14ac:dyDescent="0.3">
      <c r="A4363" s="57"/>
      <c r="B4363" s="238"/>
      <c r="C4363" s="57"/>
      <c r="D4363" s="56"/>
      <c r="E4363" s="57"/>
      <c r="F4363" s="58"/>
      <c r="G4363" s="58"/>
      <c r="H4363" s="59"/>
    </row>
    <row r="4364" spans="1:8" x14ac:dyDescent="0.3">
      <c r="A4364" s="57"/>
      <c r="B4364" s="60"/>
      <c r="C4364" s="239"/>
      <c r="D4364" s="56"/>
      <c r="E4364" s="57"/>
      <c r="F4364" s="58"/>
      <c r="G4364" s="58"/>
      <c r="H4364" s="59"/>
    </row>
    <row r="4365" spans="1:8" x14ac:dyDescent="0.3">
      <c r="A4365" s="57"/>
      <c r="B4365" s="60"/>
      <c r="C4365" s="57"/>
      <c r="D4365" s="86"/>
      <c r="E4365" s="57"/>
      <c r="F4365" s="58"/>
      <c r="G4365" s="58"/>
      <c r="H4365" s="59"/>
    </row>
    <row r="4366" spans="1:8" x14ac:dyDescent="0.3">
      <c r="A4366" s="173"/>
      <c r="B4366" s="174"/>
      <c r="C4366" s="175"/>
      <c r="D4366" s="152"/>
      <c r="E4366" s="175"/>
      <c r="F4366" s="165"/>
      <c r="G4366" s="165"/>
      <c r="H4366" s="166"/>
    </row>
    <row r="4367" spans="1:8" x14ac:dyDescent="0.3">
      <c r="A4367" s="173"/>
      <c r="B4367" s="174"/>
      <c r="C4367" s="175"/>
      <c r="D4367" s="152"/>
      <c r="E4367" s="175"/>
      <c r="F4367" s="165"/>
      <c r="G4367" s="165"/>
      <c r="H4367" s="166"/>
    </row>
    <row r="4368" spans="1:8" x14ac:dyDescent="0.3">
      <c r="A4368" s="173"/>
      <c r="B4368" s="174"/>
      <c r="C4368" s="175"/>
      <c r="D4368" s="152"/>
      <c r="E4368" s="175"/>
      <c r="F4368" s="165"/>
      <c r="G4368" s="165"/>
      <c r="H4368" s="166"/>
    </row>
    <row r="4369" spans="1:8" x14ac:dyDescent="0.3">
      <c r="A4369" s="173"/>
      <c r="B4369" s="174"/>
      <c r="C4369" s="175"/>
      <c r="D4369" s="152"/>
      <c r="E4369" s="175"/>
      <c r="F4369" s="165"/>
      <c r="G4369" s="165"/>
      <c r="H4369" s="166"/>
    </row>
    <row r="4370" spans="1:8" x14ac:dyDescent="0.3">
      <c r="A4370" s="173"/>
      <c r="B4370" s="174"/>
      <c r="C4370" s="175"/>
      <c r="D4370" s="152"/>
      <c r="E4370" s="175"/>
      <c r="F4370" s="165"/>
      <c r="G4370" s="165"/>
      <c r="H4370" s="166"/>
    </row>
    <row r="4371" spans="1:8" x14ac:dyDescent="0.3">
      <c r="A4371" s="173"/>
      <c r="B4371" s="174"/>
      <c r="C4371" s="175"/>
      <c r="D4371" s="152"/>
      <c r="E4371" s="175"/>
      <c r="F4371" s="165"/>
      <c r="G4371" s="165"/>
      <c r="H4371" s="166"/>
    </row>
    <row r="4372" spans="1:8" x14ac:dyDescent="0.3">
      <c r="A4372" s="173"/>
      <c r="B4372" s="174"/>
      <c r="C4372" s="175"/>
      <c r="D4372" s="152"/>
      <c r="E4372" s="175"/>
      <c r="F4372" s="165"/>
      <c r="G4372" s="165"/>
      <c r="H4372" s="166"/>
    </row>
    <row r="4373" spans="1:8" x14ac:dyDescent="0.3">
      <c r="A4373" s="173"/>
      <c r="B4373" s="174"/>
      <c r="C4373" s="175"/>
      <c r="D4373" s="152"/>
      <c r="E4373" s="175"/>
      <c r="F4373" s="165"/>
      <c r="G4373" s="165"/>
      <c r="H4373" s="166"/>
    </row>
    <row r="4374" spans="1:8" x14ac:dyDescent="0.3">
      <c r="A4374" s="173"/>
      <c r="B4374" s="174"/>
      <c r="C4374" s="175"/>
      <c r="D4374" s="152"/>
      <c r="E4374" s="175"/>
      <c r="F4374" s="165"/>
      <c r="G4374" s="165"/>
      <c r="H4374" s="166"/>
    </row>
    <row r="4375" spans="1:8" x14ac:dyDescent="0.3">
      <c r="A4375" s="173"/>
      <c r="B4375" s="174"/>
      <c r="C4375" s="175"/>
      <c r="D4375" s="152"/>
      <c r="E4375" s="175"/>
      <c r="F4375" s="165"/>
      <c r="G4375" s="165"/>
      <c r="H4375" s="166"/>
    </row>
    <row r="4376" spans="1:8" x14ac:dyDescent="0.3">
      <c r="A4376" s="173"/>
      <c r="B4376" s="174"/>
      <c r="C4376" s="175"/>
      <c r="D4376" s="152"/>
      <c r="E4376" s="175"/>
      <c r="F4376" s="165"/>
      <c r="G4376" s="165"/>
      <c r="H4376" s="166"/>
    </row>
    <row r="4377" spans="1:8" x14ac:dyDescent="0.3">
      <c r="A4377" s="173"/>
      <c r="B4377" s="174"/>
      <c r="C4377" s="175"/>
      <c r="D4377" s="152"/>
      <c r="E4377" s="175"/>
      <c r="F4377" s="165"/>
      <c r="G4377" s="165"/>
      <c r="H4377" s="166"/>
    </row>
    <row r="4378" spans="1:8" x14ac:dyDescent="0.3">
      <c r="A4378" s="27"/>
      <c r="B4378" s="174"/>
      <c r="C4378" s="24"/>
      <c r="D4378" s="152"/>
      <c r="E4378" s="175"/>
      <c r="F4378" s="175"/>
      <c r="G4378" s="162"/>
      <c r="H4378" s="154"/>
    </row>
    <row r="4379" spans="1:8" x14ac:dyDescent="0.3">
      <c r="A4379" s="27"/>
      <c r="B4379" s="174"/>
      <c r="C4379" s="24"/>
      <c r="D4379" s="152"/>
      <c r="E4379" s="25"/>
      <c r="F4379" s="175"/>
      <c r="G4379" s="162"/>
      <c r="H4379" s="154"/>
    </row>
    <row r="4380" spans="1:8" x14ac:dyDescent="0.3">
      <c r="A4380" s="27"/>
      <c r="B4380" s="28"/>
      <c r="C4380" s="24"/>
      <c r="D4380" s="152"/>
      <c r="E4380" s="25"/>
      <c r="F4380" s="175"/>
      <c r="G4380" s="162"/>
      <c r="H4380" s="154"/>
    </row>
    <row r="4381" spans="1:8" x14ac:dyDescent="0.3">
      <c r="A4381" s="27"/>
      <c r="B4381" s="28"/>
      <c r="C4381" s="24"/>
      <c r="D4381" s="25"/>
      <c r="E4381" s="25"/>
      <c r="F4381" s="25"/>
      <c r="G4381" s="28"/>
      <c r="H4381" s="32"/>
    </row>
    <row r="4382" spans="1:8" ht="15.6" x14ac:dyDescent="0.3">
      <c r="A4382" s="448" t="s">
        <v>45</v>
      </c>
      <c r="B4382" s="449"/>
      <c r="C4382" s="24"/>
      <c r="D4382" s="25"/>
      <c r="E4382" s="25"/>
      <c r="F4382" s="447" t="s">
        <v>46</v>
      </c>
      <c r="G4382" s="447"/>
      <c r="H4382" s="66">
        <v>4300</v>
      </c>
    </row>
    <row r="4383" spans="1:8" ht="15.6" x14ac:dyDescent="0.3">
      <c r="A4383" s="497" t="s">
        <v>845</v>
      </c>
      <c r="B4383" s="498"/>
      <c r="C4383" s="498"/>
      <c r="D4383" s="498"/>
      <c r="E4383" s="498"/>
      <c r="F4383" s="447" t="s">
        <v>47</v>
      </c>
      <c r="G4383" s="447"/>
      <c r="H4383" s="66">
        <f>H4382*9%</f>
        <v>387</v>
      </c>
    </row>
    <row r="4384" spans="1:8" ht="15.6" x14ac:dyDescent="0.3">
      <c r="A4384" s="27"/>
      <c r="B4384" s="28"/>
      <c r="C4384" s="24"/>
      <c r="D4384" s="25"/>
      <c r="E4384" s="25"/>
      <c r="F4384" s="447" t="s">
        <v>48</v>
      </c>
      <c r="G4384" s="447"/>
      <c r="H4384" s="66">
        <f>H4383</f>
        <v>387</v>
      </c>
    </row>
    <row r="4385" spans="1:8" ht="15.6" x14ac:dyDescent="0.3">
      <c r="A4385" s="448" t="s">
        <v>49</v>
      </c>
      <c r="B4385" s="449"/>
      <c r="C4385" s="24"/>
      <c r="D4385" s="25"/>
      <c r="E4385" s="25"/>
      <c r="F4385" s="447" t="s">
        <v>50</v>
      </c>
      <c r="G4385" s="447"/>
      <c r="H4385" s="66">
        <f>H4382+H4383+H4384</f>
        <v>5074</v>
      </c>
    </row>
    <row r="4386" spans="1:8" ht="15.6" x14ac:dyDescent="0.3">
      <c r="A4386" s="90"/>
      <c r="B4386" s="177"/>
      <c r="C4386" s="24"/>
      <c r="D4386" s="25"/>
      <c r="E4386" s="25"/>
      <c r="F4386" s="26"/>
      <c r="G4386" s="26"/>
      <c r="H4386" s="66"/>
    </row>
    <row r="4387" spans="1:8" ht="27" x14ac:dyDescent="0.3">
      <c r="A4387" s="29" t="s">
        <v>22</v>
      </c>
      <c r="B4387" s="30" t="s">
        <v>51</v>
      </c>
      <c r="C4387" s="31" t="s">
        <v>24</v>
      </c>
      <c r="D4387" s="31" t="s">
        <v>25</v>
      </c>
      <c r="E4387" s="528" t="s">
        <v>52</v>
      </c>
      <c r="F4387" s="528"/>
      <c r="G4387" s="28"/>
      <c r="H4387" s="32"/>
    </row>
    <row r="4388" spans="1:8" x14ac:dyDescent="0.3">
      <c r="A4388" s="315">
        <v>0.18</v>
      </c>
      <c r="B4388" s="314">
        <f>H4382</f>
        <v>4300</v>
      </c>
      <c r="C4388" s="316">
        <f>H4383</f>
        <v>387</v>
      </c>
      <c r="D4388" s="316">
        <f>H4384</f>
        <v>387</v>
      </c>
      <c r="E4388" s="529">
        <f>C4388+D4388</f>
        <v>774</v>
      </c>
      <c r="F4388" s="530"/>
      <c r="G4388" s="162"/>
      <c r="H4388" s="154"/>
    </row>
    <row r="4389" spans="1:8" x14ac:dyDescent="0.3">
      <c r="A4389" s="452" t="s">
        <v>846</v>
      </c>
      <c r="B4389" s="453"/>
      <c r="C4389" s="453"/>
      <c r="D4389" s="453"/>
      <c r="E4389" s="453"/>
      <c r="F4389" s="453"/>
      <c r="G4389" s="453"/>
      <c r="H4389" s="454"/>
    </row>
    <row r="4390" spans="1:8" ht="15.6" x14ac:dyDescent="0.3">
      <c r="A4390" s="455" t="s">
        <v>53</v>
      </c>
      <c r="B4390" s="456"/>
      <c r="C4390" s="456"/>
      <c r="D4390" s="457"/>
      <c r="E4390" s="458" t="s">
        <v>54</v>
      </c>
      <c r="F4390" s="459"/>
      <c r="G4390" s="459"/>
      <c r="H4390" s="460"/>
    </row>
    <row r="4391" spans="1:8" x14ac:dyDescent="0.3">
      <c r="A4391" s="461" t="s">
        <v>55</v>
      </c>
      <c r="B4391" s="462"/>
      <c r="C4391" s="462"/>
      <c r="D4391" s="463"/>
      <c r="E4391" s="39"/>
      <c r="F4391" s="25"/>
      <c r="G4391" s="28"/>
      <c r="H4391" s="32"/>
    </row>
    <row r="4392" spans="1:8" x14ac:dyDescent="0.3">
      <c r="A4392" s="461" t="s">
        <v>56</v>
      </c>
      <c r="B4392" s="462"/>
      <c r="C4392" s="462"/>
      <c r="D4392" s="463"/>
      <c r="E4392" s="39"/>
      <c r="F4392" s="25"/>
      <c r="G4392" s="28"/>
      <c r="H4392" s="32"/>
    </row>
    <row r="4393" spans="1:8" x14ac:dyDescent="0.3">
      <c r="A4393" s="461" t="s">
        <v>57</v>
      </c>
      <c r="B4393" s="462"/>
      <c r="C4393" s="462"/>
      <c r="D4393" s="463"/>
      <c r="E4393" s="39"/>
      <c r="F4393" s="25"/>
      <c r="G4393" s="28"/>
      <c r="H4393" s="32"/>
    </row>
    <row r="4394" spans="1:8" ht="15.6" x14ac:dyDescent="0.3">
      <c r="A4394" s="464" t="s">
        <v>58</v>
      </c>
      <c r="B4394" s="465"/>
      <c r="C4394" s="465"/>
      <c r="D4394" s="510"/>
      <c r="E4394" s="466" t="s">
        <v>59</v>
      </c>
      <c r="F4394" s="467"/>
      <c r="G4394" s="467"/>
      <c r="H4394" s="468"/>
    </row>
    <row r="4397" spans="1:8" ht="44.4" x14ac:dyDescent="0.7">
      <c r="A4397" s="469" t="s">
        <v>0</v>
      </c>
      <c r="B4397" s="470"/>
      <c r="C4397" s="470"/>
      <c r="D4397" s="470"/>
      <c r="E4397" s="531" t="s">
        <v>1</v>
      </c>
      <c r="F4397" s="544"/>
      <c r="G4397" s="544"/>
      <c r="H4397" s="545"/>
    </row>
    <row r="4398" spans="1:8" ht="20.399999999999999" x14ac:dyDescent="0.35">
      <c r="A4398" s="1"/>
      <c r="B4398" s="476" t="s">
        <v>2</v>
      </c>
      <c r="C4398" s="476"/>
      <c r="D4398" s="476"/>
      <c r="E4398" s="546"/>
      <c r="F4398" s="546"/>
      <c r="G4398" s="546"/>
      <c r="H4398" s="547"/>
    </row>
    <row r="4399" spans="1:8" x14ac:dyDescent="0.3">
      <c r="A4399" s="477" t="s">
        <v>3</v>
      </c>
      <c r="B4399" s="478"/>
      <c r="C4399" s="479" t="s">
        <v>4</v>
      </c>
      <c r="D4399" s="479"/>
      <c r="E4399" s="654" t="s">
        <v>5</v>
      </c>
      <c r="F4399" s="654"/>
      <c r="G4399" s="654"/>
      <c r="H4399" s="654"/>
    </row>
    <row r="4400" spans="1:8" ht="15.6" x14ac:dyDescent="0.3">
      <c r="A4400" s="138" t="s">
        <v>6</v>
      </c>
      <c r="B4400" s="5"/>
      <c r="C4400" s="512" t="s">
        <v>7</v>
      </c>
      <c r="D4400" s="513"/>
      <c r="E4400" s="482">
        <v>96</v>
      </c>
      <c r="F4400" s="482"/>
      <c r="G4400" s="7" t="s">
        <v>8</v>
      </c>
      <c r="H4400" s="9">
        <v>45908</v>
      </c>
    </row>
    <row r="4401" spans="1:8" ht="15.6" x14ac:dyDescent="0.3">
      <c r="A4401" s="667" t="s">
        <v>848</v>
      </c>
      <c r="B4401" s="668"/>
      <c r="C4401" s="516" t="s">
        <v>10</v>
      </c>
      <c r="D4401" s="481"/>
      <c r="E4401" s="482"/>
      <c r="F4401" s="482"/>
      <c r="G4401" s="7" t="s">
        <v>8</v>
      </c>
      <c r="H4401" s="9"/>
    </row>
    <row r="4402" spans="1:8" ht="15" x14ac:dyDescent="0.3">
      <c r="A4402" s="517" t="s">
        <v>849</v>
      </c>
      <c r="B4402" s="518"/>
      <c r="C4402" s="484" t="s">
        <v>12</v>
      </c>
      <c r="D4402" s="519"/>
      <c r="E4402" s="665"/>
      <c r="F4402" s="666"/>
      <c r="G4402" s="10" t="s">
        <v>8</v>
      </c>
      <c r="H4402" s="11"/>
    </row>
    <row r="4403" spans="1:8" ht="15.6" x14ac:dyDescent="0.3">
      <c r="A4403" s="556" t="s">
        <v>850</v>
      </c>
      <c r="B4403" s="557"/>
      <c r="C4403" s="521" t="s">
        <v>15</v>
      </c>
      <c r="D4403" s="522"/>
      <c r="E4403" s="523" t="s">
        <v>852</v>
      </c>
      <c r="F4403" s="524"/>
      <c r="G4403" s="524"/>
      <c r="H4403" s="6"/>
    </row>
    <row r="4404" spans="1:8" ht="15.6" x14ac:dyDescent="0.3">
      <c r="A4404" s="558" t="s">
        <v>129</v>
      </c>
      <c r="B4404" s="559"/>
      <c r="C4404" s="230"/>
      <c r="D4404" s="231"/>
      <c r="E4404" s="232"/>
      <c r="F4404" s="233"/>
      <c r="G4404" s="233"/>
      <c r="H4404" s="231"/>
    </row>
    <row r="4405" spans="1:8" ht="15" x14ac:dyDescent="0.3">
      <c r="A4405" s="527" t="s">
        <v>17</v>
      </c>
      <c r="B4405" s="505" t="s">
        <v>18</v>
      </c>
      <c r="C4405" s="494" t="s">
        <v>19</v>
      </c>
      <c r="D4405" s="494" t="s">
        <v>20</v>
      </c>
      <c r="E4405" s="494" t="s">
        <v>21</v>
      </c>
      <c r="F4405" s="494" t="s">
        <v>22</v>
      </c>
      <c r="G4405" s="494"/>
      <c r="H4405" s="492" t="s">
        <v>23</v>
      </c>
    </row>
    <row r="4406" spans="1:8" ht="27.6" x14ac:dyDescent="0.3">
      <c r="A4406" s="492"/>
      <c r="B4406" s="494"/>
      <c r="C4406" s="494"/>
      <c r="D4406" s="494"/>
      <c r="E4406" s="494"/>
      <c r="F4406" s="53" t="s">
        <v>24</v>
      </c>
      <c r="G4406" s="53" t="s">
        <v>25</v>
      </c>
      <c r="H4406" s="492"/>
    </row>
    <row r="4407" spans="1:8" ht="27.6" x14ac:dyDescent="0.3">
      <c r="A4407" s="57">
        <v>1</v>
      </c>
      <c r="B4407" s="60" t="s">
        <v>851</v>
      </c>
      <c r="C4407" s="57">
        <v>1</v>
      </c>
      <c r="D4407" s="56">
        <v>998719</v>
      </c>
      <c r="E4407" s="185">
        <v>15000</v>
      </c>
      <c r="F4407" s="58">
        <f>E4407*C4407*9%</f>
        <v>1350</v>
      </c>
      <c r="G4407" s="58">
        <f>F4407</f>
        <v>1350</v>
      </c>
      <c r="H4407" s="59">
        <f>G4407+F4407+E4407*C4407</f>
        <v>17700</v>
      </c>
    </row>
    <row r="4408" spans="1:8" x14ac:dyDescent="0.3">
      <c r="A4408" s="57"/>
      <c r="B4408" s="237"/>
      <c r="C4408" s="188"/>
      <c r="D4408" s="56"/>
      <c r="E4408" s="57"/>
      <c r="F4408" s="58"/>
      <c r="G4408" s="58"/>
      <c r="H4408" s="59"/>
    </row>
    <row r="4409" spans="1:8" x14ac:dyDescent="0.3">
      <c r="A4409" s="57"/>
      <c r="B4409" s="237"/>
      <c r="C4409" s="188"/>
      <c r="D4409" s="56"/>
      <c r="E4409" s="57"/>
      <c r="F4409" s="58"/>
      <c r="G4409" s="58"/>
      <c r="H4409" s="59"/>
    </row>
    <row r="4410" spans="1:8" x14ac:dyDescent="0.3">
      <c r="A4410" s="57"/>
      <c r="B4410" s="238"/>
      <c r="C4410" s="57"/>
      <c r="D4410" s="56"/>
      <c r="E4410" s="57"/>
      <c r="F4410" s="58"/>
      <c r="G4410" s="58"/>
      <c r="H4410" s="59"/>
    </row>
    <row r="4411" spans="1:8" x14ac:dyDescent="0.3">
      <c r="A4411" s="57"/>
      <c r="B4411" s="60"/>
      <c r="C4411" s="57"/>
      <c r="D4411" s="86"/>
      <c r="E4411" s="57"/>
      <c r="F4411" s="58"/>
      <c r="G4411" s="58"/>
      <c r="H4411" s="59"/>
    </row>
    <row r="4412" spans="1:8" x14ac:dyDescent="0.3">
      <c r="A4412" s="173"/>
      <c r="B4412" s="174"/>
      <c r="C4412" s="175"/>
      <c r="D4412" s="152"/>
      <c r="E4412" s="175"/>
      <c r="F4412" s="165"/>
      <c r="G4412" s="165"/>
      <c r="H4412" s="166"/>
    </row>
    <row r="4413" spans="1:8" x14ac:dyDescent="0.3">
      <c r="A4413" s="173"/>
      <c r="B4413" s="174"/>
      <c r="C4413" s="175"/>
      <c r="D4413" s="152"/>
      <c r="E4413" s="175"/>
      <c r="F4413" s="165"/>
      <c r="G4413" s="165"/>
      <c r="H4413" s="166"/>
    </row>
    <row r="4414" spans="1:8" x14ac:dyDescent="0.3">
      <c r="A4414" s="173"/>
      <c r="B4414" s="174"/>
      <c r="C4414" s="175"/>
      <c r="D4414" s="152"/>
      <c r="E4414" s="175"/>
      <c r="F4414" s="165"/>
      <c r="G4414" s="165"/>
      <c r="H4414" s="166"/>
    </row>
    <row r="4415" spans="1:8" x14ac:dyDescent="0.3">
      <c r="A4415" s="173"/>
      <c r="B4415" s="174"/>
      <c r="C4415" s="175"/>
      <c r="D4415" s="152"/>
      <c r="E4415" s="175"/>
      <c r="F4415" s="165"/>
      <c r="G4415" s="165"/>
      <c r="H4415" s="166"/>
    </row>
    <row r="4416" spans="1:8" x14ac:dyDescent="0.3">
      <c r="A4416" s="173"/>
      <c r="B4416" s="174"/>
      <c r="C4416" s="175"/>
      <c r="D4416" s="152"/>
      <c r="E4416" s="175"/>
      <c r="F4416" s="165"/>
      <c r="G4416" s="165"/>
      <c r="H4416" s="166"/>
    </row>
    <row r="4417" spans="1:8" x14ac:dyDescent="0.3">
      <c r="A4417" s="173"/>
      <c r="B4417" s="174"/>
      <c r="C4417" s="175"/>
      <c r="D4417" s="152"/>
      <c r="E4417" s="175"/>
      <c r="F4417" s="165"/>
      <c r="G4417" s="165"/>
      <c r="H4417" s="166"/>
    </row>
    <row r="4418" spans="1:8" x14ac:dyDescent="0.3">
      <c r="A4418" s="173"/>
      <c r="B4418" s="174"/>
      <c r="C4418" s="175"/>
      <c r="D4418" s="152"/>
      <c r="E4418" s="175"/>
      <c r="F4418" s="165"/>
      <c r="G4418" s="165"/>
      <c r="H4418" s="166"/>
    </row>
    <row r="4419" spans="1:8" x14ac:dyDescent="0.3">
      <c r="A4419" s="173"/>
      <c r="B4419" s="174"/>
      <c r="C4419" s="175"/>
      <c r="D4419" s="152"/>
      <c r="E4419" s="175"/>
      <c r="F4419" s="165"/>
      <c r="G4419" s="165"/>
      <c r="H4419" s="166"/>
    </row>
    <row r="4420" spans="1:8" x14ac:dyDescent="0.3">
      <c r="A4420" s="173"/>
      <c r="B4420" s="174"/>
      <c r="C4420" s="175"/>
      <c r="D4420" s="152"/>
      <c r="E4420" s="175"/>
      <c r="F4420" s="165"/>
      <c r="G4420" s="165"/>
      <c r="H4420" s="166"/>
    </row>
    <row r="4421" spans="1:8" x14ac:dyDescent="0.3">
      <c r="A4421" s="173"/>
      <c r="B4421" s="174"/>
      <c r="C4421" s="175"/>
      <c r="D4421" s="152"/>
      <c r="E4421" s="175"/>
      <c r="F4421" s="165"/>
      <c r="G4421" s="165"/>
      <c r="H4421" s="166"/>
    </row>
    <row r="4422" spans="1:8" x14ac:dyDescent="0.3">
      <c r="A4422" s="173"/>
      <c r="B4422" s="174"/>
      <c r="C4422" s="175"/>
      <c r="D4422" s="152"/>
      <c r="E4422" s="175"/>
      <c r="F4422" s="165"/>
      <c r="G4422" s="165"/>
      <c r="H4422" s="166"/>
    </row>
    <row r="4423" spans="1:8" x14ac:dyDescent="0.3">
      <c r="A4423" s="173"/>
      <c r="B4423" s="174"/>
      <c r="C4423" s="175"/>
      <c r="D4423" s="152"/>
      <c r="E4423" s="175"/>
      <c r="F4423" s="165"/>
      <c r="G4423" s="165"/>
      <c r="H4423" s="166"/>
    </row>
    <row r="4424" spans="1:8" x14ac:dyDescent="0.3">
      <c r="A4424" s="27"/>
      <c r="B4424" s="174"/>
      <c r="C4424" s="24"/>
      <c r="D4424" s="152"/>
      <c r="E4424" s="175"/>
      <c r="F4424" s="175"/>
      <c r="G4424" s="162"/>
      <c r="H4424" s="154"/>
    </row>
    <row r="4425" spans="1:8" x14ac:dyDescent="0.3">
      <c r="A4425" s="27"/>
      <c r="B4425" s="174"/>
      <c r="C4425" s="24"/>
      <c r="D4425" s="152"/>
      <c r="E4425" s="25"/>
      <c r="F4425" s="175"/>
      <c r="G4425" s="162"/>
      <c r="H4425" s="154"/>
    </row>
    <row r="4426" spans="1:8" x14ac:dyDescent="0.3">
      <c r="A4426" s="27"/>
      <c r="B4426" s="28"/>
      <c r="C4426" s="24"/>
      <c r="D4426" s="152"/>
      <c r="E4426" s="25"/>
      <c r="F4426" s="175"/>
      <c r="G4426" s="162"/>
      <c r="H4426" s="154"/>
    </row>
    <row r="4427" spans="1:8" x14ac:dyDescent="0.3">
      <c r="A4427" s="27"/>
      <c r="B4427" s="28"/>
      <c r="C4427" s="24"/>
      <c r="D4427" s="25"/>
      <c r="E4427" s="25"/>
      <c r="F4427" s="25"/>
      <c r="G4427" s="28"/>
      <c r="H4427" s="32"/>
    </row>
    <row r="4428" spans="1:8" ht="15.6" x14ac:dyDescent="0.3">
      <c r="A4428" s="448" t="s">
        <v>45</v>
      </c>
      <c r="B4428" s="449"/>
      <c r="C4428" s="24"/>
      <c r="D4428" s="25"/>
      <c r="E4428" s="25"/>
      <c r="F4428" s="447" t="s">
        <v>46</v>
      </c>
      <c r="G4428" s="447"/>
      <c r="H4428" s="66">
        <v>15000</v>
      </c>
    </row>
    <row r="4429" spans="1:8" ht="15.6" x14ac:dyDescent="0.3">
      <c r="A4429" s="497" t="s">
        <v>853</v>
      </c>
      <c r="B4429" s="498"/>
      <c r="C4429" s="498"/>
      <c r="D4429" s="498"/>
      <c r="E4429" s="498"/>
      <c r="F4429" s="447" t="s">
        <v>47</v>
      </c>
      <c r="G4429" s="447"/>
      <c r="H4429" s="66">
        <f>H4428*9%</f>
        <v>1350</v>
      </c>
    </row>
    <row r="4430" spans="1:8" ht="15.6" x14ac:dyDescent="0.3">
      <c r="A4430" s="27"/>
      <c r="B4430" s="28"/>
      <c r="C4430" s="24"/>
      <c r="D4430" s="25"/>
      <c r="E4430" s="25"/>
      <c r="F4430" s="447" t="s">
        <v>48</v>
      </c>
      <c r="G4430" s="447"/>
      <c r="H4430" s="66">
        <f>H4429</f>
        <v>1350</v>
      </c>
    </row>
    <row r="4431" spans="1:8" ht="15.6" x14ac:dyDescent="0.3">
      <c r="A4431" s="448" t="s">
        <v>49</v>
      </c>
      <c r="B4431" s="449"/>
      <c r="C4431" s="24"/>
      <c r="D4431" s="25"/>
      <c r="E4431" s="25"/>
      <c r="F4431" s="447" t="s">
        <v>50</v>
      </c>
      <c r="G4431" s="447"/>
      <c r="H4431" s="66">
        <f>H4428+H4429+H4430</f>
        <v>17700</v>
      </c>
    </row>
    <row r="4432" spans="1:8" ht="15.6" x14ac:dyDescent="0.3">
      <c r="A4432" s="90"/>
      <c r="B4432" s="177"/>
      <c r="C4432" s="24"/>
      <c r="D4432" s="25"/>
      <c r="E4432" s="25"/>
      <c r="F4432" s="26"/>
      <c r="G4432" s="26"/>
      <c r="H4432" s="66"/>
    </row>
    <row r="4433" spans="1:8" ht="27" x14ac:dyDescent="0.3">
      <c r="A4433" s="29" t="s">
        <v>22</v>
      </c>
      <c r="B4433" s="30" t="s">
        <v>51</v>
      </c>
      <c r="C4433" s="31" t="s">
        <v>24</v>
      </c>
      <c r="D4433" s="31" t="s">
        <v>25</v>
      </c>
      <c r="E4433" s="528" t="s">
        <v>52</v>
      </c>
      <c r="F4433" s="528"/>
      <c r="G4433" s="28"/>
      <c r="H4433" s="32"/>
    </row>
    <row r="4434" spans="1:8" x14ac:dyDescent="0.3">
      <c r="A4434" s="315">
        <v>0.18</v>
      </c>
      <c r="B4434" s="314">
        <f>H4428</f>
        <v>15000</v>
      </c>
      <c r="C4434" s="316">
        <f>H4429</f>
        <v>1350</v>
      </c>
      <c r="D4434" s="316">
        <f>H4430</f>
        <v>1350</v>
      </c>
      <c r="E4434" s="529">
        <f>C4434+D4434</f>
        <v>2700</v>
      </c>
      <c r="F4434" s="530"/>
      <c r="G4434" s="162"/>
      <c r="H4434" s="154"/>
    </row>
    <row r="4435" spans="1:8" x14ac:dyDescent="0.3">
      <c r="A4435" s="452" t="s">
        <v>854</v>
      </c>
      <c r="B4435" s="453"/>
      <c r="C4435" s="453"/>
      <c r="D4435" s="453"/>
      <c r="E4435" s="453"/>
      <c r="F4435" s="453"/>
      <c r="G4435" s="453"/>
      <c r="H4435" s="454"/>
    </row>
    <row r="4436" spans="1:8" ht="15.6" x14ac:dyDescent="0.3">
      <c r="A4436" s="455" t="s">
        <v>53</v>
      </c>
      <c r="B4436" s="456"/>
      <c r="C4436" s="456"/>
      <c r="D4436" s="457"/>
      <c r="E4436" s="458" t="s">
        <v>54</v>
      </c>
      <c r="F4436" s="459"/>
      <c r="G4436" s="459"/>
      <c r="H4436" s="460"/>
    </row>
    <row r="4437" spans="1:8" x14ac:dyDescent="0.3">
      <c r="A4437" s="461" t="s">
        <v>55</v>
      </c>
      <c r="B4437" s="462"/>
      <c r="C4437" s="462"/>
      <c r="D4437" s="463"/>
      <c r="E4437" s="39"/>
      <c r="F4437" s="25"/>
      <c r="G4437" s="28"/>
      <c r="H4437" s="32"/>
    </row>
    <row r="4438" spans="1:8" x14ac:dyDescent="0.3">
      <c r="A4438" s="461" t="s">
        <v>56</v>
      </c>
      <c r="B4438" s="462"/>
      <c r="C4438" s="462"/>
      <c r="D4438" s="463"/>
      <c r="E4438" s="39"/>
      <c r="F4438" s="25"/>
      <c r="G4438" s="28"/>
      <c r="H4438" s="32"/>
    </row>
    <row r="4439" spans="1:8" x14ac:dyDescent="0.3">
      <c r="A4439" s="461" t="s">
        <v>57</v>
      </c>
      <c r="B4439" s="462"/>
      <c r="C4439" s="462"/>
      <c r="D4439" s="463"/>
      <c r="E4439" s="39"/>
      <c r="F4439" s="25"/>
      <c r="G4439" s="28"/>
      <c r="H4439" s="32"/>
    </row>
    <row r="4440" spans="1:8" ht="15.6" x14ac:dyDescent="0.3">
      <c r="A4440" s="464" t="s">
        <v>58</v>
      </c>
      <c r="B4440" s="465"/>
      <c r="C4440" s="465"/>
      <c r="D4440" s="510"/>
      <c r="E4440" s="466" t="s">
        <v>59</v>
      </c>
      <c r="F4440" s="467"/>
      <c r="G4440" s="467"/>
      <c r="H4440" s="468"/>
    </row>
    <row r="4444" spans="1:8" ht="44.4" x14ac:dyDescent="0.7">
      <c r="A4444" s="469" t="s">
        <v>0</v>
      </c>
      <c r="B4444" s="470"/>
      <c r="C4444" s="470"/>
      <c r="D4444" s="470"/>
      <c r="E4444" s="531" t="s">
        <v>1</v>
      </c>
      <c r="F4444" s="544"/>
      <c r="G4444" s="544"/>
      <c r="H4444" s="545"/>
    </row>
    <row r="4445" spans="1:8" ht="20.399999999999999" x14ac:dyDescent="0.35">
      <c r="A4445" s="1"/>
      <c r="B4445" s="476" t="s">
        <v>2</v>
      </c>
      <c r="C4445" s="476"/>
      <c r="D4445" s="476"/>
      <c r="E4445" s="546"/>
      <c r="F4445" s="546"/>
      <c r="G4445" s="546"/>
      <c r="H4445" s="547"/>
    </row>
    <row r="4446" spans="1:8" x14ac:dyDescent="0.3">
      <c r="A4446" s="477" t="s">
        <v>3</v>
      </c>
      <c r="B4446" s="478"/>
      <c r="C4446" s="479" t="s">
        <v>4</v>
      </c>
      <c r="D4446" s="479"/>
      <c r="E4446" s="654" t="s">
        <v>5</v>
      </c>
      <c r="F4446" s="654"/>
      <c r="G4446" s="654"/>
      <c r="H4446" s="654"/>
    </row>
    <row r="4447" spans="1:8" ht="15.6" x14ac:dyDescent="0.3">
      <c r="A4447" s="138" t="s">
        <v>6</v>
      </c>
      <c r="B4447" s="5"/>
      <c r="C4447" s="512" t="s">
        <v>7</v>
      </c>
      <c r="D4447" s="513"/>
      <c r="E4447" s="482">
        <v>97</v>
      </c>
      <c r="F4447" s="482"/>
      <c r="G4447" s="7" t="s">
        <v>8</v>
      </c>
      <c r="H4447" s="9">
        <v>45908</v>
      </c>
    </row>
    <row r="4448" spans="1:8" ht="15.6" x14ac:dyDescent="0.3">
      <c r="A4448" s="551" t="s">
        <v>856</v>
      </c>
      <c r="B4448" s="552"/>
      <c r="C4448" s="516" t="s">
        <v>10</v>
      </c>
      <c r="D4448" s="481"/>
      <c r="E4448" s="482"/>
      <c r="F4448" s="482"/>
      <c r="G4448" s="7" t="s">
        <v>8</v>
      </c>
      <c r="H4448" s="9"/>
    </row>
    <row r="4449" spans="1:8" ht="15" x14ac:dyDescent="0.3">
      <c r="A4449" s="517" t="s">
        <v>857</v>
      </c>
      <c r="B4449" s="518"/>
      <c r="C4449" s="484" t="s">
        <v>12</v>
      </c>
      <c r="D4449" s="519"/>
      <c r="E4449" s="665"/>
      <c r="F4449" s="666"/>
      <c r="G4449" s="10" t="s">
        <v>8</v>
      </c>
      <c r="H4449" s="11"/>
    </row>
    <row r="4450" spans="1:8" ht="15.6" x14ac:dyDescent="0.3">
      <c r="A4450" s="556" t="s">
        <v>858</v>
      </c>
      <c r="B4450" s="557"/>
      <c r="C4450" s="521" t="s">
        <v>15</v>
      </c>
      <c r="D4450" s="522"/>
      <c r="E4450" s="523" t="s">
        <v>859</v>
      </c>
      <c r="F4450" s="524"/>
      <c r="G4450" s="524"/>
      <c r="H4450" s="6"/>
    </row>
    <row r="4451" spans="1:8" ht="15.6" x14ac:dyDescent="0.3">
      <c r="A4451" s="558" t="s">
        <v>855</v>
      </c>
      <c r="B4451" s="559"/>
      <c r="C4451" s="230"/>
      <c r="D4451" s="231"/>
      <c r="E4451" s="232"/>
      <c r="F4451" s="233"/>
      <c r="G4451" s="233"/>
      <c r="H4451" s="231"/>
    </row>
    <row r="4452" spans="1:8" ht="15" x14ac:dyDescent="0.3">
      <c r="A4452" s="527" t="s">
        <v>17</v>
      </c>
      <c r="B4452" s="505" t="s">
        <v>18</v>
      </c>
      <c r="C4452" s="494" t="s">
        <v>19</v>
      </c>
      <c r="D4452" s="494" t="s">
        <v>20</v>
      </c>
      <c r="E4452" s="494" t="s">
        <v>21</v>
      </c>
      <c r="F4452" s="494" t="s">
        <v>22</v>
      </c>
      <c r="G4452" s="494"/>
      <c r="H4452" s="492" t="s">
        <v>23</v>
      </c>
    </row>
    <row r="4453" spans="1:8" ht="27.6" x14ac:dyDescent="0.3">
      <c r="A4453" s="492"/>
      <c r="B4453" s="494"/>
      <c r="C4453" s="494"/>
      <c r="D4453" s="494"/>
      <c r="E4453" s="494"/>
      <c r="F4453" s="53" t="s">
        <v>24</v>
      </c>
      <c r="G4453" s="53" t="s">
        <v>25</v>
      </c>
      <c r="H4453" s="492"/>
    </row>
    <row r="4454" spans="1:8" x14ac:dyDescent="0.3">
      <c r="A4454" s="57">
        <v>1</v>
      </c>
      <c r="B4454" s="60" t="s">
        <v>860</v>
      </c>
      <c r="C4454" s="57">
        <v>3</v>
      </c>
      <c r="D4454" s="56">
        <v>998719</v>
      </c>
      <c r="E4454" s="185">
        <v>1400</v>
      </c>
      <c r="F4454" s="58">
        <f>E4454*C4454*9%</f>
        <v>378</v>
      </c>
      <c r="G4454" s="58">
        <f>F4454</f>
        <v>378</v>
      </c>
      <c r="H4454" s="59">
        <f>G4454+F4454+E4454*C4454</f>
        <v>4956</v>
      </c>
    </row>
    <row r="4455" spans="1:8" x14ac:dyDescent="0.3">
      <c r="A4455" s="57">
        <v>2</v>
      </c>
      <c r="B4455" s="60" t="s">
        <v>860</v>
      </c>
      <c r="C4455" s="188">
        <v>1</v>
      </c>
      <c r="D4455" s="56">
        <v>998719</v>
      </c>
      <c r="E4455" s="57">
        <v>1200</v>
      </c>
      <c r="F4455" s="58">
        <f>E4455*C4455*9%</f>
        <v>108</v>
      </c>
      <c r="G4455" s="58">
        <f>F4455</f>
        <v>108</v>
      </c>
      <c r="H4455" s="59">
        <f>G4455+F4455+E4455*C4455</f>
        <v>1416</v>
      </c>
    </row>
    <row r="4456" spans="1:8" x14ac:dyDescent="0.3">
      <c r="A4456" s="57"/>
      <c r="B4456" s="237"/>
      <c r="C4456" s="188"/>
      <c r="D4456" s="56"/>
      <c r="E4456" s="57"/>
      <c r="F4456" s="58"/>
      <c r="G4456" s="58"/>
      <c r="H4456" s="59"/>
    </row>
    <row r="4457" spans="1:8" x14ac:dyDescent="0.3">
      <c r="A4457" s="57"/>
      <c r="B4457" s="238"/>
      <c r="C4457" s="57"/>
      <c r="D4457" s="56"/>
      <c r="E4457" s="57"/>
      <c r="F4457" s="58"/>
      <c r="G4457" s="58"/>
      <c r="H4457" s="59"/>
    </row>
    <row r="4458" spans="1:8" x14ac:dyDescent="0.3">
      <c r="A4458" s="57"/>
      <c r="B4458" s="60"/>
      <c r="C4458" s="57"/>
      <c r="D4458" s="86"/>
      <c r="E4458" s="57"/>
      <c r="F4458" s="58"/>
      <c r="G4458" s="58"/>
      <c r="H4458" s="59"/>
    </row>
    <row r="4459" spans="1:8" x14ac:dyDescent="0.3">
      <c r="A4459" s="173"/>
      <c r="B4459" s="174"/>
      <c r="C4459" s="175"/>
      <c r="D4459" s="152"/>
      <c r="E4459" s="175"/>
      <c r="F4459" s="165"/>
      <c r="G4459" s="165"/>
      <c r="H4459" s="166"/>
    </row>
    <row r="4460" spans="1:8" x14ac:dyDescent="0.3">
      <c r="A4460" s="173"/>
      <c r="B4460" s="174"/>
      <c r="C4460" s="175"/>
      <c r="D4460" s="152"/>
      <c r="E4460" s="175"/>
      <c r="F4460" s="165"/>
      <c r="G4460" s="165"/>
      <c r="H4460" s="166"/>
    </row>
    <row r="4461" spans="1:8" x14ac:dyDescent="0.3">
      <c r="A4461" s="173"/>
      <c r="B4461" s="174"/>
      <c r="C4461" s="175"/>
      <c r="D4461" s="152"/>
      <c r="E4461" s="175"/>
      <c r="F4461" s="165"/>
      <c r="G4461" s="165"/>
      <c r="H4461" s="166"/>
    </row>
    <row r="4462" spans="1:8" x14ac:dyDescent="0.3">
      <c r="A4462" s="173"/>
      <c r="B4462" s="174"/>
      <c r="C4462" s="175"/>
      <c r="D4462" s="152"/>
      <c r="E4462" s="175"/>
      <c r="F4462" s="165"/>
      <c r="G4462" s="165"/>
      <c r="H4462" s="166"/>
    </row>
    <row r="4463" spans="1:8" x14ac:dyDescent="0.3">
      <c r="A4463" s="173"/>
      <c r="B4463" s="174"/>
      <c r="C4463" s="175"/>
      <c r="D4463" s="152"/>
      <c r="E4463" s="175"/>
      <c r="F4463" s="165"/>
      <c r="G4463" s="165"/>
      <c r="H4463" s="166"/>
    </row>
    <row r="4464" spans="1:8" x14ac:dyDescent="0.3">
      <c r="A4464" s="173"/>
      <c r="B4464" s="174"/>
      <c r="C4464" s="175"/>
      <c r="D4464" s="152"/>
      <c r="E4464" s="175"/>
      <c r="F4464" s="165"/>
      <c r="G4464" s="165"/>
      <c r="H4464" s="166"/>
    </row>
    <row r="4465" spans="1:8" x14ac:dyDescent="0.3">
      <c r="A4465" s="173"/>
      <c r="B4465" s="174"/>
      <c r="C4465" s="175"/>
      <c r="D4465" s="152"/>
      <c r="E4465" s="175"/>
      <c r="F4465" s="165"/>
      <c r="G4465" s="165"/>
      <c r="H4465" s="166"/>
    </row>
    <row r="4466" spans="1:8" x14ac:dyDescent="0.3">
      <c r="A4466" s="173"/>
      <c r="B4466" s="174"/>
      <c r="C4466" s="175"/>
      <c r="D4466" s="152"/>
      <c r="E4466" s="175"/>
      <c r="F4466" s="165"/>
      <c r="G4466" s="165"/>
      <c r="H4466" s="166"/>
    </row>
    <row r="4467" spans="1:8" x14ac:dyDescent="0.3">
      <c r="A4467" s="173"/>
      <c r="B4467" s="174"/>
      <c r="C4467" s="175"/>
      <c r="D4467" s="152"/>
      <c r="E4467" s="175"/>
      <c r="F4467" s="165"/>
      <c r="G4467" s="165"/>
      <c r="H4467" s="166"/>
    </row>
    <row r="4468" spans="1:8" x14ac:dyDescent="0.3">
      <c r="A4468" s="173"/>
      <c r="B4468" s="174"/>
      <c r="C4468" s="175"/>
      <c r="D4468" s="152"/>
      <c r="E4468" s="175"/>
      <c r="F4468" s="165"/>
      <c r="G4468" s="165"/>
      <c r="H4468" s="166"/>
    </row>
    <row r="4469" spans="1:8" x14ac:dyDescent="0.3">
      <c r="A4469" s="173"/>
      <c r="B4469" s="174"/>
      <c r="C4469" s="175"/>
      <c r="D4469" s="152"/>
      <c r="E4469" s="175"/>
      <c r="F4469" s="165"/>
      <c r="G4469" s="165"/>
      <c r="H4469" s="166"/>
    </row>
    <row r="4470" spans="1:8" x14ac:dyDescent="0.3">
      <c r="A4470" s="173"/>
      <c r="B4470" s="174"/>
      <c r="C4470" s="175"/>
      <c r="D4470" s="152"/>
      <c r="E4470" s="175"/>
      <c r="F4470" s="165"/>
      <c r="G4470" s="165"/>
      <c r="H4470" s="166"/>
    </row>
    <row r="4471" spans="1:8" x14ac:dyDescent="0.3">
      <c r="A4471" s="27"/>
      <c r="B4471" s="174"/>
      <c r="C4471" s="24"/>
      <c r="D4471" s="152"/>
      <c r="E4471" s="175"/>
      <c r="F4471" s="175"/>
      <c r="G4471" s="162"/>
      <c r="H4471" s="154"/>
    </row>
    <row r="4472" spans="1:8" x14ac:dyDescent="0.3">
      <c r="A4472" s="27"/>
      <c r="B4472" s="174"/>
      <c r="C4472" s="24"/>
      <c r="D4472" s="152"/>
      <c r="E4472" s="25"/>
      <c r="F4472" s="175"/>
      <c r="G4472" s="162"/>
      <c r="H4472" s="154"/>
    </row>
    <row r="4473" spans="1:8" x14ac:dyDescent="0.3">
      <c r="A4473" s="27"/>
      <c r="B4473" s="28"/>
      <c r="C4473" s="24"/>
      <c r="D4473" s="152"/>
      <c r="E4473" s="25"/>
      <c r="F4473" s="175"/>
      <c r="G4473" s="162"/>
      <c r="H4473" s="154"/>
    </row>
    <row r="4474" spans="1:8" x14ac:dyDescent="0.3">
      <c r="A4474" s="27"/>
      <c r="B4474" s="28"/>
      <c r="C4474" s="24"/>
      <c r="D4474" s="25"/>
      <c r="E4474" s="25"/>
      <c r="F4474" s="25"/>
      <c r="G4474" s="28"/>
      <c r="H4474" s="32"/>
    </row>
    <row r="4475" spans="1:8" ht="15.6" x14ac:dyDescent="0.3">
      <c r="A4475" s="448" t="s">
        <v>45</v>
      </c>
      <c r="B4475" s="449"/>
      <c r="C4475" s="24"/>
      <c r="D4475" s="25"/>
      <c r="E4475" s="25"/>
      <c r="F4475" s="447" t="s">
        <v>46</v>
      </c>
      <c r="G4475" s="447"/>
      <c r="H4475" s="66">
        <v>5400</v>
      </c>
    </row>
    <row r="4476" spans="1:8" ht="15.6" x14ac:dyDescent="0.3">
      <c r="A4476" s="497" t="s">
        <v>862</v>
      </c>
      <c r="B4476" s="498"/>
      <c r="C4476" s="498"/>
      <c r="D4476" s="498"/>
      <c r="E4476" s="498"/>
      <c r="F4476" s="447" t="s">
        <v>47</v>
      </c>
      <c r="G4476" s="447"/>
      <c r="H4476" s="66">
        <f>H4475*9%</f>
        <v>486</v>
      </c>
    </row>
    <row r="4477" spans="1:8" ht="15.6" x14ac:dyDescent="0.3">
      <c r="A4477" s="27"/>
      <c r="B4477" s="28"/>
      <c r="C4477" s="24"/>
      <c r="D4477" s="25"/>
      <c r="E4477" s="25"/>
      <c r="F4477" s="447" t="s">
        <v>48</v>
      </c>
      <c r="G4477" s="447"/>
      <c r="H4477" s="66">
        <f>H4476</f>
        <v>486</v>
      </c>
    </row>
    <row r="4478" spans="1:8" ht="15.6" x14ac:dyDescent="0.3">
      <c r="A4478" s="448" t="s">
        <v>49</v>
      </c>
      <c r="B4478" s="449"/>
      <c r="C4478" s="24"/>
      <c r="D4478" s="25"/>
      <c r="E4478" s="25"/>
      <c r="F4478" s="447" t="s">
        <v>50</v>
      </c>
      <c r="G4478" s="447"/>
      <c r="H4478" s="66">
        <f>H4475+H4476+H4477</f>
        <v>6372</v>
      </c>
    </row>
    <row r="4479" spans="1:8" ht="15.6" x14ac:dyDescent="0.3">
      <c r="A4479" s="90"/>
      <c r="B4479" s="177"/>
      <c r="C4479" s="24"/>
      <c r="D4479" s="25"/>
      <c r="E4479" s="25"/>
      <c r="F4479" s="26"/>
      <c r="G4479" s="26"/>
      <c r="H4479" s="66"/>
    </row>
    <row r="4480" spans="1:8" ht="27" x14ac:dyDescent="0.3">
      <c r="A4480" s="29" t="s">
        <v>22</v>
      </c>
      <c r="B4480" s="30" t="s">
        <v>51</v>
      </c>
      <c r="C4480" s="31" t="s">
        <v>24</v>
      </c>
      <c r="D4480" s="31" t="s">
        <v>25</v>
      </c>
      <c r="E4480" s="528" t="s">
        <v>52</v>
      </c>
      <c r="F4480" s="528"/>
      <c r="G4480" s="28"/>
      <c r="H4480" s="32"/>
    </row>
    <row r="4481" spans="1:8" x14ac:dyDescent="0.3">
      <c r="A4481" s="315">
        <v>0.18</v>
      </c>
      <c r="B4481" s="314">
        <f>H4475</f>
        <v>5400</v>
      </c>
      <c r="C4481" s="316">
        <f>H4476</f>
        <v>486</v>
      </c>
      <c r="D4481" s="316">
        <f>H4477</f>
        <v>486</v>
      </c>
      <c r="E4481" s="529">
        <f>C4481+D4481</f>
        <v>972</v>
      </c>
      <c r="F4481" s="530"/>
      <c r="G4481" s="162"/>
      <c r="H4481" s="154"/>
    </row>
    <row r="4482" spans="1:8" x14ac:dyDescent="0.3">
      <c r="A4482" s="452" t="s">
        <v>861</v>
      </c>
      <c r="B4482" s="453"/>
      <c r="C4482" s="453"/>
      <c r="D4482" s="453"/>
      <c r="E4482" s="453"/>
      <c r="F4482" s="453"/>
      <c r="G4482" s="453"/>
      <c r="H4482" s="454"/>
    </row>
    <row r="4483" spans="1:8" ht="15.6" x14ac:dyDescent="0.3">
      <c r="A4483" s="455" t="s">
        <v>53</v>
      </c>
      <c r="B4483" s="456"/>
      <c r="C4483" s="456"/>
      <c r="D4483" s="457"/>
      <c r="E4483" s="458" t="s">
        <v>54</v>
      </c>
      <c r="F4483" s="459"/>
      <c r="G4483" s="459"/>
      <c r="H4483" s="460"/>
    </row>
    <row r="4484" spans="1:8" x14ac:dyDescent="0.3">
      <c r="A4484" s="461" t="s">
        <v>55</v>
      </c>
      <c r="B4484" s="462"/>
      <c r="C4484" s="462"/>
      <c r="D4484" s="463"/>
      <c r="E4484" s="39"/>
      <c r="F4484" s="25"/>
      <c r="G4484" s="28"/>
      <c r="H4484" s="32"/>
    </row>
    <row r="4485" spans="1:8" x14ac:dyDescent="0.3">
      <c r="A4485" s="461" t="s">
        <v>56</v>
      </c>
      <c r="B4485" s="462"/>
      <c r="C4485" s="462"/>
      <c r="D4485" s="463"/>
      <c r="E4485" s="39"/>
      <c r="F4485" s="25"/>
      <c r="G4485" s="28"/>
      <c r="H4485" s="32"/>
    </row>
    <row r="4486" spans="1:8" x14ac:dyDescent="0.3">
      <c r="A4486" s="461" t="s">
        <v>57</v>
      </c>
      <c r="B4486" s="462"/>
      <c r="C4486" s="462"/>
      <c r="D4486" s="463"/>
      <c r="E4486" s="39"/>
      <c r="F4486" s="25"/>
      <c r="G4486" s="28"/>
      <c r="H4486" s="32"/>
    </row>
    <row r="4487" spans="1:8" ht="15.6" x14ac:dyDescent="0.3">
      <c r="A4487" s="464" t="s">
        <v>58</v>
      </c>
      <c r="B4487" s="465"/>
      <c r="C4487" s="465"/>
      <c r="D4487" s="510"/>
      <c r="E4487" s="466" t="s">
        <v>59</v>
      </c>
      <c r="F4487" s="467"/>
      <c r="G4487" s="467"/>
      <c r="H4487" s="468"/>
    </row>
    <row r="4490" spans="1:8" ht="44.4" x14ac:dyDescent="0.7">
      <c r="A4490" s="469" t="s">
        <v>0</v>
      </c>
      <c r="B4490" s="470"/>
      <c r="C4490" s="470"/>
      <c r="D4490" s="470"/>
      <c r="E4490" s="471" t="s">
        <v>92</v>
      </c>
      <c r="F4490" s="472"/>
      <c r="G4490" s="472"/>
      <c r="H4490" s="473"/>
    </row>
    <row r="4491" spans="1:8" ht="20.399999999999999" x14ac:dyDescent="0.35">
      <c r="A4491" s="156"/>
      <c r="B4491" s="476" t="s">
        <v>2</v>
      </c>
      <c r="C4491" s="476"/>
      <c r="D4491" s="476"/>
      <c r="E4491" s="474"/>
      <c r="F4491" s="474"/>
      <c r="G4491" s="474"/>
      <c r="H4491" s="475"/>
    </row>
    <row r="4492" spans="1:8" x14ac:dyDescent="0.3">
      <c r="A4492" s="477" t="s">
        <v>3</v>
      </c>
      <c r="B4492" s="478"/>
      <c r="C4492" s="479" t="s">
        <v>4</v>
      </c>
      <c r="D4492" s="479"/>
      <c r="E4492" s="480" t="s">
        <v>5</v>
      </c>
      <c r="F4492" s="480"/>
      <c r="G4492" s="480"/>
      <c r="H4492" s="480"/>
    </row>
    <row r="4493" spans="1:8" ht="15.6" x14ac:dyDescent="0.3">
      <c r="A4493" s="158" t="s">
        <v>6</v>
      </c>
      <c r="B4493" s="5"/>
      <c r="C4493" s="481" t="s">
        <v>7</v>
      </c>
      <c r="D4493" s="481"/>
      <c r="E4493" s="482">
        <v>98</v>
      </c>
      <c r="F4493" s="482"/>
      <c r="G4493" s="7" t="s">
        <v>8</v>
      </c>
      <c r="H4493" s="8">
        <v>45908</v>
      </c>
    </row>
    <row r="4494" spans="1:8" ht="15.6" x14ac:dyDescent="0.3">
      <c r="A4494" s="500" t="s">
        <v>863</v>
      </c>
      <c r="B4494" s="501"/>
      <c r="C4494" s="481" t="s">
        <v>10</v>
      </c>
      <c r="D4494" s="481"/>
      <c r="E4494" s="482"/>
      <c r="F4494" s="482"/>
      <c r="G4494" s="7" t="s">
        <v>8</v>
      </c>
      <c r="H4494" s="6"/>
    </row>
    <row r="4495" spans="1:8" ht="15.6" x14ac:dyDescent="0.3">
      <c r="A4495" s="500" t="s">
        <v>864</v>
      </c>
      <c r="B4495" s="501"/>
      <c r="C4495" s="481" t="s">
        <v>12</v>
      </c>
      <c r="D4495" s="481"/>
      <c r="E4495" s="482" t="s">
        <v>546</v>
      </c>
      <c r="F4495" s="482"/>
      <c r="G4495" s="7" t="s">
        <v>8</v>
      </c>
      <c r="H4495" s="9"/>
    </row>
    <row r="4496" spans="1:8" ht="15.6" x14ac:dyDescent="0.3">
      <c r="A4496" s="500" t="s">
        <v>865</v>
      </c>
      <c r="B4496" s="501"/>
      <c r="C4496" s="481" t="s">
        <v>15</v>
      </c>
      <c r="D4496" s="481"/>
      <c r="E4496" s="536" t="s">
        <v>866</v>
      </c>
      <c r="F4496" s="617"/>
      <c r="G4496" s="617"/>
      <c r="H4496" s="516"/>
    </row>
    <row r="4497" spans="1:8" ht="15.6" x14ac:dyDescent="0.3">
      <c r="A4497" s="651" t="s">
        <v>867</v>
      </c>
      <c r="B4497" s="512"/>
      <c r="C4497" s="489"/>
      <c r="D4497" s="490"/>
      <c r="E4497" s="490"/>
      <c r="F4497" s="490"/>
      <c r="G4497" s="490"/>
      <c r="H4497" s="491"/>
    </row>
    <row r="4498" spans="1:8" ht="15" x14ac:dyDescent="0.3">
      <c r="A4498" s="492" t="s">
        <v>17</v>
      </c>
      <c r="B4498" s="494" t="s">
        <v>18</v>
      </c>
      <c r="C4498" s="494" t="s">
        <v>19</v>
      </c>
      <c r="D4498" s="494" t="s">
        <v>20</v>
      </c>
      <c r="E4498" s="494" t="s">
        <v>21</v>
      </c>
      <c r="F4498" s="494" t="s">
        <v>22</v>
      </c>
      <c r="G4498" s="494"/>
      <c r="H4498" s="492" t="s">
        <v>23</v>
      </c>
    </row>
    <row r="4499" spans="1:8" ht="27.6" x14ac:dyDescent="0.3">
      <c r="A4499" s="492"/>
      <c r="B4499" s="494"/>
      <c r="C4499" s="494"/>
      <c r="D4499" s="494"/>
      <c r="E4499" s="494"/>
      <c r="F4499" s="53" t="s">
        <v>24</v>
      </c>
      <c r="G4499" s="53" t="s">
        <v>25</v>
      </c>
      <c r="H4499" s="492"/>
    </row>
    <row r="4500" spans="1:8" ht="27.6" x14ac:dyDescent="0.3">
      <c r="A4500" s="55">
        <v>1</v>
      </c>
      <c r="B4500" s="130" t="s">
        <v>868</v>
      </c>
      <c r="C4500" s="55">
        <v>1</v>
      </c>
      <c r="D4500" s="55">
        <v>998719</v>
      </c>
      <c r="E4500" s="55">
        <v>3500</v>
      </c>
      <c r="F4500" s="93">
        <f>C4500*E4500*9%</f>
        <v>315</v>
      </c>
      <c r="G4500" s="93">
        <f>C4500*E4500*9%</f>
        <v>315</v>
      </c>
      <c r="H4500" s="62">
        <f>C4500*E4500+F4500+G4500</f>
        <v>4130</v>
      </c>
    </row>
    <row r="4501" spans="1:8" x14ac:dyDescent="0.3">
      <c r="A4501" s="55">
        <v>2</v>
      </c>
      <c r="B4501" s="130" t="s">
        <v>869</v>
      </c>
      <c r="C4501" s="55">
        <v>2</v>
      </c>
      <c r="D4501" s="55">
        <v>988719</v>
      </c>
      <c r="E4501" s="55">
        <v>500</v>
      </c>
      <c r="F4501" s="93">
        <f>C4501*E4501*9%</f>
        <v>90</v>
      </c>
      <c r="G4501" s="93">
        <f>C4501*E4501*9%</f>
        <v>90</v>
      </c>
      <c r="H4501" s="62">
        <f>C4501*E4501+F4501+G4501</f>
        <v>1180</v>
      </c>
    </row>
    <row r="4502" spans="1:8" x14ac:dyDescent="0.3">
      <c r="A4502" s="55"/>
      <c r="B4502" s="130"/>
      <c r="C4502" s="55"/>
      <c r="D4502" s="55"/>
      <c r="E4502" s="55"/>
      <c r="F4502" s="93"/>
      <c r="G4502" s="93"/>
      <c r="H4502" s="62"/>
    </row>
    <row r="4503" spans="1:8" x14ac:dyDescent="0.3">
      <c r="A4503" s="55"/>
      <c r="B4503" s="94"/>
      <c r="C4503" s="55"/>
      <c r="D4503" s="47"/>
      <c r="E4503" s="55"/>
      <c r="F4503" s="93"/>
      <c r="G4503" s="93"/>
      <c r="H4503" s="62"/>
    </row>
    <row r="4504" spans="1:8" x14ac:dyDescent="0.3">
      <c r="A4504" s="159"/>
      <c r="B4504" s="28"/>
      <c r="C4504" s="24"/>
      <c r="D4504" s="25"/>
      <c r="E4504" s="25"/>
      <c r="F4504" s="25"/>
      <c r="G4504" s="28"/>
      <c r="H4504" s="32"/>
    </row>
    <row r="4505" spans="1:8" x14ac:dyDescent="0.3">
      <c r="A4505" s="159"/>
      <c r="B4505" s="28"/>
      <c r="C4505" s="24"/>
      <c r="D4505" s="25"/>
      <c r="E4505" s="25"/>
      <c r="F4505" s="25"/>
      <c r="G4505" s="28"/>
      <c r="H4505" s="32"/>
    </row>
    <row r="4506" spans="1:8" x14ac:dyDescent="0.3">
      <c r="A4506" s="159"/>
      <c r="B4506" s="28"/>
      <c r="C4506" s="24"/>
      <c r="D4506" s="25"/>
      <c r="E4506" s="25"/>
      <c r="F4506" s="25"/>
      <c r="G4506" s="28"/>
      <c r="H4506" s="32"/>
    </row>
    <row r="4507" spans="1:8" x14ac:dyDescent="0.3">
      <c r="A4507" s="159"/>
      <c r="B4507" s="28"/>
      <c r="C4507" s="24"/>
      <c r="D4507" s="25"/>
      <c r="E4507" s="25"/>
      <c r="F4507" s="25"/>
      <c r="G4507" s="28"/>
      <c r="H4507" s="32"/>
    </row>
    <row r="4508" spans="1:8" x14ac:dyDescent="0.3">
      <c r="A4508" s="159"/>
      <c r="B4508" s="28"/>
      <c r="C4508" s="24"/>
      <c r="D4508" s="25"/>
      <c r="E4508" s="25"/>
      <c r="F4508" s="25"/>
      <c r="G4508" s="28"/>
      <c r="H4508" s="32"/>
    </row>
    <row r="4509" spans="1:8" x14ac:dyDescent="0.3">
      <c r="A4509" s="159"/>
      <c r="B4509" s="28"/>
      <c r="C4509" s="24"/>
      <c r="D4509" s="25"/>
      <c r="E4509" s="25"/>
      <c r="F4509" s="25"/>
      <c r="G4509" s="28"/>
      <c r="H4509" s="32"/>
    </row>
    <row r="4510" spans="1:8" x14ac:dyDescent="0.3">
      <c r="A4510" s="159"/>
      <c r="B4510" s="28"/>
      <c r="C4510" s="24"/>
      <c r="D4510" s="25"/>
      <c r="E4510" s="25"/>
      <c r="F4510" s="25"/>
      <c r="G4510" s="28"/>
      <c r="H4510" s="32"/>
    </row>
    <row r="4511" spans="1:8" x14ac:dyDescent="0.3">
      <c r="A4511" s="159"/>
      <c r="B4511" s="28"/>
      <c r="C4511" s="24"/>
      <c r="D4511" s="25"/>
      <c r="E4511" s="25"/>
      <c r="F4511" s="25"/>
      <c r="G4511" s="28"/>
      <c r="H4511" s="32"/>
    </row>
    <row r="4512" spans="1:8" x14ac:dyDescent="0.3">
      <c r="A4512" s="159"/>
      <c r="B4512" s="28"/>
      <c r="C4512" s="24"/>
      <c r="D4512" s="25"/>
      <c r="E4512" s="25"/>
      <c r="F4512" s="25"/>
      <c r="G4512" s="28"/>
      <c r="H4512" s="32"/>
    </row>
    <row r="4513" spans="1:8" x14ac:dyDescent="0.3">
      <c r="A4513" s="159"/>
      <c r="B4513" s="28"/>
      <c r="C4513" s="24"/>
      <c r="D4513" s="25"/>
      <c r="E4513" s="25"/>
      <c r="F4513" s="25"/>
      <c r="G4513" s="28"/>
      <c r="H4513" s="32"/>
    </row>
    <row r="4514" spans="1:8" x14ac:dyDescent="0.3">
      <c r="A4514" s="159"/>
      <c r="B4514" s="28"/>
      <c r="C4514" s="24"/>
      <c r="D4514" s="25"/>
      <c r="E4514" s="25"/>
      <c r="F4514" s="25"/>
      <c r="G4514" s="28"/>
      <c r="H4514" s="32"/>
    </row>
    <row r="4515" spans="1:8" x14ac:dyDescent="0.3">
      <c r="A4515" s="159"/>
      <c r="B4515" s="28"/>
      <c r="C4515" s="24"/>
      <c r="D4515" s="25"/>
      <c r="E4515" s="25"/>
      <c r="F4515" s="25"/>
      <c r="G4515" s="28"/>
      <c r="H4515" s="32"/>
    </row>
    <row r="4516" spans="1:8" x14ac:dyDescent="0.3">
      <c r="A4516" s="159"/>
      <c r="B4516" s="28"/>
      <c r="C4516" s="24"/>
      <c r="D4516" s="25"/>
      <c r="E4516" s="25"/>
      <c r="F4516" s="25"/>
      <c r="G4516" s="28"/>
      <c r="H4516" s="32"/>
    </row>
    <row r="4517" spans="1:8" x14ac:dyDescent="0.3">
      <c r="A4517" s="159"/>
      <c r="B4517" s="28"/>
      <c r="C4517" s="24"/>
      <c r="D4517" s="25"/>
      <c r="E4517" s="25"/>
      <c r="F4517" s="25"/>
      <c r="G4517" s="28"/>
      <c r="H4517" s="32"/>
    </row>
    <row r="4518" spans="1:8" x14ac:dyDescent="0.3">
      <c r="A4518" s="159"/>
      <c r="B4518" s="28"/>
      <c r="C4518" s="24"/>
      <c r="D4518" s="25"/>
      <c r="E4518" s="25"/>
      <c r="F4518" s="25"/>
      <c r="G4518" s="28"/>
      <c r="H4518" s="32"/>
    </row>
    <row r="4519" spans="1:8" x14ac:dyDescent="0.3">
      <c r="A4519" s="159"/>
      <c r="B4519" s="28"/>
      <c r="C4519" s="24"/>
      <c r="D4519" s="25"/>
      <c r="E4519" s="25"/>
      <c r="F4519" s="25"/>
      <c r="G4519" s="28"/>
      <c r="H4519" s="32"/>
    </row>
    <row r="4520" spans="1:8" ht="15.6" x14ac:dyDescent="0.3">
      <c r="A4520" s="64" t="s">
        <v>45</v>
      </c>
      <c r="B4520" s="28"/>
      <c r="C4520" s="24"/>
      <c r="D4520" s="25"/>
      <c r="E4520" s="25"/>
      <c r="F4520" s="447" t="s">
        <v>46</v>
      </c>
      <c r="G4520" s="447"/>
      <c r="H4520" s="66">
        <v>4500</v>
      </c>
    </row>
    <row r="4521" spans="1:8" ht="15.6" x14ac:dyDescent="0.3">
      <c r="A4521" s="497" t="s">
        <v>870</v>
      </c>
      <c r="B4521" s="498"/>
      <c r="C4521" s="498"/>
      <c r="D4521" s="498"/>
      <c r="E4521" s="498"/>
      <c r="F4521" s="447" t="s">
        <v>47</v>
      </c>
      <c r="G4521" s="447"/>
      <c r="H4521" s="66">
        <f>H4520*9%</f>
        <v>405</v>
      </c>
    </row>
    <row r="4522" spans="1:8" ht="15.6" x14ac:dyDescent="0.3">
      <c r="A4522" s="159"/>
      <c r="B4522" s="28"/>
      <c r="C4522" s="24"/>
      <c r="D4522" s="25"/>
      <c r="E4522" s="25"/>
      <c r="F4522" s="447" t="s">
        <v>48</v>
      </c>
      <c r="G4522" s="447"/>
      <c r="H4522" s="66">
        <f>H4520*9%</f>
        <v>405</v>
      </c>
    </row>
    <row r="4523" spans="1:8" ht="15.6" x14ac:dyDescent="0.3">
      <c r="A4523" s="64" t="s">
        <v>49</v>
      </c>
      <c r="B4523" s="28"/>
      <c r="C4523" s="24"/>
      <c r="D4523" s="25"/>
      <c r="E4523" s="25"/>
      <c r="F4523" s="447" t="s">
        <v>50</v>
      </c>
      <c r="G4523" s="447"/>
      <c r="H4523" s="66">
        <f>H4520+H4521+H4522</f>
        <v>5310</v>
      </c>
    </row>
    <row r="4524" spans="1:8" ht="26.4" x14ac:dyDescent="0.3">
      <c r="A4524" s="325" t="s">
        <v>22</v>
      </c>
      <c r="B4524" s="71" t="s">
        <v>51</v>
      </c>
      <c r="C4524" s="161" t="s">
        <v>24</v>
      </c>
      <c r="D4524" s="161" t="s">
        <v>25</v>
      </c>
      <c r="E4524" s="528" t="s">
        <v>52</v>
      </c>
      <c r="F4524" s="528"/>
      <c r="G4524" s="162"/>
      <c r="H4524" s="154"/>
    </row>
    <row r="4525" spans="1:8" x14ac:dyDescent="0.3">
      <c r="A4525" s="72">
        <v>0.18</v>
      </c>
      <c r="B4525" s="73">
        <f>H4520</f>
        <v>4500</v>
      </c>
      <c r="C4525" s="73">
        <f>H4521</f>
        <v>405</v>
      </c>
      <c r="D4525" s="73">
        <f>H4521</f>
        <v>405</v>
      </c>
      <c r="E4525" s="506">
        <f>C4525+D4525</f>
        <v>810</v>
      </c>
      <c r="F4525" s="507"/>
      <c r="G4525" s="74"/>
      <c r="H4525" s="75"/>
    </row>
    <row r="4526" spans="1:8" x14ac:dyDescent="0.3">
      <c r="A4526" s="452" t="s">
        <v>871</v>
      </c>
      <c r="B4526" s="453"/>
      <c r="C4526" s="453"/>
      <c r="D4526" s="453"/>
      <c r="E4526" s="453"/>
      <c r="F4526" s="453"/>
      <c r="G4526" s="453"/>
      <c r="H4526" s="454"/>
    </row>
    <row r="4527" spans="1:8" ht="15.6" x14ac:dyDescent="0.3">
      <c r="A4527" s="455" t="s">
        <v>53</v>
      </c>
      <c r="B4527" s="456"/>
      <c r="C4527" s="456"/>
      <c r="D4527" s="456"/>
      <c r="E4527" s="458" t="s">
        <v>54</v>
      </c>
      <c r="F4527" s="459"/>
      <c r="G4527" s="459"/>
      <c r="H4527" s="460"/>
    </row>
    <row r="4528" spans="1:8" x14ac:dyDescent="0.3">
      <c r="A4528" s="461" t="s">
        <v>55</v>
      </c>
      <c r="B4528" s="462"/>
      <c r="C4528" s="462"/>
      <c r="D4528" s="462"/>
      <c r="E4528" s="39"/>
      <c r="F4528" s="25"/>
      <c r="G4528" s="28"/>
      <c r="H4528" s="32"/>
    </row>
    <row r="4529" spans="1:8" x14ac:dyDescent="0.3">
      <c r="A4529" s="461" t="s">
        <v>56</v>
      </c>
      <c r="B4529" s="462"/>
      <c r="C4529" s="462"/>
      <c r="D4529" s="462"/>
      <c r="E4529" s="39"/>
      <c r="F4529" s="25"/>
      <c r="G4529" s="28"/>
      <c r="H4529" s="32"/>
    </row>
    <row r="4530" spans="1:8" x14ac:dyDescent="0.3">
      <c r="A4530" s="461" t="s">
        <v>57</v>
      </c>
      <c r="B4530" s="462"/>
      <c r="C4530" s="462"/>
      <c r="D4530" s="463"/>
      <c r="E4530" s="25"/>
      <c r="F4530" s="25"/>
      <c r="G4530" s="28"/>
      <c r="H4530" s="32"/>
    </row>
    <row r="4531" spans="1:8" ht="15.6" x14ac:dyDescent="0.3">
      <c r="A4531" s="464" t="s">
        <v>58</v>
      </c>
      <c r="B4531" s="465"/>
      <c r="C4531" s="465"/>
      <c r="D4531" s="465"/>
      <c r="E4531" s="466" t="s">
        <v>59</v>
      </c>
      <c r="F4531" s="467"/>
      <c r="G4531" s="467"/>
      <c r="H4531" s="468"/>
    </row>
    <row r="4535" spans="1:8" ht="44.4" x14ac:dyDescent="0.7">
      <c r="A4535" s="469" t="s">
        <v>0</v>
      </c>
      <c r="B4535" s="470"/>
      <c r="C4535" s="470"/>
      <c r="D4535" s="470"/>
      <c r="E4535" s="471" t="s">
        <v>1</v>
      </c>
      <c r="F4535" s="472"/>
      <c r="G4535" s="472"/>
      <c r="H4535" s="473"/>
    </row>
    <row r="4536" spans="1:8" ht="20.399999999999999" x14ac:dyDescent="0.35">
      <c r="A4536" s="1"/>
      <c r="B4536" s="649" t="s">
        <v>2</v>
      </c>
      <c r="C4536" s="649"/>
      <c r="D4536" s="649"/>
      <c r="E4536" s="474"/>
      <c r="F4536" s="474"/>
      <c r="G4536" s="474"/>
      <c r="H4536" s="475"/>
    </row>
    <row r="4537" spans="1:8" x14ac:dyDescent="0.3">
      <c r="A4537" s="477" t="s">
        <v>3</v>
      </c>
      <c r="B4537" s="478"/>
      <c r="C4537" s="479" t="s">
        <v>4</v>
      </c>
      <c r="D4537" s="479"/>
      <c r="E4537" s="650" t="s">
        <v>5</v>
      </c>
      <c r="F4537" s="650"/>
      <c r="G4537" s="650"/>
      <c r="H4537" s="650"/>
    </row>
    <row r="4538" spans="1:8" ht="15.6" x14ac:dyDescent="0.3">
      <c r="A4538" s="138" t="s">
        <v>6</v>
      </c>
      <c r="B4538" s="5"/>
      <c r="C4538" s="481" t="s">
        <v>7</v>
      </c>
      <c r="D4538" s="481"/>
      <c r="E4538" s="482">
        <v>99</v>
      </c>
      <c r="F4538" s="482"/>
      <c r="G4538" s="44" t="s">
        <v>8</v>
      </c>
      <c r="H4538" s="283" t="s">
        <v>889</v>
      </c>
    </row>
    <row r="4539" spans="1:8" ht="15.6" x14ac:dyDescent="0.3">
      <c r="A4539" s="108" t="s">
        <v>576</v>
      </c>
      <c r="B4539" s="284"/>
      <c r="C4539" s="481" t="s">
        <v>10</v>
      </c>
      <c r="D4539" s="481"/>
      <c r="E4539" s="482"/>
      <c r="F4539" s="482"/>
      <c r="G4539" s="44" t="s">
        <v>8</v>
      </c>
      <c r="H4539" s="6"/>
    </row>
    <row r="4540" spans="1:8" ht="15" x14ac:dyDescent="0.3">
      <c r="A4540" s="517" t="s">
        <v>577</v>
      </c>
      <c r="B4540" s="553"/>
      <c r="C4540" s="519" t="s">
        <v>12</v>
      </c>
      <c r="D4540" s="519"/>
      <c r="E4540" s="727"/>
      <c r="F4540" s="728"/>
      <c r="G4540" s="48" t="s">
        <v>8</v>
      </c>
      <c r="H4540" s="11"/>
    </row>
    <row r="4541" spans="1:8" ht="15.6" x14ac:dyDescent="0.3">
      <c r="A4541" s="595" t="s">
        <v>578</v>
      </c>
      <c r="B4541" s="553"/>
      <c r="C4541" s="481" t="s">
        <v>15</v>
      </c>
      <c r="D4541" s="481"/>
      <c r="E4541" s="631" t="s">
        <v>579</v>
      </c>
      <c r="F4541" s="632"/>
      <c r="G4541" s="633"/>
      <c r="H4541" s="49"/>
    </row>
    <row r="4542" spans="1:8" ht="15.6" x14ac:dyDescent="0.3">
      <c r="A4542" s="678" t="s">
        <v>885</v>
      </c>
      <c r="B4542" s="679"/>
      <c r="C4542" s="24"/>
      <c r="D4542" s="25"/>
      <c r="E4542" s="50"/>
      <c r="F4542" s="50"/>
      <c r="G4542" s="51"/>
      <c r="H4542" s="52"/>
    </row>
    <row r="4543" spans="1:8" x14ac:dyDescent="0.3">
      <c r="A4543" s="477" t="s">
        <v>3</v>
      </c>
      <c r="B4543" s="478"/>
      <c r="C4543" s="479" t="s">
        <v>4</v>
      </c>
      <c r="D4543" s="479"/>
      <c r="E4543" s="480" t="s">
        <v>5</v>
      </c>
      <c r="F4543" s="480"/>
      <c r="G4543" s="480"/>
      <c r="H4543" s="480"/>
    </row>
    <row r="4544" spans="1:8" ht="15" x14ac:dyDescent="0.3">
      <c r="A4544" s="492" t="s">
        <v>17</v>
      </c>
      <c r="B4544" s="494" t="s">
        <v>18</v>
      </c>
      <c r="C4544" s="494" t="s">
        <v>19</v>
      </c>
      <c r="D4544" s="494" t="s">
        <v>20</v>
      </c>
      <c r="E4544" s="494" t="s">
        <v>21</v>
      </c>
      <c r="F4544" s="494" t="s">
        <v>22</v>
      </c>
      <c r="G4544" s="494"/>
      <c r="H4544" s="492" t="s">
        <v>23</v>
      </c>
    </row>
    <row r="4545" spans="1:9" ht="27.6" x14ac:dyDescent="0.3">
      <c r="A4545" s="492"/>
      <c r="B4545" s="494"/>
      <c r="C4545" s="494"/>
      <c r="D4545" s="494"/>
      <c r="E4545" s="494"/>
      <c r="F4545" s="53" t="s">
        <v>24</v>
      </c>
      <c r="G4545" s="53" t="s">
        <v>25</v>
      </c>
      <c r="H4545" s="492"/>
    </row>
    <row r="4546" spans="1:9" s="99" customFormat="1" ht="28.8" x14ac:dyDescent="0.3">
      <c r="A4546" s="57">
        <v>1</v>
      </c>
      <c r="B4546" s="113" t="s">
        <v>886</v>
      </c>
      <c r="C4546" s="57">
        <v>1</v>
      </c>
      <c r="D4546" s="56">
        <v>998719</v>
      </c>
      <c r="E4546" s="57">
        <v>52000</v>
      </c>
      <c r="F4546" s="58">
        <f>C4546*E4546*9%</f>
        <v>4680</v>
      </c>
      <c r="G4546" s="58">
        <f>C4546*E4546*9%</f>
        <v>4680</v>
      </c>
      <c r="H4546" s="59">
        <f>C4546*E4546+F4546+G4546</f>
        <v>61360</v>
      </c>
      <c r="I4546" s="362"/>
    </row>
    <row r="4547" spans="1:9" x14ac:dyDescent="0.3">
      <c r="A4547" s="55"/>
      <c r="B4547" s="113"/>
      <c r="C4547" s="55"/>
      <c r="D4547" s="56"/>
      <c r="E4547" s="55"/>
      <c r="F4547" s="93"/>
      <c r="G4547" s="93"/>
      <c r="H4547" s="62"/>
    </row>
    <row r="4548" spans="1:9" x14ac:dyDescent="0.3">
      <c r="A4548" s="55"/>
      <c r="B4548" s="113"/>
      <c r="C4548" s="55"/>
      <c r="D4548" s="56"/>
      <c r="E4548" s="55"/>
      <c r="F4548" s="93"/>
      <c r="G4548" s="93"/>
      <c r="H4548" s="62"/>
    </row>
    <row r="4549" spans="1:9" x14ac:dyDescent="0.3">
      <c r="A4549" s="55"/>
      <c r="B4549" s="285"/>
      <c r="C4549" s="55"/>
      <c r="D4549" s="61"/>
      <c r="E4549" s="55"/>
      <c r="F4549" s="286"/>
      <c r="G4549" s="286"/>
      <c r="H4549" s="55"/>
    </row>
    <row r="4550" spans="1:9" x14ac:dyDescent="0.3">
      <c r="A4550" s="55"/>
      <c r="B4550" s="285"/>
      <c r="C4550" s="55"/>
      <c r="D4550" s="61"/>
      <c r="E4550" s="55"/>
      <c r="F4550" s="286"/>
      <c r="G4550" s="286"/>
      <c r="H4550" s="55"/>
    </row>
    <row r="4551" spans="1:9" x14ac:dyDescent="0.3">
      <c r="A4551" s="55"/>
      <c r="B4551" s="60"/>
      <c r="C4551" s="55"/>
      <c r="D4551" s="61"/>
      <c r="E4551" s="57"/>
      <c r="F4551" s="115"/>
      <c r="G4551" s="115"/>
      <c r="H4551" s="57"/>
    </row>
    <row r="4552" spans="1:9" x14ac:dyDescent="0.3">
      <c r="A4552" s="55"/>
      <c r="B4552" s="60"/>
      <c r="C4552" s="55"/>
      <c r="D4552" s="56"/>
      <c r="E4552" s="57"/>
      <c r="F4552" s="115"/>
      <c r="G4552" s="115"/>
      <c r="H4552" s="57"/>
    </row>
    <row r="4553" spans="1:9" x14ac:dyDescent="0.3">
      <c r="A4553" s="55"/>
      <c r="B4553" s="60"/>
      <c r="C4553" s="55"/>
      <c r="D4553" s="56"/>
      <c r="E4553" s="57"/>
      <c r="F4553" s="115"/>
      <c r="G4553" s="115"/>
      <c r="H4553" s="57"/>
    </row>
    <row r="4554" spans="1:9" x14ac:dyDescent="0.3">
      <c r="A4554" s="55"/>
      <c r="B4554" s="94"/>
      <c r="C4554" s="55"/>
      <c r="D4554" s="47"/>
      <c r="E4554" s="47"/>
      <c r="F4554" s="115"/>
      <c r="G4554" s="115"/>
      <c r="H4554" s="47"/>
    </row>
    <row r="4555" spans="1:9" x14ac:dyDescent="0.3">
      <c r="A4555" s="27"/>
      <c r="B4555" s="28"/>
      <c r="C4555" s="24"/>
      <c r="D4555" s="25"/>
      <c r="E4555" s="25"/>
      <c r="F4555" s="282"/>
      <c r="G4555" s="282"/>
      <c r="H4555" s="32"/>
    </row>
    <row r="4556" spans="1:9" x14ac:dyDescent="0.3">
      <c r="A4556" s="27"/>
      <c r="B4556" s="28"/>
      <c r="C4556" s="24"/>
      <c r="D4556" s="25"/>
      <c r="E4556" s="25"/>
      <c r="F4556" s="282"/>
      <c r="G4556" s="282"/>
      <c r="H4556" s="32"/>
    </row>
    <row r="4557" spans="1:9" x14ac:dyDescent="0.3">
      <c r="A4557" s="27"/>
      <c r="B4557" s="28"/>
      <c r="C4557" s="24"/>
      <c r="D4557" s="25"/>
      <c r="E4557" s="25"/>
      <c r="F4557" s="282"/>
      <c r="G4557" s="282"/>
      <c r="H4557" s="32"/>
    </row>
    <row r="4558" spans="1:9" x14ac:dyDescent="0.3">
      <c r="A4558" s="27"/>
      <c r="B4558" s="28"/>
      <c r="C4558" s="24"/>
      <c r="D4558" s="25"/>
      <c r="E4558" s="25"/>
      <c r="F4558" s="282"/>
      <c r="G4558" s="282"/>
      <c r="H4558" s="32"/>
    </row>
    <row r="4559" spans="1:9" x14ac:dyDescent="0.3">
      <c r="A4559" s="27"/>
      <c r="B4559" s="28"/>
      <c r="C4559" s="24"/>
      <c r="D4559" s="25"/>
      <c r="E4559" s="25"/>
      <c r="F4559" s="282"/>
      <c r="G4559" s="282"/>
      <c r="H4559" s="32"/>
    </row>
    <row r="4560" spans="1:9" x14ac:dyDescent="0.3">
      <c r="A4560" s="27"/>
      <c r="B4560" s="28"/>
      <c r="C4560" s="24"/>
      <c r="D4560" s="25"/>
      <c r="E4560" s="25"/>
      <c r="F4560" s="282"/>
      <c r="G4560" s="282"/>
      <c r="H4560" s="32"/>
    </row>
    <row r="4561" spans="1:8" x14ac:dyDescent="0.3">
      <c r="A4561" s="27"/>
      <c r="B4561" s="28"/>
      <c r="C4561" s="24"/>
      <c r="D4561" s="25"/>
      <c r="E4561" s="25"/>
      <c r="F4561" s="25"/>
      <c r="G4561" s="28"/>
      <c r="H4561" s="32"/>
    </row>
    <row r="4562" spans="1:8" x14ac:dyDescent="0.3">
      <c r="A4562" s="27"/>
      <c r="B4562" s="28"/>
      <c r="C4562" s="24"/>
      <c r="D4562" s="25"/>
      <c r="E4562" s="25"/>
      <c r="F4562" s="25"/>
      <c r="G4562" s="28"/>
      <c r="H4562" s="32"/>
    </row>
    <row r="4563" spans="1:8" x14ac:dyDescent="0.3">
      <c r="A4563" s="27"/>
      <c r="B4563" s="28"/>
      <c r="C4563" s="24"/>
      <c r="D4563" s="25"/>
      <c r="E4563" s="25"/>
      <c r="F4563" s="25"/>
      <c r="G4563" s="28"/>
      <c r="H4563" s="32"/>
    </row>
    <row r="4564" spans="1:8" x14ac:dyDescent="0.3">
      <c r="A4564" s="27"/>
      <c r="B4564" s="28"/>
      <c r="C4564" s="24"/>
      <c r="D4564" s="25"/>
      <c r="E4564" s="25"/>
      <c r="F4564" s="25"/>
      <c r="G4564" s="28"/>
      <c r="H4564" s="32"/>
    </row>
    <row r="4565" spans="1:8" x14ac:dyDescent="0.3">
      <c r="A4565" s="27"/>
      <c r="B4565" s="28"/>
      <c r="C4565" s="24"/>
      <c r="D4565" s="25"/>
      <c r="E4565" s="25"/>
      <c r="F4565" s="25"/>
      <c r="G4565" s="28"/>
      <c r="H4565" s="32"/>
    </row>
    <row r="4566" spans="1:8" x14ac:dyDescent="0.3">
      <c r="A4566" s="27"/>
      <c r="B4566" s="28"/>
      <c r="C4566" s="24"/>
      <c r="D4566" s="25"/>
      <c r="E4566" s="25"/>
      <c r="F4566" s="25"/>
      <c r="G4566" s="28"/>
      <c r="H4566" s="32"/>
    </row>
    <row r="4567" spans="1:8" x14ac:dyDescent="0.3">
      <c r="A4567" s="27"/>
      <c r="B4567" s="28"/>
      <c r="C4567" s="24"/>
      <c r="D4567" s="25"/>
      <c r="E4567" s="25"/>
      <c r="F4567" s="25"/>
      <c r="G4567" s="28"/>
      <c r="H4567" s="32"/>
    </row>
    <row r="4568" spans="1:8" ht="15.6" x14ac:dyDescent="0.3">
      <c r="A4568" s="497" t="s">
        <v>97</v>
      </c>
      <c r="B4568" s="498"/>
      <c r="C4568" s="24"/>
      <c r="D4568" s="25"/>
      <c r="E4568" s="25"/>
      <c r="F4568" s="116" t="s">
        <v>46</v>
      </c>
      <c r="G4568" s="26"/>
      <c r="H4568" s="66">
        <v>52000</v>
      </c>
    </row>
    <row r="4569" spans="1:8" ht="15.6" x14ac:dyDescent="0.3">
      <c r="A4569" s="497" t="s">
        <v>887</v>
      </c>
      <c r="B4569" s="498"/>
      <c r="C4569" s="498"/>
      <c r="D4569" s="498"/>
      <c r="E4569" s="67"/>
      <c r="F4569" s="116" t="s">
        <v>47</v>
      </c>
      <c r="G4569" s="26"/>
      <c r="H4569" s="66">
        <f>H4568*9%</f>
        <v>4680</v>
      </c>
    </row>
    <row r="4570" spans="1:8" ht="15.6" x14ac:dyDescent="0.3">
      <c r="A4570" s="27"/>
      <c r="B4570" s="28"/>
      <c r="C4570" s="24"/>
      <c r="D4570" s="25"/>
      <c r="E4570" s="25"/>
      <c r="F4570" s="116" t="s">
        <v>48</v>
      </c>
      <c r="G4570" s="26"/>
      <c r="H4570" s="66">
        <f>H4568*9%</f>
        <v>4680</v>
      </c>
    </row>
    <row r="4571" spans="1:8" ht="15.6" x14ac:dyDescent="0.3">
      <c r="A4571" s="497" t="s">
        <v>49</v>
      </c>
      <c r="B4571" s="498"/>
      <c r="C4571" s="498"/>
      <c r="D4571" s="25"/>
      <c r="E4571" s="25"/>
      <c r="F4571" s="116" t="s">
        <v>50</v>
      </c>
      <c r="G4571" s="26"/>
      <c r="H4571" s="66">
        <f>H4568+H4570+H4569</f>
        <v>61360</v>
      </c>
    </row>
    <row r="4572" spans="1:8" ht="27" x14ac:dyDescent="0.3">
      <c r="A4572" s="68" t="s">
        <v>22</v>
      </c>
      <c r="B4572" s="69" t="s">
        <v>51</v>
      </c>
      <c r="C4572" s="70" t="s">
        <v>24</v>
      </c>
      <c r="D4572" s="31" t="s">
        <v>25</v>
      </c>
      <c r="E4572" s="528" t="s">
        <v>52</v>
      </c>
      <c r="F4572" s="528"/>
      <c r="G4572" s="28"/>
      <c r="H4572" s="32"/>
    </row>
    <row r="4573" spans="1:8" x14ac:dyDescent="0.3">
      <c r="A4573" s="72">
        <v>0.18</v>
      </c>
      <c r="B4573" s="73">
        <f>H4568</f>
        <v>52000</v>
      </c>
      <c r="C4573" s="74">
        <f>H4569</f>
        <v>4680</v>
      </c>
      <c r="D4573" s="74">
        <f>H4570</f>
        <v>4680</v>
      </c>
      <c r="E4573" s="507">
        <f>C4573+D4573</f>
        <v>9360</v>
      </c>
      <c r="F4573" s="507"/>
      <c r="G4573" s="74"/>
      <c r="H4573" s="75"/>
    </row>
    <row r="4574" spans="1:8" x14ac:dyDescent="0.3">
      <c r="A4574" s="452" t="s">
        <v>888</v>
      </c>
      <c r="B4574" s="453"/>
      <c r="C4574" s="453"/>
      <c r="D4574" s="453"/>
      <c r="E4574" s="453"/>
      <c r="F4574" s="78"/>
      <c r="G4574" s="36"/>
      <c r="H4574" s="79"/>
    </row>
    <row r="4575" spans="1:8" ht="15.6" x14ac:dyDescent="0.3">
      <c r="A4575" s="455" t="s">
        <v>53</v>
      </c>
      <c r="B4575" s="456"/>
      <c r="C4575" s="456"/>
      <c r="D4575" s="457"/>
      <c r="E4575" s="458" t="s">
        <v>54</v>
      </c>
      <c r="F4575" s="459"/>
      <c r="G4575" s="459"/>
      <c r="H4575" s="460"/>
    </row>
    <row r="4576" spans="1:8" x14ac:dyDescent="0.3">
      <c r="A4576" s="461" t="s">
        <v>55</v>
      </c>
      <c r="B4576" s="462"/>
      <c r="C4576" s="462"/>
      <c r="D4576" s="463"/>
      <c r="E4576" s="25"/>
      <c r="F4576" s="25"/>
      <c r="G4576" s="28"/>
      <c r="H4576" s="32"/>
    </row>
    <row r="4577" spans="1:8" x14ac:dyDescent="0.3">
      <c r="A4577" s="461" t="s">
        <v>56</v>
      </c>
      <c r="B4577" s="462"/>
      <c r="C4577" s="462"/>
      <c r="D4577" s="463"/>
      <c r="E4577" s="25"/>
      <c r="F4577" s="25"/>
      <c r="G4577" s="28"/>
      <c r="H4577" s="32"/>
    </row>
    <row r="4578" spans="1:8" x14ac:dyDescent="0.3">
      <c r="A4578" s="461" t="s">
        <v>57</v>
      </c>
      <c r="B4578" s="462"/>
      <c r="C4578" s="462"/>
      <c r="D4578" s="463"/>
      <c r="E4578" s="25"/>
      <c r="F4578" s="25"/>
      <c r="G4578" s="28"/>
      <c r="H4578" s="32"/>
    </row>
    <row r="4579" spans="1:8" ht="15.6" x14ac:dyDescent="0.3">
      <c r="A4579" s="464" t="s">
        <v>58</v>
      </c>
      <c r="B4579" s="465"/>
      <c r="C4579" s="465"/>
      <c r="D4579" s="510"/>
      <c r="E4579" s="466" t="s">
        <v>59</v>
      </c>
      <c r="F4579" s="467"/>
      <c r="G4579" s="467"/>
      <c r="H4579" s="468"/>
    </row>
    <row r="4582" spans="1:8" ht="44.4" x14ac:dyDescent="0.7">
      <c r="A4582" s="469" t="s">
        <v>0</v>
      </c>
      <c r="B4582" s="470"/>
      <c r="C4582" s="470"/>
      <c r="D4582" s="470"/>
      <c r="E4582" s="531" t="s">
        <v>1</v>
      </c>
      <c r="F4582" s="544"/>
      <c r="G4582" s="544"/>
      <c r="H4582" s="545"/>
    </row>
    <row r="4583" spans="1:8" ht="20.399999999999999" x14ac:dyDescent="0.35">
      <c r="A4583" s="1"/>
      <c r="B4583" s="476" t="s">
        <v>2</v>
      </c>
      <c r="C4583" s="476"/>
      <c r="D4583" s="476"/>
      <c r="E4583" s="546"/>
      <c r="F4583" s="546"/>
      <c r="G4583" s="546"/>
      <c r="H4583" s="547"/>
    </row>
    <row r="4584" spans="1:8" x14ac:dyDescent="0.3">
      <c r="A4584" s="477" t="s">
        <v>3</v>
      </c>
      <c r="B4584" s="478"/>
      <c r="C4584" s="479" t="s">
        <v>4</v>
      </c>
      <c r="D4584" s="479"/>
      <c r="E4584" s="548" t="s">
        <v>5</v>
      </c>
      <c r="F4584" s="549"/>
      <c r="G4584" s="549"/>
      <c r="H4584" s="550"/>
    </row>
    <row r="4585" spans="1:8" ht="15.6" x14ac:dyDescent="0.3">
      <c r="A4585" s="4" t="s">
        <v>6</v>
      </c>
      <c r="B4585" s="5"/>
      <c r="C4585" s="481" t="s">
        <v>7</v>
      </c>
      <c r="D4585" s="481"/>
      <c r="E4585" s="482">
        <v>100</v>
      </c>
      <c r="F4585" s="482"/>
      <c r="G4585" s="7" t="s">
        <v>8</v>
      </c>
      <c r="H4585" s="8" t="s">
        <v>894</v>
      </c>
    </row>
    <row r="4586" spans="1:8" ht="15.6" x14ac:dyDescent="0.3">
      <c r="A4586" s="551" t="s">
        <v>890</v>
      </c>
      <c r="B4586" s="552"/>
      <c r="C4586" s="481" t="s">
        <v>10</v>
      </c>
      <c r="D4586" s="481"/>
      <c r="E4586" s="482"/>
      <c r="F4586" s="482"/>
      <c r="G4586" s="7" t="s">
        <v>8</v>
      </c>
      <c r="H4586" s="9"/>
    </row>
    <row r="4587" spans="1:8" ht="15" x14ac:dyDescent="0.3">
      <c r="A4587" s="517" t="s">
        <v>891</v>
      </c>
      <c r="B4587" s="553"/>
      <c r="C4587" s="483" t="s">
        <v>12</v>
      </c>
      <c r="D4587" s="484"/>
      <c r="E4587" s="584"/>
      <c r="F4587" s="585"/>
      <c r="G4587" s="10" t="s">
        <v>8</v>
      </c>
      <c r="H4587" s="82"/>
    </row>
    <row r="4588" spans="1:8" ht="15.6" x14ac:dyDescent="0.3">
      <c r="A4588" s="556" t="s">
        <v>892</v>
      </c>
      <c r="B4588" s="557"/>
      <c r="C4588" s="481" t="s">
        <v>15</v>
      </c>
      <c r="D4588" s="481"/>
      <c r="E4588" s="536" t="s">
        <v>893</v>
      </c>
      <c r="F4588" s="617"/>
      <c r="G4588" s="617"/>
      <c r="H4588" s="516"/>
    </row>
    <row r="4589" spans="1:8" ht="15.6" x14ac:dyDescent="0.3">
      <c r="A4589" s="558" t="s">
        <v>895</v>
      </c>
      <c r="B4589" s="559"/>
      <c r="C4589" s="489"/>
      <c r="D4589" s="490"/>
      <c r="E4589" s="490"/>
      <c r="F4589" s="490"/>
      <c r="G4589" s="490"/>
      <c r="H4589" s="491"/>
    </row>
    <row r="4590" spans="1:8" ht="15" x14ac:dyDescent="0.3">
      <c r="A4590" s="492" t="s">
        <v>17</v>
      </c>
      <c r="B4590" s="494" t="s">
        <v>18</v>
      </c>
      <c r="C4590" s="494" t="s">
        <v>19</v>
      </c>
      <c r="D4590" s="494" t="s">
        <v>20</v>
      </c>
      <c r="E4590" s="494" t="s">
        <v>21</v>
      </c>
      <c r="F4590" s="494" t="s">
        <v>22</v>
      </c>
      <c r="G4590" s="494"/>
      <c r="H4590" s="492" t="s">
        <v>23</v>
      </c>
    </row>
    <row r="4591" spans="1:8" ht="27.6" x14ac:dyDescent="0.3">
      <c r="A4591" s="492"/>
      <c r="B4591" s="494"/>
      <c r="C4591" s="494"/>
      <c r="D4591" s="494"/>
      <c r="E4591" s="494"/>
      <c r="F4591" s="53" t="s">
        <v>24</v>
      </c>
      <c r="G4591" s="53" t="s">
        <v>25</v>
      </c>
      <c r="H4591" s="492"/>
    </row>
    <row r="4592" spans="1:8" x14ac:dyDescent="0.3">
      <c r="A4592" s="57">
        <v>1</v>
      </c>
      <c r="B4592" s="60" t="s">
        <v>896</v>
      </c>
      <c r="C4592" s="57">
        <v>4</v>
      </c>
      <c r="D4592" s="57">
        <v>998719</v>
      </c>
      <c r="E4592" s="57">
        <v>2500</v>
      </c>
      <c r="F4592" s="57">
        <f>E4592*C4592*9%</f>
        <v>900</v>
      </c>
      <c r="G4592" s="57">
        <f>F4592</f>
        <v>900</v>
      </c>
      <c r="H4592" s="57">
        <f>G4592+F4592+E4592*C4592</f>
        <v>11800</v>
      </c>
    </row>
    <row r="4593" spans="1:8" x14ac:dyDescent="0.3">
      <c r="A4593" s="55"/>
      <c r="B4593" s="130"/>
      <c r="C4593" s="83"/>
      <c r="D4593" s="83"/>
      <c r="E4593" s="57"/>
      <c r="F4593" s="57"/>
      <c r="G4593" s="57"/>
      <c r="H4593" s="57"/>
    </row>
    <row r="4594" spans="1:8" x14ac:dyDescent="0.3">
      <c r="A4594" s="55"/>
      <c r="B4594" s="130"/>
      <c r="C4594" s="83"/>
      <c r="D4594" s="83"/>
      <c r="E4594" s="57"/>
      <c r="F4594" s="57"/>
      <c r="G4594" s="57"/>
      <c r="H4594" s="57"/>
    </row>
    <row r="4595" spans="1:8" x14ac:dyDescent="0.3">
      <c r="A4595" s="55"/>
      <c r="B4595" s="130"/>
      <c r="C4595" s="83"/>
      <c r="D4595" s="83"/>
      <c r="E4595" s="57"/>
      <c r="F4595" s="57"/>
      <c r="G4595" s="57"/>
      <c r="H4595" s="57"/>
    </row>
    <row r="4596" spans="1:8" x14ac:dyDescent="0.3">
      <c r="A4596" s="55"/>
      <c r="B4596" s="130"/>
      <c r="C4596" s="83"/>
      <c r="D4596" s="83"/>
      <c r="E4596" s="57"/>
      <c r="F4596" s="57"/>
      <c r="G4596" s="57"/>
      <c r="H4596" s="57"/>
    </row>
    <row r="4597" spans="1:8" x14ac:dyDescent="0.3">
      <c r="A4597" s="55"/>
      <c r="B4597" s="130"/>
      <c r="C4597" s="83"/>
      <c r="D4597" s="83"/>
      <c r="E4597" s="57"/>
      <c r="F4597" s="57"/>
      <c r="G4597" s="57"/>
      <c r="H4597" s="57"/>
    </row>
    <row r="4598" spans="1:8" x14ac:dyDescent="0.3">
      <c r="A4598" s="55"/>
      <c r="B4598" s="130"/>
      <c r="C4598" s="83"/>
      <c r="D4598" s="83"/>
      <c r="E4598" s="57"/>
      <c r="F4598" s="57"/>
      <c r="G4598" s="57"/>
      <c r="H4598" s="57"/>
    </row>
    <row r="4599" spans="1:8" x14ac:dyDescent="0.3">
      <c r="A4599" s="55"/>
      <c r="B4599" s="130"/>
      <c r="C4599" s="83"/>
      <c r="D4599" s="83"/>
      <c r="E4599" s="57"/>
      <c r="F4599" s="57"/>
      <c r="G4599" s="57"/>
      <c r="H4599" s="57"/>
    </row>
    <row r="4600" spans="1:8" x14ac:dyDescent="0.3">
      <c r="A4600" s="55"/>
      <c r="B4600" s="130"/>
      <c r="C4600" s="83"/>
      <c r="D4600" s="83"/>
      <c r="E4600" s="57"/>
      <c r="F4600" s="57"/>
      <c r="G4600" s="57"/>
      <c r="H4600" s="57"/>
    </row>
    <row r="4601" spans="1:8" x14ac:dyDescent="0.3">
      <c r="A4601" s="55"/>
      <c r="B4601" s="130"/>
      <c r="C4601" s="83"/>
      <c r="D4601" s="83"/>
      <c r="E4601" s="57"/>
      <c r="F4601" s="57"/>
      <c r="G4601" s="57"/>
      <c r="H4601" s="57"/>
    </row>
    <row r="4602" spans="1:8" x14ac:dyDescent="0.3">
      <c r="A4602" s="55"/>
      <c r="B4602" s="130"/>
      <c r="C4602" s="83"/>
      <c r="D4602" s="57"/>
      <c r="E4602" s="57"/>
      <c r="F4602" s="57"/>
      <c r="G4602" s="57"/>
      <c r="H4602" s="57"/>
    </row>
    <row r="4603" spans="1:8" x14ac:dyDescent="0.3">
      <c r="A4603" s="57"/>
      <c r="B4603" s="130"/>
      <c r="C4603" s="83"/>
      <c r="D4603" s="57"/>
      <c r="E4603" s="57"/>
      <c r="F4603" s="93"/>
      <c r="G4603" s="58"/>
      <c r="H4603" s="59"/>
    </row>
    <row r="4604" spans="1:8" x14ac:dyDescent="0.3">
      <c r="A4604" s="57"/>
      <c r="B4604" s="84"/>
      <c r="C4604" s="85"/>
      <c r="D4604" s="86"/>
      <c r="E4604" s="87"/>
      <c r="F4604" s="47"/>
      <c r="G4604" s="58"/>
      <c r="H4604" s="47"/>
    </row>
    <row r="4605" spans="1:8" x14ac:dyDescent="0.3">
      <c r="A4605" s="57"/>
      <c r="B4605" s="84"/>
      <c r="C4605" s="85"/>
      <c r="D4605" s="86"/>
      <c r="E4605" s="87"/>
      <c r="F4605" s="47"/>
      <c r="G4605" s="47"/>
      <c r="H4605" s="47"/>
    </row>
    <row r="4606" spans="1:8" x14ac:dyDescent="0.3">
      <c r="A4606" s="178"/>
      <c r="B4606" s="163"/>
      <c r="C4606" s="178"/>
      <c r="D4606" s="178"/>
      <c r="E4606" s="178"/>
      <c r="F4606" s="163"/>
      <c r="G4606" s="163"/>
      <c r="H4606" s="178"/>
    </row>
    <row r="4607" spans="1:8" x14ac:dyDescent="0.3">
      <c r="A4607" s="57"/>
      <c r="B4607" s="84"/>
      <c r="C4607" s="85"/>
      <c r="D4607" s="86"/>
      <c r="E4607" s="87"/>
      <c r="F4607" s="47"/>
      <c r="G4607" s="47"/>
      <c r="H4607" s="47"/>
    </row>
    <row r="4608" spans="1:8" x14ac:dyDescent="0.3">
      <c r="A4608" s="57"/>
      <c r="B4608" s="84"/>
      <c r="C4608" s="85"/>
      <c r="D4608" s="86"/>
      <c r="E4608" s="87"/>
      <c r="F4608" s="47"/>
      <c r="G4608" s="47"/>
      <c r="H4608" s="47"/>
    </row>
    <row r="4609" spans="1:8" x14ac:dyDescent="0.3">
      <c r="A4609" s="57"/>
      <c r="B4609" s="84"/>
      <c r="C4609" s="85"/>
      <c r="D4609" s="86"/>
      <c r="E4609" s="87"/>
      <c r="F4609" s="47"/>
      <c r="G4609" s="47"/>
      <c r="H4609" s="47"/>
    </row>
    <row r="4610" spans="1:8" x14ac:dyDescent="0.3">
      <c r="A4610" s="57"/>
      <c r="B4610" s="84"/>
      <c r="C4610" s="85"/>
      <c r="D4610" s="86"/>
      <c r="E4610" s="87"/>
      <c r="F4610" s="47"/>
      <c r="G4610" s="47"/>
      <c r="H4610" s="47"/>
    </row>
    <row r="4611" spans="1:8" x14ac:dyDescent="0.3">
      <c r="A4611" s="57"/>
      <c r="B4611" s="84"/>
      <c r="C4611" s="85"/>
      <c r="D4611" s="86"/>
      <c r="E4611" s="47"/>
      <c r="F4611" s="47"/>
      <c r="G4611" s="47"/>
      <c r="H4611" s="47"/>
    </row>
    <row r="4612" spans="1:8" x14ac:dyDescent="0.3">
      <c r="A4612" s="55"/>
      <c r="B4612" s="84"/>
      <c r="C4612" s="55"/>
      <c r="D4612" s="86"/>
      <c r="E4612" s="47"/>
      <c r="F4612" s="47"/>
      <c r="G4612" s="47"/>
      <c r="H4612" s="47"/>
    </row>
    <row r="4613" spans="1:8" x14ac:dyDescent="0.3">
      <c r="A4613" s="27"/>
      <c r="B4613" s="28"/>
      <c r="C4613" s="24"/>
      <c r="D4613" s="25"/>
      <c r="E4613" s="25"/>
      <c r="F4613" s="28"/>
      <c r="G4613" s="28"/>
      <c r="H4613" s="32"/>
    </row>
    <row r="4614" spans="1:8" ht="15.6" x14ac:dyDescent="0.3">
      <c r="A4614" s="448" t="s">
        <v>45</v>
      </c>
      <c r="B4614" s="449"/>
      <c r="C4614" s="24"/>
      <c r="D4614" s="25"/>
      <c r="E4614" s="25"/>
      <c r="F4614" s="447" t="s">
        <v>46</v>
      </c>
      <c r="G4614" s="447"/>
      <c r="H4614" s="66">
        <v>10000</v>
      </c>
    </row>
    <row r="4615" spans="1:8" ht="15.6" x14ac:dyDescent="0.3">
      <c r="A4615" s="497" t="s">
        <v>897</v>
      </c>
      <c r="B4615" s="498"/>
      <c r="C4615" s="498"/>
      <c r="D4615" s="498"/>
      <c r="E4615" s="498"/>
      <c r="F4615" s="447" t="s">
        <v>47</v>
      </c>
      <c r="G4615" s="447"/>
      <c r="H4615" s="66">
        <f>H4614*9%</f>
        <v>900</v>
      </c>
    </row>
    <row r="4616" spans="1:8" ht="15.6" x14ac:dyDescent="0.3">
      <c r="A4616" s="27"/>
      <c r="B4616" s="28"/>
      <c r="C4616" s="24"/>
      <c r="D4616" s="25"/>
      <c r="E4616" s="25"/>
      <c r="F4616" s="447" t="s">
        <v>48</v>
      </c>
      <c r="G4616" s="447"/>
      <c r="H4616" s="66">
        <f>H4615</f>
        <v>900</v>
      </c>
    </row>
    <row r="4617" spans="1:8" ht="15.6" x14ac:dyDescent="0.3">
      <c r="A4617" s="90" t="s">
        <v>49</v>
      </c>
      <c r="B4617" s="28"/>
      <c r="C4617" s="24"/>
      <c r="D4617" s="25"/>
      <c r="E4617" s="25"/>
      <c r="F4617" s="447" t="s">
        <v>50</v>
      </c>
      <c r="G4617" s="447"/>
      <c r="H4617" s="66">
        <f>SUM(H4614:H4616)</f>
        <v>11800</v>
      </c>
    </row>
    <row r="4618" spans="1:8" ht="27" x14ac:dyDescent="0.3">
      <c r="A4618" s="68" t="s">
        <v>22</v>
      </c>
      <c r="B4618" s="30" t="s">
        <v>51</v>
      </c>
      <c r="C4618" s="70" t="s">
        <v>24</v>
      </c>
      <c r="D4618" s="31" t="s">
        <v>25</v>
      </c>
      <c r="E4618" s="450" t="s">
        <v>52</v>
      </c>
      <c r="F4618" s="450"/>
      <c r="G4618" s="28"/>
      <c r="H4618" s="32"/>
    </row>
    <row r="4619" spans="1:8" x14ac:dyDescent="0.3">
      <c r="A4619" s="72">
        <v>0.18</v>
      </c>
      <c r="B4619" s="73">
        <f>H4614</f>
        <v>10000</v>
      </c>
      <c r="C4619" s="91">
        <f>H4615</f>
        <v>900</v>
      </c>
      <c r="D4619" s="91">
        <f>H4615</f>
        <v>900</v>
      </c>
      <c r="E4619" s="506">
        <f>C4619+D4619</f>
        <v>1800</v>
      </c>
      <c r="F4619" s="507"/>
      <c r="G4619" s="74"/>
      <c r="H4619" s="75"/>
    </row>
    <row r="4620" spans="1:8" x14ac:dyDescent="0.3">
      <c r="A4620" s="508" t="s">
        <v>898</v>
      </c>
      <c r="B4620" s="509"/>
      <c r="C4620" s="509"/>
      <c r="D4620" s="509"/>
      <c r="E4620" s="453"/>
      <c r="F4620" s="453"/>
      <c r="G4620" s="453"/>
      <c r="H4620" s="454"/>
    </row>
    <row r="4621" spans="1:8" ht="15.6" x14ac:dyDescent="0.3">
      <c r="A4621" s="455" t="s">
        <v>53</v>
      </c>
      <c r="B4621" s="456"/>
      <c r="C4621" s="456"/>
      <c r="D4621" s="457"/>
      <c r="E4621" s="458" t="s">
        <v>54</v>
      </c>
      <c r="F4621" s="459"/>
      <c r="G4621" s="459"/>
      <c r="H4621" s="460"/>
    </row>
    <row r="4622" spans="1:8" x14ac:dyDescent="0.3">
      <c r="A4622" s="461" t="s">
        <v>55</v>
      </c>
      <c r="B4622" s="462"/>
      <c r="C4622" s="462"/>
      <c r="D4622" s="463"/>
      <c r="E4622" s="39"/>
      <c r="F4622" s="28"/>
      <c r="G4622" s="28"/>
      <c r="H4622" s="32"/>
    </row>
    <row r="4623" spans="1:8" x14ac:dyDescent="0.3">
      <c r="A4623" s="461" t="s">
        <v>56</v>
      </c>
      <c r="B4623" s="462"/>
      <c r="C4623" s="462"/>
      <c r="D4623" s="463"/>
      <c r="E4623" s="39"/>
      <c r="F4623" s="28"/>
      <c r="G4623" s="28"/>
      <c r="H4623" s="32"/>
    </row>
    <row r="4624" spans="1:8" x14ac:dyDescent="0.3">
      <c r="A4624" s="461" t="s">
        <v>57</v>
      </c>
      <c r="B4624" s="462"/>
      <c r="C4624" s="462"/>
      <c r="D4624" s="463"/>
      <c r="E4624" s="39"/>
      <c r="F4624" s="28"/>
      <c r="G4624" s="28"/>
      <c r="H4624" s="32"/>
    </row>
    <row r="4625" spans="1:9" ht="15.6" x14ac:dyDescent="0.3">
      <c r="A4625" s="464" t="s">
        <v>58</v>
      </c>
      <c r="B4625" s="465"/>
      <c r="C4625" s="465"/>
      <c r="D4625" s="465"/>
      <c r="E4625" s="466" t="s">
        <v>59</v>
      </c>
      <c r="F4625" s="467"/>
      <c r="G4625" s="467"/>
      <c r="H4625" s="468"/>
    </row>
    <row r="4628" spans="1:9" ht="44.4" x14ac:dyDescent="0.7">
      <c r="A4628" s="469" t="s">
        <v>0</v>
      </c>
      <c r="B4628" s="470"/>
      <c r="C4628" s="470"/>
      <c r="D4628" s="470"/>
      <c r="E4628" s="531" t="s">
        <v>92</v>
      </c>
      <c r="F4628" s="544"/>
      <c r="G4628" s="544"/>
      <c r="H4628" s="545"/>
    </row>
    <row r="4629" spans="1:9" ht="20.399999999999999" x14ac:dyDescent="0.35">
      <c r="A4629" s="1"/>
      <c r="B4629" s="476" t="s">
        <v>2</v>
      </c>
      <c r="C4629" s="476"/>
      <c r="D4629" s="476"/>
      <c r="E4629" s="546"/>
      <c r="F4629" s="546"/>
      <c r="G4629" s="546"/>
      <c r="H4629" s="547"/>
    </row>
    <row r="4630" spans="1:9" x14ac:dyDescent="0.3">
      <c r="A4630" s="477" t="s">
        <v>3</v>
      </c>
      <c r="B4630" s="478"/>
      <c r="C4630" s="479" t="s">
        <v>4</v>
      </c>
      <c r="D4630" s="479"/>
      <c r="E4630" s="548" t="s">
        <v>5</v>
      </c>
      <c r="F4630" s="549"/>
      <c r="G4630" s="549"/>
      <c r="H4630" s="550"/>
    </row>
    <row r="4631" spans="1:9" ht="15.6" x14ac:dyDescent="0.3">
      <c r="A4631" s="138" t="s">
        <v>6</v>
      </c>
      <c r="B4631" s="5"/>
      <c r="C4631" s="481" t="s">
        <v>7</v>
      </c>
      <c r="D4631" s="481"/>
      <c r="E4631" s="482">
        <v>101</v>
      </c>
      <c r="F4631" s="482"/>
      <c r="G4631" s="7" t="s">
        <v>8</v>
      </c>
      <c r="H4631" s="8" t="s">
        <v>899</v>
      </c>
    </row>
    <row r="4632" spans="1:9" ht="15.6" x14ac:dyDescent="0.3">
      <c r="A4632" s="556" t="s">
        <v>177</v>
      </c>
      <c r="B4632" s="557"/>
      <c r="C4632" s="481" t="s">
        <v>10</v>
      </c>
      <c r="D4632" s="481"/>
      <c r="E4632" s="482"/>
      <c r="F4632" s="482"/>
      <c r="G4632" s="7" t="s">
        <v>8</v>
      </c>
      <c r="H4632" s="6"/>
    </row>
    <row r="4633" spans="1:9" ht="15.6" x14ac:dyDescent="0.3">
      <c r="A4633" s="577" t="s">
        <v>178</v>
      </c>
      <c r="B4633" s="578"/>
      <c r="C4633" s="481" t="s">
        <v>12</v>
      </c>
      <c r="D4633" s="481"/>
      <c r="E4633" s="482">
        <v>250</v>
      </c>
      <c r="F4633" s="482"/>
      <c r="G4633" s="7" t="s">
        <v>8</v>
      </c>
      <c r="H4633" s="8" t="s">
        <v>900</v>
      </c>
    </row>
    <row r="4634" spans="1:9" ht="15.6" x14ac:dyDescent="0.3">
      <c r="A4634" s="556" t="s">
        <v>179</v>
      </c>
      <c r="B4634" s="557"/>
      <c r="C4634" s="481" t="s">
        <v>15</v>
      </c>
      <c r="D4634" s="481"/>
      <c r="E4634" s="566" t="s">
        <v>180</v>
      </c>
      <c r="F4634" s="567"/>
      <c r="G4634" s="567"/>
      <c r="H4634" s="568"/>
    </row>
    <row r="4635" spans="1:9" ht="15.6" x14ac:dyDescent="0.3">
      <c r="A4635" s="558" t="s">
        <v>908</v>
      </c>
      <c r="B4635" s="559"/>
      <c r="C4635" s="569"/>
      <c r="D4635" s="570"/>
      <c r="E4635" s="570"/>
      <c r="F4635" s="570"/>
      <c r="G4635" s="570"/>
      <c r="H4635" s="571"/>
    </row>
    <row r="4636" spans="1:9" ht="15" x14ac:dyDescent="0.3">
      <c r="A4636" s="492" t="s">
        <v>17</v>
      </c>
      <c r="B4636" s="494" t="s">
        <v>18</v>
      </c>
      <c r="C4636" s="494" t="s">
        <v>19</v>
      </c>
      <c r="D4636" s="494" t="s">
        <v>20</v>
      </c>
      <c r="E4636" s="494" t="s">
        <v>21</v>
      </c>
      <c r="F4636" s="494" t="s">
        <v>22</v>
      </c>
      <c r="G4636" s="494"/>
      <c r="H4636" s="492" t="s">
        <v>23</v>
      </c>
    </row>
    <row r="4637" spans="1:9" ht="27.6" x14ac:dyDescent="0.3">
      <c r="A4637" s="492"/>
      <c r="B4637" s="494"/>
      <c r="C4637" s="494"/>
      <c r="D4637" s="494"/>
      <c r="E4637" s="494"/>
      <c r="F4637" s="53" t="s">
        <v>24</v>
      </c>
      <c r="G4637" s="53" t="s">
        <v>25</v>
      </c>
      <c r="H4637" s="492"/>
    </row>
    <row r="4638" spans="1:9" ht="17.25" customHeight="1" x14ac:dyDescent="0.3">
      <c r="A4638" s="57">
        <v>1</v>
      </c>
      <c r="B4638" s="113" t="s">
        <v>901</v>
      </c>
      <c r="C4638" s="57">
        <v>2</v>
      </c>
      <c r="D4638" s="169">
        <v>998719</v>
      </c>
      <c r="E4638" s="57">
        <v>16000</v>
      </c>
      <c r="F4638" s="58">
        <f>C4638*E4638*9%</f>
        <v>2880</v>
      </c>
      <c r="G4638" s="58">
        <f>C4638*E4638*9%</f>
        <v>2880</v>
      </c>
      <c r="H4638" s="59">
        <f>C4638*E4638+F4638+G4638</f>
        <v>37760</v>
      </c>
      <c r="I4638" s="362">
        <f>E4638*C4638</f>
        <v>32000</v>
      </c>
    </row>
    <row r="4639" spans="1:9" ht="17.25" customHeight="1" x14ac:dyDescent="0.3">
      <c r="A4639" s="57">
        <v>2</v>
      </c>
      <c r="B4639" s="113" t="s">
        <v>902</v>
      </c>
      <c r="C4639" s="57">
        <v>8</v>
      </c>
      <c r="D4639" s="56">
        <v>998719</v>
      </c>
      <c r="E4639" s="57">
        <v>8500</v>
      </c>
      <c r="F4639" s="58">
        <f t="shared" ref="F4639:F4642" si="36">C4639*E4639*9%</f>
        <v>6120</v>
      </c>
      <c r="G4639" s="58">
        <f t="shared" ref="G4639:G4642" si="37">C4639*E4639*9%</f>
        <v>6120</v>
      </c>
      <c r="H4639" s="59">
        <f t="shared" ref="H4639:H4642" si="38">C4639*E4639+F4639+G4639</f>
        <v>80240</v>
      </c>
      <c r="I4639" s="362">
        <f t="shared" ref="I4639:I4642" si="39">E4639*C4639</f>
        <v>68000</v>
      </c>
    </row>
    <row r="4640" spans="1:9" x14ac:dyDescent="0.3">
      <c r="A4640" s="55">
        <v>3</v>
      </c>
      <c r="B4640" s="113" t="s">
        <v>903</v>
      </c>
      <c r="C4640" s="55">
        <v>2</v>
      </c>
      <c r="D4640" s="56">
        <v>998719</v>
      </c>
      <c r="E4640" s="55">
        <v>6000</v>
      </c>
      <c r="F4640" s="58">
        <f t="shared" si="36"/>
        <v>1080</v>
      </c>
      <c r="G4640" s="58">
        <f t="shared" si="37"/>
        <v>1080</v>
      </c>
      <c r="H4640" s="59">
        <f t="shared" si="38"/>
        <v>14160</v>
      </c>
      <c r="I4640" s="362">
        <f t="shared" si="39"/>
        <v>12000</v>
      </c>
    </row>
    <row r="4641" spans="1:9" x14ac:dyDescent="0.3">
      <c r="A4641" s="90">
        <v>4</v>
      </c>
      <c r="B4641" s="113" t="s">
        <v>904</v>
      </c>
      <c r="C4641" s="55">
        <v>11</v>
      </c>
      <c r="D4641" s="56">
        <v>998719</v>
      </c>
      <c r="E4641" s="55">
        <v>4900</v>
      </c>
      <c r="F4641" s="58">
        <f t="shared" si="36"/>
        <v>4851</v>
      </c>
      <c r="G4641" s="58">
        <f t="shared" si="37"/>
        <v>4851</v>
      </c>
      <c r="H4641" s="59">
        <f t="shared" si="38"/>
        <v>63602</v>
      </c>
      <c r="I4641" s="362">
        <f t="shared" si="39"/>
        <v>53900</v>
      </c>
    </row>
    <row r="4642" spans="1:9" x14ac:dyDescent="0.3">
      <c r="A4642" s="344">
        <v>5</v>
      </c>
      <c r="B4642" s="113" t="s">
        <v>905</v>
      </c>
      <c r="C4642" s="55">
        <v>5</v>
      </c>
      <c r="D4642" s="56">
        <v>998719</v>
      </c>
      <c r="E4642" s="55">
        <v>4200</v>
      </c>
      <c r="F4642" s="58">
        <f t="shared" si="36"/>
        <v>1890</v>
      </c>
      <c r="G4642" s="58">
        <f t="shared" si="37"/>
        <v>1890</v>
      </c>
      <c r="H4642" s="59">
        <f t="shared" si="38"/>
        <v>24780</v>
      </c>
      <c r="I4642" s="362">
        <f t="shared" si="39"/>
        <v>21000</v>
      </c>
    </row>
    <row r="4643" spans="1:9" x14ac:dyDescent="0.3">
      <c r="A4643" s="90"/>
      <c r="B4643" s="132"/>
      <c r="C4643" s="24"/>
      <c r="D4643" s="164"/>
      <c r="E4643" s="24"/>
      <c r="F4643" s="165"/>
      <c r="G4643" s="165"/>
      <c r="H4643" s="166"/>
    </row>
    <row r="4644" spans="1:9" x14ac:dyDescent="0.3">
      <c r="A4644" s="27"/>
      <c r="B4644" s="132"/>
      <c r="C4644" s="24"/>
      <c r="D4644" s="25"/>
      <c r="E4644" s="25"/>
      <c r="F4644" s="165"/>
      <c r="G4644" s="165"/>
      <c r="H4644" s="166"/>
    </row>
    <row r="4645" spans="1:9" x14ac:dyDescent="0.3">
      <c r="A4645" s="27"/>
      <c r="B4645" s="28"/>
      <c r="C4645" s="24"/>
      <c r="D4645" s="25"/>
      <c r="E4645" s="25"/>
      <c r="F4645" s="165"/>
      <c r="G4645" s="165"/>
      <c r="H4645" s="166"/>
    </row>
    <row r="4646" spans="1:9" x14ac:dyDescent="0.3">
      <c r="A4646" s="27"/>
      <c r="B4646" s="28"/>
      <c r="C4646" s="24"/>
      <c r="D4646" s="25"/>
      <c r="E4646" s="25"/>
      <c r="F4646" s="165"/>
      <c r="G4646" s="165"/>
      <c r="H4646" s="166"/>
    </row>
    <row r="4647" spans="1:9" x14ac:dyDescent="0.3">
      <c r="A4647" s="27"/>
      <c r="B4647" s="28"/>
      <c r="C4647" s="24"/>
      <c r="D4647" s="25"/>
      <c r="E4647" s="25"/>
      <c r="F4647" s="28"/>
      <c r="G4647" s="28"/>
      <c r="H4647" s="32"/>
    </row>
    <row r="4648" spans="1:9" x14ac:dyDescent="0.3">
      <c r="A4648" s="27"/>
      <c r="B4648" s="28"/>
      <c r="C4648" s="24"/>
      <c r="D4648" s="25"/>
      <c r="E4648" s="25"/>
      <c r="F4648" s="28"/>
      <c r="G4648" s="28"/>
      <c r="H4648" s="32"/>
    </row>
    <row r="4649" spans="1:9" x14ac:dyDescent="0.3">
      <c r="A4649" s="27"/>
      <c r="B4649" s="28"/>
      <c r="C4649" s="24"/>
      <c r="D4649" s="25"/>
      <c r="E4649" s="25"/>
      <c r="F4649" s="28"/>
      <c r="G4649" s="28"/>
      <c r="H4649" s="32"/>
    </row>
    <row r="4650" spans="1:9" x14ac:dyDescent="0.3">
      <c r="A4650" s="27"/>
      <c r="B4650" s="28"/>
      <c r="C4650" s="24"/>
      <c r="D4650" s="25"/>
      <c r="E4650" s="25"/>
      <c r="F4650" s="28"/>
      <c r="G4650" s="28"/>
      <c r="H4650" s="32"/>
    </row>
    <row r="4651" spans="1:9" x14ac:dyDescent="0.3">
      <c r="A4651" s="27"/>
      <c r="B4651" s="28"/>
      <c r="C4651" s="24"/>
      <c r="D4651" s="25"/>
      <c r="E4651" s="25"/>
      <c r="F4651" s="28"/>
      <c r="G4651" s="28"/>
      <c r="H4651" s="32"/>
    </row>
    <row r="4652" spans="1:9" x14ac:dyDescent="0.3">
      <c r="A4652" s="27"/>
      <c r="B4652" s="28"/>
      <c r="C4652" s="24"/>
      <c r="D4652" s="25"/>
      <c r="E4652" s="25"/>
      <c r="F4652" s="28"/>
      <c r="G4652" s="28"/>
      <c r="H4652" s="32"/>
    </row>
    <row r="4653" spans="1:9" x14ac:dyDescent="0.3">
      <c r="A4653" s="27"/>
      <c r="B4653" s="28"/>
      <c r="C4653" s="24"/>
      <c r="D4653" s="25"/>
      <c r="E4653" s="25"/>
      <c r="F4653" s="28"/>
      <c r="G4653" s="28"/>
      <c r="H4653" s="32"/>
    </row>
    <row r="4654" spans="1:9" x14ac:dyDescent="0.3">
      <c r="A4654" s="27"/>
      <c r="B4654" s="28"/>
      <c r="C4654" s="24"/>
      <c r="D4654" s="25"/>
      <c r="E4654" s="25"/>
      <c r="F4654" s="28"/>
      <c r="G4654" s="28"/>
      <c r="H4654" s="32"/>
    </row>
    <row r="4655" spans="1:9" x14ac:dyDescent="0.3">
      <c r="A4655" s="27"/>
      <c r="B4655" s="28"/>
      <c r="C4655" s="24"/>
      <c r="D4655" s="25"/>
      <c r="E4655" s="25"/>
      <c r="F4655" s="28"/>
      <c r="G4655" s="28"/>
      <c r="H4655" s="32"/>
    </row>
    <row r="4656" spans="1:9" x14ac:dyDescent="0.3">
      <c r="A4656" s="27"/>
      <c r="B4656" s="28"/>
      <c r="C4656" s="24"/>
      <c r="D4656" s="25"/>
      <c r="E4656" s="25"/>
      <c r="F4656" s="28"/>
      <c r="G4656" s="28"/>
      <c r="H4656" s="32"/>
    </row>
    <row r="4657" spans="1:8" x14ac:dyDescent="0.3">
      <c r="A4657" s="27"/>
      <c r="B4657" s="28"/>
      <c r="C4657" s="24"/>
      <c r="D4657" s="25"/>
      <c r="E4657" s="25"/>
      <c r="F4657" s="28"/>
      <c r="G4657" s="28"/>
      <c r="H4657" s="32"/>
    </row>
    <row r="4658" spans="1:8" ht="15.6" x14ac:dyDescent="0.3">
      <c r="A4658" s="448" t="s">
        <v>45</v>
      </c>
      <c r="B4658" s="449"/>
      <c r="C4658" s="449"/>
      <c r="D4658" s="25"/>
      <c r="E4658" s="25"/>
      <c r="F4658" s="447" t="s">
        <v>46</v>
      </c>
      <c r="G4658" s="447"/>
      <c r="H4658" s="66">
        <v>186900</v>
      </c>
    </row>
    <row r="4659" spans="1:8" ht="15.6" x14ac:dyDescent="0.3">
      <c r="A4659" s="497" t="s">
        <v>906</v>
      </c>
      <c r="B4659" s="498"/>
      <c r="C4659" s="498"/>
      <c r="D4659" s="498"/>
      <c r="E4659" s="498"/>
      <c r="F4659" s="447" t="s">
        <v>47</v>
      </c>
      <c r="G4659" s="447"/>
      <c r="H4659" s="66">
        <f>H4658*9%</f>
        <v>16821</v>
      </c>
    </row>
    <row r="4660" spans="1:8" ht="15.6" x14ac:dyDescent="0.3">
      <c r="A4660" s="27"/>
      <c r="B4660" s="28"/>
      <c r="C4660" s="24"/>
      <c r="D4660" s="25"/>
      <c r="E4660" s="25"/>
      <c r="F4660" s="447" t="s">
        <v>48</v>
      </c>
      <c r="G4660" s="447"/>
      <c r="H4660" s="66">
        <f>H4658*9%</f>
        <v>16821</v>
      </c>
    </row>
    <row r="4661" spans="1:8" ht="15.6" x14ac:dyDescent="0.3">
      <c r="A4661" s="448" t="s">
        <v>49</v>
      </c>
      <c r="B4661" s="449"/>
      <c r="C4661" s="449"/>
      <c r="D4661" s="449"/>
      <c r="E4661" s="25"/>
      <c r="F4661" s="447" t="s">
        <v>50</v>
      </c>
      <c r="G4661" s="447"/>
      <c r="H4661" s="66">
        <v>220542</v>
      </c>
    </row>
    <row r="4662" spans="1:8" ht="27" x14ac:dyDescent="0.3">
      <c r="A4662" s="68" t="s">
        <v>22</v>
      </c>
      <c r="B4662" s="69" t="s">
        <v>51</v>
      </c>
      <c r="C4662" s="70" t="s">
        <v>24</v>
      </c>
      <c r="D4662" s="31" t="s">
        <v>25</v>
      </c>
      <c r="E4662" s="450" t="s">
        <v>52</v>
      </c>
      <c r="F4662" s="450"/>
      <c r="G4662" s="28"/>
      <c r="H4662" s="32"/>
    </row>
    <row r="4663" spans="1:8" x14ac:dyDescent="0.3">
      <c r="A4663" s="72">
        <v>0.18</v>
      </c>
      <c r="B4663" s="73">
        <f>H4658</f>
        <v>186900</v>
      </c>
      <c r="C4663" s="74">
        <f>H4659</f>
        <v>16821</v>
      </c>
      <c r="D4663" s="74">
        <f>H4660</f>
        <v>16821</v>
      </c>
      <c r="E4663" s="507">
        <f>C4663+D4663</f>
        <v>33642</v>
      </c>
      <c r="F4663" s="507"/>
      <c r="G4663" s="74"/>
      <c r="H4663" s="75"/>
    </row>
    <row r="4664" spans="1:8" x14ac:dyDescent="0.3">
      <c r="A4664" s="452" t="s">
        <v>907</v>
      </c>
      <c r="B4664" s="453"/>
      <c r="C4664" s="453"/>
      <c r="D4664" s="453"/>
      <c r="E4664" s="453"/>
      <c r="F4664" s="453"/>
      <c r="G4664" s="453"/>
      <c r="H4664" s="454"/>
    </row>
    <row r="4665" spans="1:8" ht="15.6" x14ac:dyDescent="0.3">
      <c r="A4665" s="455" t="s">
        <v>53</v>
      </c>
      <c r="B4665" s="456"/>
      <c r="C4665" s="456"/>
      <c r="D4665" s="457"/>
      <c r="E4665" s="458" t="s">
        <v>54</v>
      </c>
      <c r="F4665" s="459"/>
      <c r="G4665" s="459"/>
      <c r="H4665" s="460"/>
    </row>
    <row r="4666" spans="1:8" x14ac:dyDescent="0.3">
      <c r="A4666" s="461" t="s">
        <v>55</v>
      </c>
      <c r="B4666" s="462"/>
      <c r="C4666" s="462"/>
      <c r="D4666" s="463"/>
      <c r="E4666" s="39"/>
      <c r="F4666" s="28"/>
      <c r="G4666" s="28"/>
      <c r="H4666" s="32"/>
    </row>
    <row r="4667" spans="1:8" x14ac:dyDescent="0.3">
      <c r="A4667" s="461" t="s">
        <v>56</v>
      </c>
      <c r="B4667" s="462"/>
      <c r="C4667" s="462"/>
      <c r="D4667" s="463"/>
      <c r="E4667" s="39"/>
      <c r="F4667" s="28"/>
      <c r="G4667" s="28"/>
      <c r="H4667" s="32"/>
    </row>
    <row r="4668" spans="1:8" x14ac:dyDescent="0.3">
      <c r="A4668" s="461" t="s">
        <v>57</v>
      </c>
      <c r="B4668" s="462"/>
      <c r="C4668" s="462"/>
      <c r="D4668" s="463"/>
      <c r="E4668" s="167"/>
      <c r="H4668" s="168"/>
    </row>
    <row r="4669" spans="1:8" ht="15.6" x14ac:dyDescent="0.3">
      <c r="A4669" s="464" t="s">
        <v>58</v>
      </c>
      <c r="B4669" s="465"/>
      <c r="C4669" s="465"/>
      <c r="D4669" s="510"/>
      <c r="E4669" s="466" t="s">
        <v>59</v>
      </c>
      <c r="F4669" s="467"/>
      <c r="G4669" s="467"/>
      <c r="H4669" s="468"/>
    </row>
    <row r="4672" spans="1:8" ht="44.4" x14ac:dyDescent="0.7">
      <c r="A4672" s="469" t="s">
        <v>0</v>
      </c>
      <c r="B4672" s="470"/>
      <c r="C4672" s="470"/>
      <c r="D4672" s="470"/>
      <c r="E4672" s="531" t="s">
        <v>92</v>
      </c>
      <c r="F4672" s="544"/>
      <c r="G4672" s="544"/>
      <c r="H4672" s="545"/>
    </row>
    <row r="4673" spans="1:8" ht="20.399999999999999" x14ac:dyDescent="0.35">
      <c r="A4673" s="1"/>
      <c r="B4673" s="476" t="s">
        <v>2</v>
      </c>
      <c r="C4673" s="476"/>
      <c r="D4673" s="476"/>
      <c r="E4673" s="546"/>
      <c r="F4673" s="546"/>
      <c r="G4673" s="546"/>
      <c r="H4673" s="547"/>
    </row>
    <row r="4674" spans="1:8" x14ac:dyDescent="0.3">
      <c r="A4674" s="477" t="s">
        <v>3</v>
      </c>
      <c r="B4674" s="478"/>
      <c r="C4674" s="479" t="s">
        <v>4</v>
      </c>
      <c r="D4674" s="479"/>
      <c r="E4674" s="548" t="s">
        <v>5</v>
      </c>
      <c r="F4674" s="549"/>
      <c r="G4674" s="549"/>
      <c r="H4674" s="550"/>
    </row>
    <row r="4675" spans="1:8" ht="15.6" x14ac:dyDescent="0.3">
      <c r="A4675" s="138" t="s">
        <v>6</v>
      </c>
      <c r="B4675" s="5"/>
      <c r="C4675" s="481" t="s">
        <v>7</v>
      </c>
      <c r="D4675" s="481"/>
      <c r="E4675" s="482">
        <v>102</v>
      </c>
      <c r="F4675" s="482"/>
      <c r="G4675" s="7" t="s">
        <v>8</v>
      </c>
      <c r="H4675" s="8" t="s">
        <v>909</v>
      </c>
    </row>
    <row r="4676" spans="1:8" ht="15.6" x14ac:dyDescent="0.3">
      <c r="A4676" s="556" t="s">
        <v>910</v>
      </c>
      <c r="B4676" s="557"/>
      <c r="C4676" s="481" t="s">
        <v>10</v>
      </c>
      <c r="D4676" s="481"/>
      <c r="E4676" s="482"/>
      <c r="F4676" s="482"/>
      <c r="G4676" s="7" t="s">
        <v>8</v>
      </c>
      <c r="H4676" s="6"/>
    </row>
    <row r="4677" spans="1:8" ht="15.6" x14ac:dyDescent="0.3">
      <c r="A4677" s="577" t="s">
        <v>911</v>
      </c>
      <c r="B4677" s="578"/>
      <c r="C4677" s="481" t="s">
        <v>12</v>
      </c>
      <c r="D4677" s="481"/>
      <c r="E4677" s="482" t="s">
        <v>918</v>
      </c>
      <c r="F4677" s="482"/>
      <c r="G4677" s="7" t="s">
        <v>8</v>
      </c>
      <c r="H4677" s="8"/>
    </row>
    <row r="4678" spans="1:8" ht="15.6" x14ac:dyDescent="0.3">
      <c r="A4678" s="556" t="s">
        <v>912</v>
      </c>
      <c r="B4678" s="557"/>
      <c r="C4678" s="481" t="s">
        <v>15</v>
      </c>
      <c r="D4678" s="481"/>
      <c r="E4678" s="566" t="s">
        <v>913</v>
      </c>
      <c r="F4678" s="567"/>
      <c r="G4678" s="567"/>
      <c r="H4678" s="568"/>
    </row>
    <row r="4679" spans="1:8" ht="15.6" x14ac:dyDescent="0.3">
      <c r="A4679" s="558" t="s">
        <v>914</v>
      </c>
      <c r="B4679" s="559"/>
      <c r="C4679" s="569"/>
      <c r="D4679" s="570"/>
      <c r="E4679" s="570"/>
      <c r="F4679" s="570"/>
      <c r="G4679" s="570"/>
      <c r="H4679" s="571"/>
    </row>
    <row r="4680" spans="1:8" ht="15" x14ac:dyDescent="0.3">
      <c r="A4680" s="492" t="s">
        <v>17</v>
      </c>
      <c r="B4680" s="494" t="s">
        <v>18</v>
      </c>
      <c r="C4680" s="494" t="s">
        <v>19</v>
      </c>
      <c r="D4680" s="494" t="s">
        <v>20</v>
      </c>
      <c r="E4680" s="494" t="s">
        <v>21</v>
      </c>
      <c r="F4680" s="494" t="s">
        <v>22</v>
      </c>
      <c r="G4680" s="494"/>
      <c r="H4680" s="492" t="s">
        <v>23</v>
      </c>
    </row>
    <row r="4681" spans="1:8" ht="27.6" x14ac:dyDescent="0.3">
      <c r="A4681" s="492"/>
      <c r="B4681" s="494"/>
      <c r="C4681" s="494"/>
      <c r="D4681" s="494"/>
      <c r="E4681" s="494"/>
      <c r="F4681" s="53" t="s">
        <v>24</v>
      </c>
      <c r="G4681" s="53" t="s">
        <v>25</v>
      </c>
      <c r="H4681" s="492"/>
    </row>
    <row r="4682" spans="1:8" x14ac:dyDescent="0.3">
      <c r="A4682" s="57">
        <v>1</v>
      </c>
      <c r="B4682" s="113" t="s">
        <v>915</v>
      </c>
      <c r="C4682" s="57">
        <v>1</v>
      </c>
      <c r="D4682" s="169">
        <v>85372000</v>
      </c>
      <c r="E4682" s="15">
        <v>325000</v>
      </c>
      <c r="F4682" s="58">
        <f>C4682*E4682*9%</f>
        <v>29250</v>
      </c>
      <c r="G4682" s="58">
        <f>C4682*E4682*9%</f>
        <v>29250</v>
      </c>
      <c r="H4682" s="59">
        <f>C4682*E4682+F4682+G4682</f>
        <v>383500</v>
      </c>
    </row>
    <row r="4683" spans="1:8" x14ac:dyDescent="0.3">
      <c r="A4683" s="57"/>
      <c r="B4683" s="113"/>
      <c r="C4683" s="57"/>
      <c r="D4683" s="56"/>
      <c r="E4683" s="57"/>
      <c r="F4683" s="58"/>
      <c r="G4683" s="58"/>
      <c r="H4683" s="59"/>
    </row>
    <row r="4684" spans="1:8" x14ac:dyDescent="0.3">
      <c r="A4684" s="55"/>
      <c r="B4684" s="113"/>
      <c r="C4684" s="55"/>
      <c r="D4684" s="56"/>
      <c r="E4684" s="55"/>
      <c r="F4684" s="58"/>
      <c r="G4684" s="58"/>
      <c r="H4684" s="59"/>
    </row>
    <row r="4685" spans="1:8" x14ac:dyDescent="0.3">
      <c r="A4685" s="90"/>
      <c r="B4685" s="113"/>
      <c r="C4685" s="55"/>
      <c r="D4685" s="56"/>
      <c r="E4685" s="55"/>
      <c r="F4685" s="58"/>
      <c r="G4685" s="58"/>
      <c r="H4685" s="59"/>
    </row>
    <row r="4686" spans="1:8" x14ac:dyDescent="0.3">
      <c r="A4686" s="344"/>
      <c r="B4686" s="113"/>
      <c r="C4686" s="55"/>
      <c r="D4686" s="56"/>
      <c r="E4686" s="55"/>
      <c r="F4686" s="58"/>
      <c r="G4686" s="58"/>
      <c r="H4686" s="59"/>
    </row>
    <row r="4687" spans="1:8" x14ac:dyDescent="0.3">
      <c r="A4687" s="90"/>
      <c r="B4687" s="132"/>
      <c r="C4687" s="24"/>
      <c r="D4687" s="164"/>
      <c r="E4687" s="24"/>
      <c r="F4687" s="165"/>
      <c r="G4687" s="165"/>
      <c r="H4687" s="166"/>
    </row>
    <row r="4688" spans="1:8" x14ac:dyDescent="0.3">
      <c r="A4688" s="27"/>
      <c r="B4688" s="132"/>
      <c r="C4688" s="24"/>
      <c r="D4688" s="25"/>
      <c r="E4688" s="25"/>
      <c r="F4688" s="165"/>
      <c r="G4688" s="165"/>
      <c r="H4688" s="166"/>
    </row>
    <row r="4689" spans="1:8" x14ac:dyDescent="0.3">
      <c r="A4689" s="27"/>
      <c r="B4689" s="132"/>
      <c r="C4689" s="24"/>
      <c r="D4689" s="25"/>
      <c r="E4689" s="25"/>
      <c r="F4689" s="165"/>
      <c r="G4689" s="165"/>
      <c r="H4689" s="166"/>
    </row>
    <row r="4690" spans="1:8" x14ac:dyDescent="0.3">
      <c r="A4690" s="27"/>
      <c r="B4690" s="132"/>
      <c r="C4690" s="24"/>
      <c r="D4690" s="25"/>
      <c r="E4690" s="25"/>
      <c r="F4690" s="165"/>
      <c r="G4690" s="165"/>
      <c r="H4690" s="166"/>
    </row>
    <row r="4691" spans="1:8" x14ac:dyDescent="0.3">
      <c r="A4691" s="27"/>
      <c r="B4691" s="132"/>
      <c r="C4691" s="24"/>
      <c r="D4691" s="25"/>
      <c r="E4691" s="25"/>
      <c r="F4691" s="165"/>
      <c r="G4691" s="165"/>
      <c r="H4691" s="166"/>
    </row>
    <row r="4692" spans="1:8" x14ac:dyDescent="0.3">
      <c r="A4692" s="27"/>
      <c r="B4692" s="28"/>
      <c r="C4692" s="24"/>
      <c r="D4692" s="25"/>
      <c r="E4692" s="25"/>
      <c r="F4692" s="165"/>
      <c r="G4692" s="165"/>
      <c r="H4692" s="166"/>
    </row>
    <row r="4693" spans="1:8" x14ac:dyDescent="0.3">
      <c r="A4693" s="27"/>
      <c r="B4693" s="28"/>
      <c r="C4693" s="24"/>
      <c r="D4693" s="25"/>
      <c r="E4693" s="25"/>
      <c r="F4693" s="165"/>
      <c r="G4693" s="165"/>
      <c r="H4693" s="166"/>
    </row>
    <row r="4694" spans="1:8" x14ac:dyDescent="0.3">
      <c r="A4694" s="27"/>
      <c r="B4694" s="28"/>
      <c r="C4694" s="24"/>
      <c r="D4694" s="25"/>
      <c r="E4694" s="25"/>
      <c r="F4694" s="28"/>
      <c r="G4694" s="28"/>
      <c r="H4694" s="32"/>
    </row>
    <row r="4695" spans="1:8" x14ac:dyDescent="0.3">
      <c r="A4695" s="27"/>
      <c r="B4695" s="28"/>
      <c r="C4695" s="24"/>
      <c r="D4695" s="25"/>
      <c r="E4695" s="25"/>
      <c r="F4695" s="28"/>
      <c r="G4695" s="28"/>
      <c r="H4695" s="32"/>
    </row>
    <row r="4696" spans="1:8" x14ac:dyDescent="0.3">
      <c r="A4696" s="27"/>
      <c r="B4696" s="28"/>
      <c r="C4696" s="24"/>
      <c r="D4696" s="25"/>
      <c r="E4696" s="25"/>
      <c r="F4696" s="28"/>
      <c r="G4696" s="28"/>
      <c r="H4696" s="32"/>
    </row>
    <row r="4697" spans="1:8" x14ac:dyDescent="0.3">
      <c r="A4697" s="27"/>
      <c r="B4697" s="28"/>
      <c r="C4697" s="24"/>
      <c r="D4697" s="25"/>
      <c r="E4697" s="25"/>
      <c r="F4697" s="28"/>
      <c r="G4697" s="28"/>
      <c r="H4697" s="32"/>
    </row>
    <row r="4698" spans="1:8" x14ac:dyDescent="0.3">
      <c r="A4698" s="27"/>
      <c r="B4698" s="28"/>
      <c r="C4698" s="24"/>
      <c r="D4698" s="25"/>
      <c r="E4698" s="25"/>
      <c r="F4698" s="28"/>
      <c r="G4698" s="28"/>
      <c r="H4698" s="32"/>
    </row>
    <row r="4699" spans="1:8" x14ac:dyDescent="0.3">
      <c r="A4699" s="27"/>
      <c r="B4699" s="28"/>
      <c r="C4699" s="24"/>
      <c r="D4699" s="25"/>
      <c r="E4699" s="25"/>
      <c r="F4699" s="28"/>
      <c r="G4699" s="28"/>
      <c r="H4699" s="32"/>
    </row>
    <row r="4700" spans="1:8" x14ac:dyDescent="0.3">
      <c r="A4700" s="27"/>
      <c r="B4700" s="28"/>
      <c r="C4700" s="24"/>
      <c r="D4700" s="25"/>
      <c r="E4700" s="25"/>
      <c r="F4700" s="28"/>
      <c r="G4700" s="28"/>
      <c r="H4700" s="32"/>
    </row>
    <row r="4701" spans="1:8" x14ac:dyDescent="0.3">
      <c r="A4701" s="27"/>
      <c r="B4701" s="28"/>
      <c r="C4701" s="24"/>
      <c r="D4701" s="25"/>
      <c r="E4701" s="25"/>
      <c r="F4701" s="28"/>
      <c r="G4701" s="28"/>
      <c r="H4701" s="32"/>
    </row>
    <row r="4702" spans="1:8" x14ac:dyDescent="0.3">
      <c r="A4702" s="27"/>
      <c r="B4702" s="28"/>
      <c r="C4702" s="24"/>
      <c r="D4702" s="25"/>
      <c r="E4702" s="25"/>
      <c r="F4702" s="28"/>
      <c r="G4702" s="28"/>
      <c r="H4702" s="32"/>
    </row>
    <row r="4703" spans="1:8" x14ac:dyDescent="0.3">
      <c r="A4703" s="27"/>
      <c r="B4703" s="28"/>
      <c r="C4703" s="24"/>
      <c r="D4703" s="25"/>
      <c r="E4703" s="25"/>
      <c r="F4703" s="28"/>
      <c r="G4703" s="28"/>
      <c r="H4703" s="32"/>
    </row>
    <row r="4704" spans="1:8" x14ac:dyDescent="0.3">
      <c r="A4704" s="27"/>
      <c r="B4704" s="28"/>
      <c r="C4704" s="24"/>
      <c r="D4704" s="25"/>
      <c r="E4704" s="25"/>
      <c r="F4704" s="28"/>
      <c r="G4704" s="28"/>
      <c r="H4704" s="32"/>
    </row>
    <row r="4705" spans="1:8" ht="15.6" x14ac:dyDescent="0.3">
      <c r="A4705" s="448" t="s">
        <v>45</v>
      </c>
      <c r="B4705" s="449"/>
      <c r="C4705" s="449"/>
      <c r="D4705" s="25"/>
      <c r="E4705" s="25"/>
      <c r="F4705" s="447" t="s">
        <v>46</v>
      </c>
      <c r="G4705" s="447"/>
      <c r="H4705" s="66">
        <v>325000</v>
      </c>
    </row>
    <row r="4706" spans="1:8" ht="15.6" x14ac:dyDescent="0.3">
      <c r="A4706" s="497" t="s">
        <v>916</v>
      </c>
      <c r="B4706" s="498"/>
      <c r="C4706" s="498"/>
      <c r="D4706" s="498"/>
      <c r="E4706" s="498"/>
      <c r="F4706" s="447" t="s">
        <v>47</v>
      </c>
      <c r="G4706" s="447"/>
      <c r="H4706" s="66">
        <f>H4705*9%</f>
        <v>29250</v>
      </c>
    </row>
    <row r="4707" spans="1:8" ht="15.6" x14ac:dyDescent="0.3">
      <c r="A4707" s="27"/>
      <c r="B4707" s="28"/>
      <c r="C4707" s="24"/>
      <c r="D4707" s="25"/>
      <c r="E4707" s="25"/>
      <c r="F4707" s="447" t="s">
        <v>48</v>
      </c>
      <c r="G4707" s="447"/>
      <c r="H4707" s="66">
        <f>H4705*9%</f>
        <v>29250</v>
      </c>
    </row>
    <row r="4708" spans="1:8" ht="15.6" x14ac:dyDescent="0.3">
      <c r="A4708" s="448" t="s">
        <v>49</v>
      </c>
      <c r="B4708" s="449"/>
      <c r="C4708" s="449"/>
      <c r="D4708" s="449"/>
      <c r="E4708" s="25"/>
      <c r="F4708" s="447" t="s">
        <v>50</v>
      </c>
      <c r="G4708" s="447"/>
      <c r="H4708" s="66">
        <f>SUM(H4705:H4707)</f>
        <v>383500</v>
      </c>
    </row>
    <row r="4709" spans="1:8" ht="27" x14ac:dyDescent="0.3">
      <c r="A4709" s="68" t="s">
        <v>22</v>
      </c>
      <c r="B4709" s="69" t="s">
        <v>51</v>
      </c>
      <c r="C4709" s="70" t="s">
        <v>24</v>
      </c>
      <c r="D4709" s="31" t="s">
        <v>25</v>
      </c>
      <c r="E4709" s="450" t="s">
        <v>52</v>
      </c>
      <c r="F4709" s="450"/>
      <c r="G4709" s="28"/>
      <c r="H4709" s="32"/>
    </row>
    <row r="4710" spans="1:8" x14ac:dyDescent="0.3">
      <c r="A4710" s="72">
        <v>0.18</v>
      </c>
      <c r="B4710" s="73">
        <f>H4705</f>
        <v>325000</v>
      </c>
      <c r="C4710" s="74">
        <f>H4706</f>
        <v>29250</v>
      </c>
      <c r="D4710" s="74">
        <f>H4707</f>
        <v>29250</v>
      </c>
      <c r="E4710" s="507">
        <f>C4710+D4710</f>
        <v>58500</v>
      </c>
      <c r="F4710" s="507"/>
      <c r="G4710" s="74"/>
      <c r="H4710" s="75"/>
    </row>
    <row r="4711" spans="1:8" x14ac:dyDescent="0.3">
      <c r="A4711" s="452" t="s">
        <v>917</v>
      </c>
      <c r="B4711" s="453"/>
      <c r="C4711" s="453"/>
      <c r="D4711" s="453"/>
      <c r="E4711" s="453"/>
      <c r="F4711" s="453"/>
      <c r="G4711" s="453"/>
      <c r="H4711" s="454"/>
    </row>
    <row r="4712" spans="1:8" ht="15.6" x14ac:dyDescent="0.3">
      <c r="A4712" s="455" t="s">
        <v>53</v>
      </c>
      <c r="B4712" s="456"/>
      <c r="C4712" s="456"/>
      <c r="D4712" s="457"/>
      <c r="E4712" s="458" t="s">
        <v>54</v>
      </c>
      <c r="F4712" s="459"/>
      <c r="G4712" s="459"/>
      <c r="H4712" s="460"/>
    </row>
    <row r="4713" spans="1:8" x14ac:dyDescent="0.3">
      <c r="A4713" s="461" t="s">
        <v>55</v>
      </c>
      <c r="B4713" s="462"/>
      <c r="C4713" s="462"/>
      <c r="D4713" s="463"/>
      <c r="E4713" s="39"/>
      <c r="F4713" s="28"/>
      <c r="G4713" s="28"/>
      <c r="H4713" s="32"/>
    </row>
    <row r="4714" spans="1:8" x14ac:dyDescent="0.3">
      <c r="A4714" s="461" t="s">
        <v>56</v>
      </c>
      <c r="B4714" s="462"/>
      <c r="C4714" s="462"/>
      <c r="D4714" s="463"/>
      <c r="E4714" s="39"/>
      <c r="F4714" s="28"/>
      <c r="G4714" s="28"/>
      <c r="H4714" s="32"/>
    </row>
    <row r="4715" spans="1:8" x14ac:dyDescent="0.3">
      <c r="A4715" s="461" t="s">
        <v>57</v>
      </c>
      <c r="B4715" s="462"/>
      <c r="C4715" s="462"/>
      <c r="D4715" s="463"/>
      <c r="E4715" s="167"/>
      <c r="H4715" s="168"/>
    </row>
    <row r="4716" spans="1:8" ht="15.6" x14ac:dyDescent="0.3">
      <c r="A4716" s="464" t="s">
        <v>58</v>
      </c>
      <c r="B4716" s="465"/>
      <c r="C4716" s="465"/>
      <c r="D4716" s="510"/>
      <c r="E4716" s="466" t="s">
        <v>59</v>
      </c>
      <c r="F4716" s="467"/>
      <c r="G4716" s="467"/>
      <c r="H4716" s="468"/>
    </row>
    <row r="4719" spans="1:8" ht="44.4" x14ac:dyDescent="0.7">
      <c r="A4719" s="469" t="s">
        <v>0</v>
      </c>
      <c r="B4719" s="470"/>
      <c r="C4719" s="470"/>
      <c r="D4719" s="470"/>
      <c r="E4719" s="531" t="s">
        <v>92</v>
      </c>
      <c r="F4719" s="544"/>
      <c r="G4719" s="544"/>
      <c r="H4719" s="545"/>
    </row>
    <row r="4720" spans="1:8" ht="20.399999999999999" x14ac:dyDescent="0.35">
      <c r="A4720" s="1"/>
      <c r="B4720" s="476" t="s">
        <v>2</v>
      </c>
      <c r="C4720" s="476"/>
      <c r="D4720" s="476"/>
      <c r="E4720" s="546"/>
      <c r="F4720" s="546"/>
      <c r="G4720" s="546"/>
      <c r="H4720" s="547"/>
    </row>
    <row r="4721" spans="1:9" x14ac:dyDescent="0.3">
      <c r="A4721" s="477" t="s">
        <v>3</v>
      </c>
      <c r="B4721" s="478"/>
      <c r="C4721" s="479" t="s">
        <v>4</v>
      </c>
      <c r="D4721" s="479"/>
      <c r="E4721" s="548" t="s">
        <v>5</v>
      </c>
      <c r="F4721" s="549"/>
      <c r="G4721" s="549"/>
      <c r="H4721" s="550"/>
    </row>
    <row r="4722" spans="1:9" ht="15.6" x14ac:dyDescent="0.3">
      <c r="A4722" s="138" t="s">
        <v>6</v>
      </c>
      <c r="B4722" s="5"/>
      <c r="C4722" s="481" t="s">
        <v>7</v>
      </c>
      <c r="D4722" s="481"/>
      <c r="E4722" s="482">
        <v>103</v>
      </c>
      <c r="F4722" s="482"/>
      <c r="G4722" s="7" t="s">
        <v>8</v>
      </c>
      <c r="H4722" s="8" t="s">
        <v>909</v>
      </c>
    </row>
    <row r="4723" spans="1:9" ht="15.6" x14ac:dyDescent="0.3">
      <c r="A4723" s="556" t="s">
        <v>919</v>
      </c>
      <c r="B4723" s="557"/>
      <c r="C4723" s="481" t="s">
        <v>10</v>
      </c>
      <c r="D4723" s="481"/>
      <c r="E4723" s="482"/>
      <c r="F4723" s="482"/>
      <c r="G4723" s="7" t="s">
        <v>8</v>
      </c>
      <c r="H4723" s="6"/>
    </row>
    <row r="4724" spans="1:9" ht="15.6" x14ac:dyDescent="0.3">
      <c r="A4724" s="577" t="s">
        <v>920</v>
      </c>
      <c r="B4724" s="578"/>
      <c r="C4724" s="481" t="s">
        <v>12</v>
      </c>
      <c r="D4724" s="481"/>
      <c r="E4724" s="482" t="s">
        <v>930</v>
      </c>
      <c r="F4724" s="482"/>
      <c r="G4724" s="7" t="s">
        <v>8</v>
      </c>
      <c r="H4724" s="8" t="s">
        <v>923</v>
      </c>
    </row>
    <row r="4725" spans="1:9" ht="15.6" x14ac:dyDescent="0.3">
      <c r="A4725" s="556" t="s">
        <v>921</v>
      </c>
      <c r="B4725" s="557"/>
      <c r="C4725" s="481" t="s">
        <v>15</v>
      </c>
      <c r="D4725" s="481"/>
      <c r="E4725" s="566" t="s">
        <v>533</v>
      </c>
      <c r="F4725" s="567"/>
      <c r="G4725" s="567"/>
      <c r="H4725" s="568"/>
    </row>
    <row r="4726" spans="1:9" ht="15.6" x14ac:dyDescent="0.3">
      <c r="A4726" s="558" t="s">
        <v>922</v>
      </c>
      <c r="B4726" s="559"/>
      <c r="C4726" s="569"/>
      <c r="D4726" s="570"/>
      <c r="E4726" s="570"/>
      <c r="F4726" s="570"/>
      <c r="G4726" s="570"/>
      <c r="H4726" s="571"/>
    </row>
    <row r="4727" spans="1:9" ht="15" x14ac:dyDescent="0.3">
      <c r="A4727" s="492" t="s">
        <v>17</v>
      </c>
      <c r="B4727" s="494" t="s">
        <v>18</v>
      </c>
      <c r="C4727" s="494" t="s">
        <v>19</v>
      </c>
      <c r="D4727" s="494" t="s">
        <v>20</v>
      </c>
      <c r="E4727" s="494" t="s">
        <v>21</v>
      </c>
      <c r="F4727" s="494" t="s">
        <v>22</v>
      </c>
      <c r="G4727" s="494"/>
      <c r="H4727" s="492" t="s">
        <v>23</v>
      </c>
    </row>
    <row r="4728" spans="1:9" ht="27.6" x14ac:dyDescent="0.3">
      <c r="A4728" s="492"/>
      <c r="B4728" s="494"/>
      <c r="C4728" s="494"/>
      <c r="D4728" s="494"/>
      <c r="E4728" s="494"/>
      <c r="F4728" s="53" t="s">
        <v>24</v>
      </c>
      <c r="G4728" s="53" t="s">
        <v>25</v>
      </c>
      <c r="H4728" s="492"/>
    </row>
    <row r="4729" spans="1:9" x14ac:dyDescent="0.3">
      <c r="A4729" s="57">
        <v>1</v>
      </c>
      <c r="B4729" s="113" t="s">
        <v>924</v>
      </c>
      <c r="C4729" s="57">
        <v>1</v>
      </c>
      <c r="D4729" s="169">
        <v>85389000</v>
      </c>
      <c r="E4729" s="15">
        <v>7980</v>
      </c>
      <c r="F4729" s="58">
        <f>C4729*E4729*9%</f>
        <v>718.19999999999993</v>
      </c>
      <c r="G4729" s="58">
        <f>C4729*E4729*9%</f>
        <v>718.19999999999993</v>
      </c>
      <c r="H4729" s="59">
        <f>C4729*E4729+F4729+G4729</f>
        <v>9416.4000000000015</v>
      </c>
      <c r="I4729" s="362">
        <f>E4729*C4729</f>
        <v>7980</v>
      </c>
    </row>
    <row r="4730" spans="1:9" x14ac:dyDescent="0.3">
      <c r="A4730" s="57">
        <v>2</v>
      </c>
      <c r="B4730" s="113" t="s">
        <v>925</v>
      </c>
      <c r="C4730" s="57">
        <v>1</v>
      </c>
      <c r="D4730" s="56">
        <v>85043100</v>
      </c>
      <c r="E4730" s="57">
        <v>1200</v>
      </c>
      <c r="F4730" s="58">
        <f t="shared" ref="F4730:F4732" si="40">C4730*E4730*9%</f>
        <v>108</v>
      </c>
      <c r="G4730" s="58">
        <f t="shared" ref="G4730:G4732" si="41">C4730*E4730*9%</f>
        <v>108</v>
      </c>
      <c r="H4730" s="59">
        <f t="shared" ref="H4730:H4732" si="42">C4730*E4730+F4730+G4730</f>
        <v>1416</v>
      </c>
      <c r="I4730" s="362">
        <f t="shared" ref="I4730:I4733" si="43">E4730*C4730</f>
        <v>1200</v>
      </c>
    </row>
    <row r="4731" spans="1:9" x14ac:dyDescent="0.3">
      <c r="A4731" s="55">
        <v>3</v>
      </c>
      <c r="B4731" s="113" t="s">
        <v>926</v>
      </c>
      <c r="C4731" s="55">
        <v>1</v>
      </c>
      <c r="D4731" s="56">
        <v>998719</v>
      </c>
      <c r="E4731" s="55">
        <v>800</v>
      </c>
      <c r="F4731" s="58">
        <f t="shared" si="40"/>
        <v>72</v>
      </c>
      <c r="G4731" s="58">
        <f t="shared" si="41"/>
        <v>72</v>
      </c>
      <c r="H4731" s="59">
        <f t="shared" si="42"/>
        <v>944</v>
      </c>
      <c r="I4731" s="362">
        <f t="shared" si="43"/>
        <v>800</v>
      </c>
    </row>
    <row r="4732" spans="1:9" x14ac:dyDescent="0.3">
      <c r="A4732" s="90">
        <v>4</v>
      </c>
      <c r="B4732" s="113" t="s">
        <v>927</v>
      </c>
      <c r="C4732" s="55">
        <v>1</v>
      </c>
      <c r="D4732" s="56">
        <v>85043100</v>
      </c>
      <c r="E4732" s="55">
        <v>16500</v>
      </c>
      <c r="F4732" s="58">
        <f t="shared" si="40"/>
        <v>1485</v>
      </c>
      <c r="G4732" s="58">
        <f t="shared" si="41"/>
        <v>1485</v>
      </c>
      <c r="H4732" s="59">
        <f t="shared" si="42"/>
        <v>19470</v>
      </c>
      <c r="I4732" s="362">
        <f t="shared" si="43"/>
        <v>16500</v>
      </c>
    </row>
    <row r="4733" spans="1:9" x14ac:dyDescent="0.3">
      <c r="A4733" s="344"/>
      <c r="B4733" s="113"/>
      <c r="C4733" s="55"/>
      <c r="D4733" s="56"/>
      <c r="E4733" s="55"/>
      <c r="F4733" s="58"/>
      <c r="G4733" s="58"/>
      <c r="H4733" s="59"/>
      <c r="I4733" s="362">
        <f t="shared" si="43"/>
        <v>0</v>
      </c>
    </row>
    <row r="4734" spans="1:9" x14ac:dyDescent="0.3">
      <c r="A4734" s="90"/>
      <c r="B4734" s="132"/>
      <c r="C4734" s="24"/>
      <c r="D4734" s="164"/>
      <c r="E4734" s="24"/>
      <c r="F4734" s="165"/>
      <c r="G4734" s="165"/>
      <c r="H4734" s="166"/>
    </row>
    <row r="4735" spans="1:9" x14ac:dyDescent="0.3">
      <c r="A4735" s="27"/>
      <c r="B4735" s="132"/>
      <c r="C4735" s="24"/>
      <c r="D4735" s="25"/>
      <c r="E4735" s="25"/>
      <c r="F4735" s="165"/>
      <c r="G4735" s="165"/>
      <c r="H4735" s="166"/>
    </row>
    <row r="4736" spans="1:9" x14ac:dyDescent="0.3">
      <c r="A4736" s="27"/>
      <c r="B4736" s="28"/>
      <c r="C4736" s="24"/>
      <c r="D4736" s="25"/>
      <c r="E4736" s="25"/>
      <c r="F4736" s="165"/>
      <c r="G4736" s="165"/>
      <c r="H4736" s="166"/>
    </row>
    <row r="4737" spans="1:8" x14ac:dyDescent="0.3">
      <c r="A4737" s="27"/>
      <c r="B4737" s="28"/>
      <c r="C4737" s="24"/>
      <c r="D4737" s="25"/>
      <c r="E4737" s="25"/>
      <c r="F4737" s="165"/>
      <c r="G4737" s="165"/>
      <c r="H4737" s="166"/>
    </row>
    <row r="4738" spans="1:8" x14ac:dyDescent="0.3">
      <c r="A4738" s="27"/>
      <c r="B4738" s="28"/>
      <c r="C4738" s="24"/>
      <c r="D4738" s="25"/>
      <c r="E4738" s="25"/>
      <c r="F4738" s="28"/>
      <c r="G4738" s="28"/>
      <c r="H4738" s="32"/>
    </row>
    <row r="4739" spans="1:8" x14ac:dyDescent="0.3">
      <c r="A4739" s="27"/>
      <c r="B4739" s="28"/>
      <c r="C4739" s="24"/>
      <c r="D4739" s="25"/>
      <c r="E4739" s="25"/>
      <c r="F4739" s="28"/>
      <c r="G4739" s="28"/>
      <c r="H4739" s="32"/>
    </row>
    <row r="4740" spans="1:8" x14ac:dyDescent="0.3">
      <c r="A4740" s="27"/>
      <c r="B4740" s="396"/>
      <c r="C4740" s="24"/>
      <c r="D4740" s="25"/>
      <c r="E4740" s="25"/>
      <c r="F4740" s="28"/>
      <c r="G4740" s="28"/>
      <c r="H4740" s="32"/>
    </row>
    <row r="4741" spans="1:8" x14ac:dyDescent="0.3">
      <c r="A4741" s="27"/>
      <c r="B4741" s="28"/>
      <c r="C4741" s="24"/>
      <c r="D4741" s="25"/>
      <c r="E4741" s="25"/>
      <c r="F4741" s="28"/>
      <c r="G4741" s="28"/>
      <c r="H4741" s="32"/>
    </row>
    <row r="4742" spans="1:8" x14ac:dyDescent="0.3">
      <c r="A4742" s="27"/>
      <c r="B4742" s="28"/>
      <c r="C4742" s="24"/>
      <c r="D4742" s="25"/>
      <c r="E4742" s="25"/>
      <c r="F4742" s="28"/>
      <c r="G4742" s="28"/>
      <c r="H4742" s="32"/>
    </row>
    <row r="4743" spans="1:8" x14ac:dyDescent="0.3">
      <c r="A4743" s="27"/>
      <c r="B4743" s="28"/>
      <c r="C4743" s="24"/>
      <c r="D4743" s="25"/>
      <c r="E4743" s="25"/>
      <c r="F4743" s="28"/>
      <c r="G4743" s="28"/>
      <c r="H4743" s="32"/>
    </row>
    <row r="4744" spans="1:8" x14ac:dyDescent="0.3">
      <c r="A4744" s="27"/>
      <c r="B4744" s="28"/>
      <c r="C4744" s="24"/>
      <c r="D4744" s="25"/>
      <c r="E4744" s="25"/>
      <c r="F4744" s="28"/>
      <c r="G4744" s="28"/>
      <c r="H4744" s="32"/>
    </row>
    <row r="4745" spans="1:8" x14ac:dyDescent="0.3">
      <c r="A4745" s="27"/>
      <c r="B4745" s="28"/>
      <c r="C4745" s="24"/>
      <c r="D4745" s="25"/>
      <c r="E4745" s="25"/>
      <c r="F4745" s="28"/>
      <c r="G4745" s="28"/>
      <c r="H4745" s="32"/>
    </row>
    <row r="4746" spans="1:8" x14ac:dyDescent="0.3">
      <c r="A4746" s="27"/>
      <c r="B4746" s="28"/>
      <c r="C4746" s="24"/>
      <c r="D4746" s="25"/>
      <c r="E4746" s="25"/>
      <c r="F4746" s="28"/>
      <c r="G4746" s="28"/>
      <c r="H4746" s="32"/>
    </row>
    <row r="4747" spans="1:8" x14ac:dyDescent="0.3">
      <c r="A4747" s="27"/>
      <c r="B4747" s="28"/>
      <c r="C4747" s="24"/>
      <c r="D4747" s="25"/>
      <c r="E4747" s="25"/>
      <c r="F4747" s="28"/>
      <c r="G4747" s="28"/>
      <c r="H4747" s="32"/>
    </row>
    <row r="4748" spans="1:8" x14ac:dyDescent="0.3">
      <c r="A4748" s="27"/>
      <c r="B4748" s="28"/>
      <c r="C4748" s="24"/>
      <c r="D4748" s="25"/>
      <c r="E4748" s="25"/>
      <c r="F4748" s="28"/>
      <c r="G4748" s="28"/>
      <c r="H4748" s="32"/>
    </row>
    <row r="4749" spans="1:8" ht="15.6" x14ac:dyDescent="0.3">
      <c r="A4749" s="448" t="s">
        <v>45</v>
      </c>
      <c r="B4749" s="449"/>
      <c r="C4749" s="449"/>
      <c r="D4749" s="25"/>
      <c r="E4749" s="25"/>
      <c r="F4749" s="447" t="s">
        <v>46</v>
      </c>
      <c r="G4749" s="447"/>
      <c r="H4749" s="66">
        <f>SUM(E4729:E4732)</f>
        <v>26480</v>
      </c>
    </row>
    <row r="4750" spans="1:8" ht="15.6" x14ac:dyDescent="0.3">
      <c r="A4750" s="497" t="s">
        <v>929</v>
      </c>
      <c r="B4750" s="498"/>
      <c r="C4750" s="498"/>
      <c r="D4750" s="498"/>
      <c r="E4750" s="498"/>
      <c r="F4750" s="447" t="s">
        <v>47</v>
      </c>
      <c r="G4750" s="447"/>
      <c r="H4750" s="66">
        <f>H4749*9%</f>
        <v>2383.1999999999998</v>
      </c>
    </row>
    <row r="4751" spans="1:8" ht="15.6" x14ac:dyDescent="0.3">
      <c r="A4751" s="27"/>
      <c r="B4751" s="28"/>
      <c r="C4751" s="24"/>
      <c r="D4751" s="25"/>
      <c r="E4751" s="25"/>
      <c r="F4751" s="447" t="s">
        <v>48</v>
      </c>
      <c r="G4751" s="447"/>
      <c r="H4751" s="66">
        <f>H4749*9%</f>
        <v>2383.1999999999998</v>
      </c>
    </row>
    <row r="4752" spans="1:8" ht="15.6" x14ac:dyDescent="0.3">
      <c r="A4752" s="448" t="s">
        <v>49</v>
      </c>
      <c r="B4752" s="449"/>
      <c r="C4752" s="449"/>
      <c r="D4752" s="449"/>
      <c r="E4752" s="25"/>
      <c r="F4752" s="447" t="s">
        <v>50</v>
      </c>
      <c r="G4752" s="447"/>
      <c r="H4752" s="66">
        <f>SUM(H4749:H4751)</f>
        <v>31246.400000000001</v>
      </c>
    </row>
    <row r="4753" spans="1:8" ht="27" x14ac:dyDescent="0.3">
      <c r="A4753" s="68" t="s">
        <v>22</v>
      </c>
      <c r="B4753" s="69" t="s">
        <v>51</v>
      </c>
      <c r="C4753" s="70" t="s">
        <v>24</v>
      </c>
      <c r="D4753" s="31" t="s">
        <v>25</v>
      </c>
      <c r="E4753" s="450" t="s">
        <v>52</v>
      </c>
      <c r="F4753" s="450"/>
      <c r="G4753" s="28"/>
      <c r="H4753" s="32"/>
    </row>
    <row r="4754" spans="1:8" x14ac:dyDescent="0.3">
      <c r="A4754" s="72">
        <v>0.18</v>
      </c>
      <c r="B4754" s="73">
        <f>H4749</f>
        <v>26480</v>
      </c>
      <c r="C4754" s="74">
        <f>H4750</f>
        <v>2383.1999999999998</v>
      </c>
      <c r="D4754" s="74">
        <f>H4751</f>
        <v>2383.1999999999998</v>
      </c>
      <c r="E4754" s="507">
        <f>C4754+D4754</f>
        <v>4766.3999999999996</v>
      </c>
      <c r="F4754" s="507"/>
      <c r="G4754" s="74"/>
      <c r="H4754" s="75"/>
    </row>
    <row r="4755" spans="1:8" x14ac:dyDescent="0.3">
      <c r="A4755" s="452" t="s">
        <v>928</v>
      </c>
      <c r="B4755" s="453"/>
      <c r="C4755" s="453"/>
      <c r="D4755" s="453"/>
      <c r="E4755" s="453"/>
      <c r="F4755" s="453"/>
      <c r="G4755" s="453"/>
      <c r="H4755" s="454"/>
    </row>
    <row r="4756" spans="1:8" ht="15.6" x14ac:dyDescent="0.3">
      <c r="A4756" s="455" t="s">
        <v>53</v>
      </c>
      <c r="B4756" s="456"/>
      <c r="C4756" s="456"/>
      <c r="D4756" s="457"/>
      <c r="E4756" s="458" t="s">
        <v>54</v>
      </c>
      <c r="F4756" s="459"/>
      <c r="G4756" s="459"/>
      <c r="H4756" s="460"/>
    </row>
    <row r="4757" spans="1:8" x14ac:dyDescent="0.3">
      <c r="A4757" s="461" t="s">
        <v>55</v>
      </c>
      <c r="B4757" s="462"/>
      <c r="C4757" s="462"/>
      <c r="D4757" s="463"/>
      <c r="E4757" s="39"/>
      <c r="F4757" s="28"/>
      <c r="G4757" s="28"/>
      <c r="H4757" s="32"/>
    </row>
    <row r="4758" spans="1:8" x14ac:dyDescent="0.3">
      <c r="A4758" s="461" t="s">
        <v>56</v>
      </c>
      <c r="B4758" s="462"/>
      <c r="C4758" s="462"/>
      <c r="D4758" s="463"/>
      <c r="E4758" s="39"/>
      <c r="F4758" s="28"/>
      <c r="G4758" s="28"/>
      <c r="H4758" s="32"/>
    </row>
    <row r="4759" spans="1:8" x14ac:dyDescent="0.3">
      <c r="A4759" s="461" t="s">
        <v>57</v>
      </c>
      <c r="B4759" s="462"/>
      <c r="C4759" s="462"/>
      <c r="D4759" s="463"/>
      <c r="E4759" s="167"/>
      <c r="H4759" s="168"/>
    </row>
    <row r="4760" spans="1:8" ht="15.6" x14ac:dyDescent="0.3">
      <c r="A4760" s="464" t="s">
        <v>58</v>
      </c>
      <c r="B4760" s="465"/>
      <c r="C4760" s="465"/>
      <c r="D4760" s="510"/>
      <c r="E4760" s="466" t="s">
        <v>59</v>
      </c>
      <c r="F4760" s="467"/>
      <c r="G4760" s="467"/>
      <c r="H4760" s="468"/>
    </row>
    <row r="4764" spans="1:8" ht="44.4" x14ac:dyDescent="0.7">
      <c r="A4764" s="469" t="s">
        <v>0</v>
      </c>
      <c r="B4764" s="470"/>
      <c r="C4764" s="470"/>
      <c r="D4764" s="470"/>
      <c r="E4764" s="531" t="s">
        <v>1</v>
      </c>
      <c r="F4764" s="544"/>
      <c r="G4764" s="544"/>
      <c r="H4764" s="545"/>
    </row>
    <row r="4765" spans="1:8" ht="20.399999999999999" x14ac:dyDescent="0.35">
      <c r="A4765" s="1"/>
      <c r="B4765" s="535" t="s">
        <v>2</v>
      </c>
      <c r="C4765" s="535"/>
      <c r="D4765" s="535"/>
      <c r="E4765" s="546"/>
      <c r="F4765" s="546"/>
      <c r="G4765" s="546"/>
      <c r="H4765" s="547"/>
    </row>
    <row r="4766" spans="1:8" x14ac:dyDescent="0.3">
      <c r="A4766" s="477" t="s">
        <v>3</v>
      </c>
      <c r="B4766" s="478"/>
      <c r="C4766" s="136"/>
      <c r="D4766" s="499" t="s">
        <v>4</v>
      </c>
      <c r="E4766" s="499"/>
      <c r="F4766" s="137"/>
      <c r="G4766" s="137" t="s">
        <v>134</v>
      </c>
      <c r="H4766" s="120"/>
    </row>
    <row r="4767" spans="1:8" ht="15.6" x14ac:dyDescent="0.3">
      <c r="A4767" s="138" t="s">
        <v>6</v>
      </c>
      <c r="B4767" s="5"/>
      <c r="C4767" s="536" t="s">
        <v>7</v>
      </c>
      <c r="D4767" s="516"/>
      <c r="E4767" s="489">
        <v>104</v>
      </c>
      <c r="F4767" s="491"/>
      <c r="G4767" s="7" t="s">
        <v>8</v>
      </c>
      <c r="H4767" s="9" t="s">
        <v>931</v>
      </c>
    </row>
    <row r="4768" spans="1:8" ht="16.2" thickBot="1" x14ac:dyDescent="0.35">
      <c r="A4768" s="241" t="s">
        <v>275</v>
      </c>
      <c r="B4768" s="242"/>
      <c r="C4768" s="536" t="s">
        <v>276</v>
      </c>
      <c r="D4768" s="516"/>
      <c r="E4768" s="624">
        <v>4300573132</v>
      </c>
      <c r="F4768" s="625"/>
      <c r="G4768" s="7"/>
      <c r="H4768" s="178"/>
    </row>
    <row r="4769" spans="1:8" ht="15.6" x14ac:dyDescent="0.3">
      <c r="A4769" s="626" t="s">
        <v>277</v>
      </c>
      <c r="B4769" s="627"/>
      <c r="C4769" s="628" t="s">
        <v>265</v>
      </c>
      <c r="D4769" s="484"/>
      <c r="E4769" s="489" t="s">
        <v>266</v>
      </c>
      <c r="F4769" s="491"/>
      <c r="G4769" s="10"/>
      <c r="H4769" s="82"/>
    </row>
    <row r="4770" spans="1:8" ht="15.6" x14ac:dyDescent="0.3">
      <c r="A4770" s="629" t="s">
        <v>278</v>
      </c>
      <c r="B4770" s="630"/>
      <c r="C4770" s="536" t="s">
        <v>15</v>
      </c>
      <c r="D4770" s="516"/>
      <c r="E4770" s="631" t="s">
        <v>279</v>
      </c>
      <c r="F4770" s="632"/>
      <c r="G4770" s="633"/>
      <c r="H4770" s="126"/>
    </row>
    <row r="4771" spans="1:8" ht="15.6" x14ac:dyDescent="0.3">
      <c r="A4771" s="558"/>
      <c r="B4771" s="559"/>
      <c r="C4771" s="489"/>
      <c r="D4771" s="490"/>
      <c r="E4771" s="490"/>
      <c r="F4771" s="490"/>
      <c r="G4771" s="490"/>
      <c r="H4771" s="491"/>
    </row>
    <row r="4772" spans="1:8" ht="15" x14ac:dyDescent="0.3">
      <c r="A4772" s="493" t="s">
        <v>17</v>
      </c>
      <c r="B4772" s="495" t="s">
        <v>18</v>
      </c>
      <c r="C4772" s="495" t="s">
        <v>19</v>
      </c>
      <c r="D4772" s="495" t="s">
        <v>20</v>
      </c>
      <c r="E4772" s="495" t="s">
        <v>21</v>
      </c>
      <c r="F4772" s="541" t="s">
        <v>22</v>
      </c>
      <c r="G4772" s="542"/>
      <c r="H4772" s="493" t="s">
        <v>23</v>
      </c>
    </row>
    <row r="4773" spans="1:8" ht="27.6" x14ac:dyDescent="0.3">
      <c r="A4773" s="527"/>
      <c r="B4773" s="505"/>
      <c r="C4773" s="505"/>
      <c r="D4773" s="505"/>
      <c r="E4773" s="505"/>
      <c r="F4773" s="53" t="s">
        <v>24</v>
      </c>
      <c r="G4773" s="53" t="s">
        <v>25</v>
      </c>
      <c r="H4773" s="527"/>
    </row>
    <row r="4774" spans="1:8" x14ac:dyDescent="0.3">
      <c r="A4774" s="15">
        <v>1</v>
      </c>
      <c r="B4774" s="190" t="s">
        <v>932</v>
      </c>
      <c r="C4774" s="191">
        <v>1</v>
      </c>
      <c r="D4774" s="192">
        <v>998715</v>
      </c>
      <c r="E4774" s="192">
        <v>9415</v>
      </c>
      <c r="F4774" s="193">
        <f>E4774*C4774*9%</f>
        <v>847.35</v>
      </c>
      <c r="G4774" s="58">
        <f>F4774</f>
        <v>847.35</v>
      </c>
      <c r="H4774" s="59">
        <f>G4774+F4774+E4774</f>
        <v>11109.7</v>
      </c>
    </row>
    <row r="4775" spans="1:8" x14ac:dyDescent="0.3">
      <c r="A4775" s="20"/>
      <c r="B4775" s="60"/>
      <c r="C4775" s="55"/>
      <c r="D4775" s="55"/>
      <c r="E4775" s="55"/>
      <c r="F4775" s="93"/>
      <c r="G4775" s="93"/>
      <c r="H4775" s="62"/>
    </row>
    <row r="4776" spans="1:8" x14ac:dyDescent="0.3">
      <c r="A4776" s="20"/>
      <c r="B4776" s="60"/>
      <c r="C4776" s="55"/>
      <c r="D4776" s="55"/>
      <c r="E4776" s="55"/>
      <c r="F4776" s="93"/>
      <c r="G4776" s="93"/>
      <c r="H4776" s="62"/>
    </row>
    <row r="4777" spans="1:8" x14ac:dyDescent="0.3">
      <c r="A4777" s="20"/>
      <c r="B4777" s="63"/>
      <c r="C4777" s="129"/>
      <c r="D4777" s="55"/>
      <c r="E4777" s="55"/>
      <c r="F4777" s="93"/>
      <c r="G4777" s="93"/>
      <c r="H4777" s="62"/>
    </row>
    <row r="4778" spans="1:8" x14ac:dyDescent="0.3">
      <c r="A4778" s="20"/>
      <c r="B4778" s="63"/>
      <c r="C4778" s="129"/>
      <c r="D4778" s="55"/>
      <c r="E4778" s="55"/>
      <c r="F4778" s="93"/>
      <c r="G4778" s="93"/>
      <c r="H4778" s="62"/>
    </row>
    <row r="4779" spans="1:8" x14ac:dyDescent="0.3">
      <c r="A4779" s="20"/>
      <c r="B4779" s="130"/>
      <c r="C4779" s="129"/>
      <c r="D4779" s="55"/>
      <c r="E4779" s="55"/>
      <c r="F4779" s="93"/>
      <c r="G4779" s="93"/>
      <c r="H4779" s="62"/>
    </row>
    <row r="4780" spans="1:8" x14ac:dyDescent="0.3">
      <c r="A4780" s="20"/>
      <c r="B4780" s="63"/>
      <c r="C4780" s="129"/>
      <c r="D4780" s="55"/>
      <c r="E4780" s="55"/>
      <c r="F4780" s="93"/>
      <c r="G4780" s="93"/>
      <c r="H4780" s="62"/>
    </row>
    <row r="4781" spans="1:8" x14ac:dyDescent="0.3">
      <c r="A4781" s="20"/>
      <c r="B4781" s="63"/>
      <c r="C4781" s="55"/>
      <c r="D4781" s="55"/>
      <c r="E4781" s="55"/>
      <c r="F4781" s="93"/>
      <c r="G4781" s="93"/>
      <c r="H4781" s="62"/>
    </row>
    <row r="4782" spans="1:8" x14ac:dyDescent="0.3">
      <c r="A4782" s="27"/>
      <c r="B4782" s="28"/>
      <c r="C4782" s="24"/>
      <c r="D4782" s="25"/>
      <c r="E4782" s="25"/>
      <c r="F4782" s="28"/>
      <c r="G4782" s="28"/>
      <c r="H4782" s="32"/>
    </row>
    <row r="4783" spans="1:8" x14ac:dyDescent="0.3">
      <c r="A4783" s="618" t="s">
        <v>267</v>
      </c>
      <c r="B4783" s="619"/>
      <c r="C4783" s="618" t="s">
        <v>268</v>
      </c>
      <c r="D4783" s="620"/>
      <c r="E4783" s="619"/>
      <c r="F4783" s="28"/>
      <c r="G4783" s="28"/>
      <c r="H4783" s="32"/>
    </row>
    <row r="4784" spans="1:8" x14ac:dyDescent="0.3">
      <c r="A4784" s="178" t="s">
        <v>269</v>
      </c>
      <c r="B4784" s="163"/>
      <c r="C4784" s="621">
        <v>10142001000604</v>
      </c>
      <c r="D4784" s="622"/>
      <c r="E4784" s="623"/>
      <c r="F4784" s="28"/>
      <c r="G4784" s="28"/>
      <c r="H4784" s="32"/>
    </row>
    <row r="4785" spans="1:8" x14ac:dyDescent="0.3">
      <c r="A4785" s="178" t="s">
        <v>270</v>
      </c>
      <c r="B4785" s="163"/>
      <c r="C4785" s="618" t="s">
        <v>271</v>
      </c>
      <c r="D4785" s="620"/>
      <c r="E4785" s="619"/>
      <c r="F4785" s="28"/>
      <c r="G4785" s="28"/>
      <c r="H4785" s="32"/>
    </row>
    <row r="4786" spans="1:8" x14ac:dyDescent="0.3">
      <c r="A4786" s="618" t="s">
        <v>272</v>
      </c>
      <c r="B4786" s="619"/>
      <c r="C4786" s="618" t="s">
        <v>273</v>
      </c>
      <c r="D4786" s="620"/>
      <c r="E4786" s="619"/>
      <c r="F4786" s="28"/>
      <c r="G4786" s="28"/>
      <c r="H4786" s="32"/>
    </row>
    <row r="4787" spans="1:8" x14ac:dyDescent="0.3">
      <c r="A4787" s="27"/>
      <c r="B4787" s="28"/>
      <c r="C4787" s="24"/>
      <c r="D4787" s="25"/>
      <c r="E4787" s="25"/>
      <c r="F4787" s="28"/>
      <c r="G4787" s="28"/>
      <c r="H4787" s="32"/>
    </row>
    <row r="4788" spans="1:8" x14ac:dyDescent="0.3">
      <c r="A4788" s="27"/>
      <c r="B4788" s="28"/>
      <c r="C4788" s="24"/>
      <c r="D4788" s="25"/>
      <c r="E4788" s="25"/>
      <c r="F4788" s="28"/>
      <c r="G4788" s="28"/>
      <c r="H4788" s="32"/>
    </row>
    <row r="4789" spans="1:8" x14ac:dyDescent="0.3">
      <c r="A4789" s="27"/>
      <c r="B4789" s="28"/>
      <c r="C4789" s="24"/>
      <c r="D4789" s="25"/>
      <c r="E4789" s="25"/>
      <c r="F4789" s="28"/>
      <c r="G4789" s="28"/>
      <c r="H4789" s="32"/>
    </row>
    <row r="4790" spans="1:8" ht="15.6" x14ac:dyDescent="0.3">
      <c r="A4790" s="448" t="s">
        <v>45</v>
      </c>
      <c r="B4790" s="449"/>
      <c r="C4790" s="24"/>
      <c r="D4790" s="25"/>
      <c r="E4790" s="25"/>
      <c r="F4790" s="447" t="s">
        <v>46</v>
      </c>
      <c r="G4790" s="447"/>
      <c r="H4790" s="66">
        <v>9415</v>
      </c>
    </row>
    <row r="4791" spans="1:8" ht="15.6" x14ac:dyDescent="0.3">
      <c r="A4791" s="497" t="s">
        <v>933</v>
      </c>
      <c r="B4791" s="498"/>
      <c r="C4791" s="498"/>
      <c r="D4791" s="498"/>
      <c r="E4791" s="498"/>
      <c r="F4791" s="447" t="s">
        <v>47</v>
      </c>
      <c r="G4791" s="447"/>
      <c r="H4791" s="66">
        <v>847</v>
      </c>
    </row>
    <row r="4792" spans="1:8" ht="15.6" x14ac:dyDescent="0.3">
      <c r="A4792" s="27"/>
      <c r="B4792" s="28"/>
      <c r="C4792" s="24"/>
      <c r="D4792" s="25"/>
      <c r="E4792" s="25"/>
      <c r="F4792" s="447" t="s">
        <v>48</v>
      </c>
      <c r="G4792" s="447"/>
      <c r="H4792" s="66">
        <v>847</v>
      </c>
    </row>
    <row r="4793" spans="1:8" ht="15.6" x14ac:dyDescent="0.3">
      <c r="A4793" s="90" t="s">
        <v>49</v>
      </c>
      <c r="B4793" s="28"/>
      <c r="C4793" s="24"/>
      <c r="D4793" s="25"/>
      <c r="E4793" s="25"/>
      <c r="F4793" s="447" t="s">
        <v>50</v>
      </c>
      <c r="G4793" s="447"/>
      <c r="H4793" s="66">
        <v>11110</v>
      </c>
    </row>
    <row r="4794" spans="1:8" ht="27" x14ac:dyDescent="0.3">
      <c r="A4794" s="68" t="s">
        <v>22</v>
      </c>
      <c r="B4794" s="30" t="s">
        <v>51</v>
      </c>
      <c r="C4794" s="70" t="s">
        <v>24</v>
      </c>
      <c r="D4794" s="31" t="s">
        <v>25</v>
      </c>
      <c r="E4794" s="543" t="s">
        <v>52</v>
      </c>
      <c r="F4794" s="543"/>
      <c r="G4794" s="28"/>
      <c r="H4794" s="32"/>
    </row>
    <row r="4795" spans="1:8" x14ac:dyDescent="0.3">
      <c r="A4795" s="72">
        <v>0.18</v>
      </c>
      <c r="B4795" s="73">
        <f>H4790</f>
        <v>9415</v>
      </c>
      <c r="C4795" s="74">
        <f>H4791</f>
        <v>847</v>
      </c>
      <c r="D4795" s="74">
        <f>H4791</f>
        <v>847</v>
      </c>
      <c r="E4795" s="507">
        <f>C4795+D4795</f>
        <v>1694</v>
      </c>
      <c r="F4795" s="507"/>
      <c r="G4795" s="74"/>
      <c r="H4795" s="75"/>
    </row>
    <row r="4796" spans="1:8" x14ac:dyDescent="0.3">
      <c r="A4796" s="508" t="s">
        <v>934</v>
      </c>
      <c r="B4796" s="509"/>
      <c r="C4796" s="509"/>
      <c r="D4796" s="509"/>
      <c r="E4796" s="453"/>
      <c r="F4796" s="453"/>
      <c r="G4796" s="453"/>
      <c r="H4796" s="454"/>
    </row>
    <row r="4797" spans="1:8" ht="15.6" x14ac:dyDescent="0.3">
      <c r="A4797" s="455" t="s">
        <v>53</v>
      </c>
      <c r="B4797" s="456"/>
      <c r="C4797" s="456"/>
      <c r="D4797" s="457"/>
      <c r="E4797" s="458" t="s">
        <v>54</v>
      </c>
      <c r="F4797" s="459"/>
      <c r="G4797" s="459"/>
      <c r="H4797" s="460"/>
    </row>
    <row r="4798" spans="1:8" x14ac:dyDescent="0.3">
      <c r="A4798" s="461" t="s">
        <v>55</v>
      </c>
      <c r="B4798" s="462"/>
      <c r="C4798" s="462"/>
      <c r="D4798" s="463"/>
      <c r="E4798" s="39"/>
      <c r="F4798" s="28"/>
      <c r="G4798" s="28"/>
      <c r="H4798" s="32"/>
    </row>
    <row r="4799" spans="1:8" x14ac:dyDescent="0.3">
      <c r="A4799" s="461" t="s">
        <v>56</v>
      </c>
      <c r="B4799" s="462"/>
      <c r="C4799" s="462"/>
      <c r="D4799" s="463"/>
      <c r="E4799" s="39"/>
      <c r="F4799" s="28"/>
      <c r="G4799" s="28"/>
      <c r="H4799" s="32"/>
    </row>
    <row r="4800" spans="1:8" x14ac:dyDescent="0.3">
      <c r="A4800" s="461" t="s">
        <v>57</v>
      </c>
      <c r="B4800" s="462"/>
      <c r="C4800" s="462"/>
      <c r="D4800" s="463"/>
      <c r="E4800" s="39"/>
      <c r="F4800" s="28"/>
      <c r="G4800" s="28"/>
      <c r="H4800" s="32"/>
    </row>
    <row r="4801" spans="1:8" ht="15.6" x14ac:dyDescent="0.3">
      <c r="A4801" s="464" t="s">
        <v>58</v>
      </c>
      <c r="B4801" s="465"/>
      <c r="C4801" s="465"/>
      <c r="D4801" s="465"/>
      <c r="E4801" s="466" t="s">
        <v>59</v>
      </c>
      <c r="F4801" s="467"/>
      <c r="G4801" s="467"/>
      <c r="H4801" s="468"/>
    </row>
    <row r="4802" spans="1:8" ht="15.6" x14ac:dyDescent="0.3">
      <c r="A4802" s="104"/>
      <c r="B4802" s="104"/>
      <c r="C4802" s="104"/>
      <c r="D4802" s="104"/>
      <c r="E4802" s="105"/>
      <c r="F4802" s="105"/>
      <c r="G4802" s="105"/>
      <c r="H4802" s="105"/>
    </row>
    <row r="4803" spans="1:8" ht="15.6" x14ac:dyDescent="0.3">
      <c r="A4803" s="104"/>
      <c r="B4803" s="104"/>
      <c r="C4803" s="104"/>
      <c r="D4803" s="104"/>
      <c r="E4803" s="105"/>
      <c r="F4803" s="105"/>
      <c r="G4803" s="105"/>
      <c r="H4803" s="105"/>
    </row>
    <row r="4804" spans="1:8" ht="15.6" x14ac:dyDescent="0.3">
      <c r="A4804" s="104"/>
      <c r="B4804" s="104"/>
      <c r="C4804" s="104"/>
      <c r="D4804" s="104"/>
      <c r="E4804" s="105"/>
      <c r="F4804" s="105"/>
      <c r="G4804" s="105"/>
      <c r="H4804" s="105"/>
    </row>
    <row r="4805" spans="1:8" ht="15.6" x14ac:dyDescent="0.3">
      <c r="A4805" s="104"/>
      <c r="B4805" s="104"/>
      <c r="C4805" s="104"/>
      <c r="D4805" s="104"/>
      <c r="E4805" s="105"/>
      <c r="F4805" s="105"/>
      <c r="G4805" s="105"/>
      <c r="H4805" s="105"/>
    </row>
    <row r="4806" spans="1:8" ht="15.6" x14ac:dyDescent="0.3">
      <c r="A4806" s="104"/>
      <c r="B4806" s="104"/>
      <c r="C4806" s="104"/>
      <c r="D4806" s="104"/>
      <c r="E4806" s="105"/>
      <c r="F4806" s="105"/>
      <c r="G4806" s="105"/>
      <c r="H4806" s="105"/>
    </row>
    <row r="4807" spans="1:8" ht="15.6" x14ac:dyDescent="0.3">
      <c r="A4807" s="104"/>
      <c r="B4807" s="104"/>
      <c r="C4807" s="104"/>
      <c r="D4807" s="104"/>
      <c r="E4807" s="105"/>
      <c r="F4807" s="105"/>
      <c r="G4807" s="105"/>
      <c r="H4807" s="105"/>
    </row>
    <row r="4811" spans="1:8" ht="44.4" x14ac:dyDescent="0.7">
      <c r="A4811" s="469" t="s">
        <v>0</v>
      </c>
      <c r="B4811" s="470"/>
      <c r="C4811" s="470"/>
      <c r="D4811" s="470"/>
      <c r="E4811" s="531" t="s">
        <v>1</v>
      </c>
      <c r="F4811" s="544"/>
      <c r="G4811" s="544"/>
      <c r="H4811" s="545"/>
    </row>
    <row r="4812" spans="1:8" ht="20.399999999999999" x14ac:dyDescent="0.35">
      <c r="A4812" s="1"/>
      <c r="B4812" s="476" t="s">
        <v>2</v>
      </c>
      <c r="C4812" s="476"/>
      <c r="D4812" s="476"/>
      <c r="E4812" s="546"/>
      <c r="F4812" s="546"/>
      <c r="G4812" s="546"/>
      <c r="H4812" s="547"/>
    </row>
    <row r="4813" spans="1:8" x14ac:dyDescent="0.3">
      <c r="A4813" s="477" t="s">
        <v>3</v>
      </c>
      <c r="B4813" s="478"/>
      <c r="C4813" s="479" t="s">
        <v>4</v>
      </c>
      <c r="D4813" s="479"/>
      <c r="E4813" s="548" t="s">
        <v>5</v>
      </c>
      <c r="F4813" s="549"/>
      <c r="G4813" s="549"/>
      <c r="H4813" s="550"/>
    </row>
    <row r="4814" spans="1:8" ht="15.6" x14ac:dyDescent="0.3">
      <c r="A4814" s="138" t="s">
        <v>6</v>
      </c>
      <c r="B4814" s="5"/>
      <c r="C4814" s="481" t="s">
        <v>7</v>
      </c>
      <c r="D4814" s="481"/>
      <c r="E4814" s="482">
        <v>105</v>
      </c>
      <c r="F4814" s="482"/>
      <c r="G4814" s="7" t="s">
        <v>8</v>
      </c>
      <c r="H4814" s="8">
        <v>45970</v>
      </c>
    </row>
    <row r="4815" spans="1:8" ht="15.6" x14ac:dyDescent="0.3">
      <c r="A4815" s="551" t="s">
        <v>935</v>
      </c>
      <c r="B4815" s="552"/>
      <c r="C4815" s="481" t="s">
        <v>10</v>
      </c>
      <c r="D4815" s="481"/>
      <c r="E4815" s="482"/>
      <c r="F4815" s="482"/>
      <c r="G4815" s="7" t="s">
        <v>8</v>
      </c>
      <c r="H4815" s="9"/>
    </row>
    <row r="4816" spans="1:8" ht="15" x14ac:dyDescent="0.3">
      <c r="A4816" s="517" t="s">
        <v>936</v>
      </c>
      <c r="B4816" s="553"/>
      <c r="C4816" s="483" t="s">
        <v>12</v>
      </c>
      <c r="D4816" s="484"/>
      <c r="E4816" s="615">
        <v>5500587006</v>
      </c>
      <c r="F4816" s="616"/>
      <c r="G4816" s="10" t="s">
        <v>8</v>
      </c>
      <c r="H4816" s="57" t="s">
        <v>463</v>
      </c>
    </row>
    <row r="4817" spans="1:9" ht="15.6" x14ac:dyDescent="0.3">
      <c r="A4817" s="556" t="s">
        <v>937</v>
      </c>
      <c r="B4817" s="557"/>
      <c r="C4817" s="481" t="s">
        <v>15</v>
      </c>
      <c r="D4817" s="481"/>
      <c r="E4817" s="536" t="s">
        <v>938</v>
      </c>
      <c r="F4817" s="617"/>
      <c r="G4817" s="617"/>
      <c r="H4817" s="516"/>
    </row>
    <row r="4818" spans="1:9" ht="15.6" x14ac:dyDescent="0.3">
      <c r="A4818" s="558" t="s">
        <v>939</v>
      </c>
      <c r="B4818" s="559"/>
      <c r="C4818" s="489"/>
      <c r="D4818" s="490"/>
      <c r="E4818" s="490"/>
      <c r="F4818" s="490"/>
      <c r="G4818" s="490"/>
      <c r="H4818" s="491"/>
    </row>
    <row r="4819" spans="1:9" ht="15" x14ac:dyDescent="0.3">
      <c r="A4819" s="492" t="s">
        <v>17</v>
      </c>
      <c r="B4819" s="494" t="s">
        <v>18</v>
      </c>
      <c r="C4819" s="494" t="s">
        <v>19</v>
      </c>
      <c r="D4819" s="494" t="s">
        <v>20</v>
      </c>
      <c r="E4819" s="494" t="s">
        <v>21</v>
      </c>
      <c r="F4819" s="494" t="s">
        <v>22</v>
      </c>
      <c r="G4819" s="494"/>
      <c r="H4819" s="492" t="s">
        <v>23</v>
      </c>
    </row>
    <row r="4820" spans="1:9" ht="27.6" x14ac:dyDescent="0.3">
      <c r="A4820" s="492"/>
      <c r="B4820" s="495"/>
      <c r="C4820" s="494"/>
      <c r="D4820" s="494"/>
      <c r="E4820" s="494"/>
      <c r="F4820" s="53" t="s">
        <v>24</v>
      </c>
      <c r="G4820" s="53" t="s">
        <v>25</v>
      </c>
      <c r="H4820" s="492"/>
    </row>
    <row r="4821" spans="1:9" x14ac:dyDescent="0.3">
      <c r="A4821" s="139">
        <v>1</v>
      </c>
      <c r="B4821" s="140" t="s">
        <v>940</v>
      </c>
      <c r="C4821" s="141">
        <v>5</v>
      </c>
      <c r="D4821" s="86">
        <v>998715</v>
      </c>
      <c r="E4821" s="55">
        <v>2500</v>
      </c>
      <c r="F4821" s="93">
        <f>E4821*C4821*9%</f>
        <v>1125</v>
      </c>
      <c r="G4821" s="93">
        <f>F4821</f>
        <v>1125</v>
      </c>
      <c r="H4821" s="62">
        <f>G4821+F4821+E4821*C4821</f>
        <v>14750</v>
      </c>
      <c r="I4821" s="362">
        <f>E4821*C4821</f>
        <v>12500</v>
      </c>
    </row>
    <row r="4822" spans="1:9" x14ac:dyDescent="0.3">
      <c r="A4822" s="139">
        <v>2</v>
      </c>
      <c r="B4822" s="140" t="s">
        <v>941</v>
      </c>
      <c r="C4822" s="141">
        <v>1</v>
      </c>
      <c r="D4822" s="86">
        <v>998715</v>
      </c>
      <c r="E4822" s="55">
        <v>6000</v>
      </c>
      <c r="F4822" s="93">
        <f t="shared" ref="F4822" si="44">E4822*C4822*9%</f>
        <v>540</v>
      </c>
      <c r="G4822" s="93">
        <f t="shared" ref="G4822" si="45">F4822</f>
        <v>540</v>
      </c>
      <c r="H4822" s="62">
        <f t="shared" ref="H4822" si="46">G4822+F4822+E4822*C4822</f>
        <v>7080</v>
      </c>
      <c r="I4822" s="362">
        <f t="shared" ref="I4822:I4827" si="47">E4822*C4822</f>
        <v>6000</v>
      </c>
    </row>
    <row r="4823" spans="1:9" x14ac:dyDescent="0.3">
      <c r="A4823" s="139">
        <v>3</v>
      </c>
      <c r="B4823" s="140" t="s">
        <v>224</v>
      </c>
      <c r="C4823" s="142">
        <v>3</v>
      </c>
      <c r="D4823" s="86">
        <v>998719</v>
      </c>
      <c r="E4823" s="55">
        <v>1000</v>
      </c>
      <c r="F4823" s="93">
        <f t="shared" ref="F4823:F4827" si="48">E4823*C4823*9%</f>
        <v>270</v>
      </c>
      <c r="G4823" s="93">
        <f t="shared" ref="G4823:G4827" si="49">F4823</f>
        <v>270</v>
      </c>
      <c r="H4823" s="62">
        <f t="shared" ref="H4823:H4827" si="50">G4823+F4823+E4823*C4823</f>
        <v>3540</v>
      </c>
      <c r="I4823" s="362">
        <f t="shared" si="47"/>
        <v>3000</v>
      </c>
    </row>
    <row r="4824" spans="1:9" x14ac:dyDescent="0.3">
      <c r="A4824" s="143">
        <v>4</v>
      </c>
      <c r="B4824" s="140" t="s">
        <v>942</v>
      </c>
      <c r="C4824" s="142">
        <v>1</v>
      </c>
      <c r="D4824" s="144">
        <v>8538</v>
      </c>
      <c r="E4824" s="129">
        <v>4088</v>
      </c>
      <c r="F4824" s="93">
        <f t="shared" si="48"/>
        <v>367.91999999999996</v>
      </c>
      <c r="G4824" s="93">
        <f t="shared" si="49"/>
        <v>367.91999999999996</v>
      </c>
      <c r="H4824" s="62">
        <f t="shared" si="50"/>
        <v>4823.84</v>
      </c>
      <c r="I4824" s="362">
        <f t="shared" si="47"/>
        <v>4088</v>
      </c>
    </row>
    <row r="4825" spans="1:9" x14ac:dyDescent="0.3">
      <c r="A4825" s="147">
        <v>5</v>
      </c>
      <c r="B4825" s="140" t="s">
        <v>943</v>
      </c>
      <c r="C4825" s="141">
        <v>2</v>
      </c>
      <c r="D4825" s="86">
        <v>998719</v>
      </c>
      <c r="E4825" s="55">
        <v>700</v>
      </c>
      <c r="F4825" s="93">
        <f t="shared" si="48"/>
        <v>126</v>
      </c>
      <c r="G4825" s="93">
        <f t="shared" si="49"/>
        <v>126</v>
      </c>
      <c r="H4825" s="62">
        <f t="shared" si="50"/>
        <v>1652</v>
      </c>
      <c r="I4825" s="362">
        <f t="shared" si="47"/>
        <v>1400</v>
      </c>
    </row>
    <row r="4826" spans="1:9" x14ac:dyDescent="0.3">
      <c r="A4826" s="55">
        <v>6</v>
      </c>
      <c r="B4826" s="148" t="s">
        <v>944</v>
      </c>
      <c r="C4826" s="55">
        <v>1</v>
      </c>
      <c r="D4826" s="86">
        <v>998719</v>
      </c>
      <c r="E4826" s="55">
        <v>17000</v>
      </c>
      <c r="F4826" s="93">
        <f t="shared" si="48"/>
        <v>1530</v>
      </c>
      <c r="G4826" s="93">
        <f t="shared" si="49"/>
        <v>1530</v>
      </c>
      <c r="H4826" s="62">
        <f t="shared" si="50"/>
        <v>20060</v>
      </c>
      <c r="I4826" s="362">
        <f t="shared" si="47"/>
        <v>17000</v>
      </c>
    </row>
    <row r="4827" spans="1:9" x14ac:dyDescent="0.3">
      <c r="A4827" s="55">
        <v>7</v>
      </c>
      <c r="B4827" s="148" t="s">
        <v>945</v>
      </c>
      <c r="C4827" s="55">
        <v>25</v>
      </c>
      <c r="D4827" s="297">
        <v>27101985</v>
      </c>
      <c r="E4827" s="47">
        <v>150</v>
      </c>
      <c r="F4827" s="93">
        <f t="shared" si="48"/>
        <v>337.5</v>
      </c>
      <c r="G4827" s="93">
        <f t="shared" si="49"/>
        <v>337.5</v>
      </c>
      <c r="H4827" s="62">
        <f t="shared" si="50"/>
        <v>4425</v>
      </c>
      <c r="I4827" s="362">
        <f t="shared" si="47"/>
        <v>3750</v>
      </c>
    </row>
    <row r="4828" spans="1:9" x14ac:dyDescent="0.3">
      <c r="A4828" s="27"/>
      <c r="B4828" s="28"/>
      <c r="C4828" s="24"/>
      <c r="D4828" s="25"/>
      <c r="E4828" s="25"/>
      <c r="F4828" s="28"/>
      <c r="G4828" s="28"/>
      <c r="H4828" s="32"/>
    </row>
    <row r="4829" spans="1:9" x14ac:dyDescent="0.3">
      <c r="A4829" s="27"/>
      <c r="B4829" s="28"/>
      <c r="C4829" s="24"/>
      <c r="D4829" s="25"/>
      <c r="E4829" s="25"/>
      <c r="F4829" s="28"/>
      <c r="G4829" s="28"/>
      <c r="H4829" s="32"/>
    </row>
    <row r="4830" spans="1:9" x14ac:dyDescent="0.3">
      <c r="A4830" s="27"/>
      <c r="B4830" s="28"/>
      <c r="C4830" s="24"/>
      <c r="D4830" s="25"/>
      <c r="E4830" s="25"/>
      <c r="F4830" s="28"/>
      <c r="G4830" s="28"/>
      <c r="H4830" s="32"/>
    </row>
    <row r="4831" spans="1:9" x14ac:dyDescent="0.3">
      <c r="A4831" s="27"/>
      <c r="B4831" s="28"/>
      <c r="C4831" s="24"/>
      <c r="D4831" s="25"/>
      <c r="E4831" s="25"/>
      <c r="F4831" s="28"/>
      <c r="G4831" s="28"/>
      <c r="H4831" s="32"/>
    </row>
    <row r="4832" spans="1:9" x14ac:dyDescent="0.3">
      <c r="A4832" s="27"/>
      <c r="B4832" s="28"/>
      <c r="C4832" s="24"/>
      <c r="D4832" s="25"/>
      <c r="E4832" s="25"/>
      <c r="F4832" s="28"/>
      <c r="G4832" s="28"/>
      <c r="H4832" s="32"/>
    </row>
    <row r="4833" spans="1:8" x14ac:dyDescent="0.3">
      <c r="A4833" s="27"/>
      <c r="B4833" s="28"/>
      <c r="C4833" s="24"/>
      <c r="D4833" s="25"/>
      <c r="E4833" s="25"/>
      <c r="F4833" s="28"/>
      <c r="G4833" s="28"/>
      <c r="H4833" s="32"/>
    </row>
    <row r="4834" spans="1:8" x14ac:dyDescent="0.3">
      <c r="A4834" s="27"/>
      <c r="B4834" s="28"/>
      <c r="C4834" s="24"/>
      <c r="D4834" s="25"/>
      <c r="E4834" s="25"/>
      <c r="F4834" s="28"/>
      <c r="G4834" s="28"/>
      <c r="H4834" s="32"/>
    </row>
    <row r="4835" spans="1:8" x14ac:dyDescent="0.3">
      <c r="A4835" s="27"/>
      <c r="B4835" s="28"/>
      <c r="C4835" s="24"/>
      <c r="D4835" s="25"/>
      <c r="E4835" s="25"/>
      <c r="F4835" s="28"/>
      <c r="G4835" s="28"/>
      <c r="H4835" s="32"/>
    </row>
    <row r="4836" spans="1:8" x14ac:dyDescent="0.3">
      <c r="A4836" s="27"/>
      <c r="B4836" s="28"/>
      <c r="C4836" s="24"/>
      <c r="D4836" s="25"/>
      <c r="E4836" s="25"/>
      <c r="F4836" s="28"/>
      <c r="G4836" s="28"/>
      <c r="H4836" s="32"/>
    </row>
    <row r="4837" spans="1:8" x14ac:dyDescent="0.3">
      <c r="A4837" s="27"/>
      <c r="B4837" s="28"/>
      <c r="C4837" s="24"/>
      <c r="D4837" s="25"/>
      <c r="E4837" s="25"/>
      <c r="F4837" s="28"/>
      <c r="G4837" s="28"/>
      <c r="H4837" s="32"/>
    </row>
    <row r="4838" spans="1:8" x14ac:dyDescent="0.3">
      <c r="A4838" s="27"/>
      <c r="B4838" s="28"/>
      <c r="C4838" s="24"/>
      <c r="D4838" s="25"/>
      <c r="E4838" s="25"/>
      <c r="F4838" s="28"/>
      <c r="G4838" s="28"/>
      <c r="H4838" s="32"/>
    </row>
    <row r="4839" spans="1:8" x14ac:dyDescent="0.3">
      <c r="A4839" s="27"/>
      <c r="B4839" s="28"/>
      <c r="C4839" s="24"/>
      <c r="D4839" s="25"/>
      <c r="E4839" s="25"/>
      <c r="F4839" s="28"/>
      <c r="G4839" s="28"/>
      <c r="H4839" s="32"/>
    </row>
    <row r="4840" spans="1:8" x14ac:dyDescent="0.3">
      <c r="A4840" s="27"/>
      <c r="B4840" s="28"/>
      <c r="C4840" s="24"/>
      <c r="D4840" s="25"/>
      <c r="E4840" s="25"/>
      <c r="F4840" s="28"/>
      <c r="G4840" s="28"/>
      <c r="H4840" s="32"/>
    </row>
    <row r="4841" spans="1:8" x14ac:dyDescent="0.3">
      <c r="A4841" s="27"/>
      <c r="B4841" s="28"/>
      <c r="C4841" s="24"/>
      <c r="D4841" s="25"/>
      <c r="E4841" s="25"/>
      <c r="F4841" s="28"/>
      <c r="G4841" s="28"/>
      <c r="H4841" s="32"/>
    </row>
    <row r="4842" spans="1:8" x14ac:dyDescent="0.3">
      <c r="A4842" s="27"/>
      <c r="B4842" s="28"/>
      <c r="C4842" s="24"/>
      <c r="D4842" s="25"/>
      <c r="E4842" s="25"/>
      <c r="F4842" s="28"/>
      <c r="G4842" s="28"/>
      <c r="H4842" s="32"/>
    </row>
    <row r="4843" spans="1:8" x14ac:dyDescent="0.3">
      <c r="A4843" s="27"/>
      <c r="B4843" s="28"/>
      <c r="C4843" s="24"/>
      <c r="D4843" s="25"/>
      <c r="E4843" s="25"/>
      <c r="F4843" s="28"/>
      <c r="G4843" s="28"/>
      <c r="H4843" s="32"/>
    </row>
    <row r="4844" spans="1:8" ht="15.6" x14ac:dyDescent="0.3">
      <c r="A4844" s="448" t="s">
        <v>45</v>
      </c>
      <c r="B4844" s="449"/>
      <c r="C4844" s="449"/>
      <c r="D4844" s="25"/>
      <c r="E4844" s="25"/>
      <c r="F4844" s="447" t="s">
        <v>46</v>
      </c>
      <c r="G4844" s="447"/>
      <c r="H4844" s="66">
        <v>47738</v>
      </c>
    </row>
    <row r="4845" spans="1:8" ht="15.6" x14ac:dyDescent="0.3">
      <c r="A4845" s="497" t="s">
        <v>947</v>
      </c>
      <c r="B4845" s="498"/>
      <c r="C4845" s="498"/>
      <c r="D4845" s="498"/>
      <c r="E4845" s="498"/>
      <c r="F4845" s="447" t="s">
        <v>47</v>
      </c>
      <c r="G4845" s="447"/>
      <c r="H4845" s="66">
        <f>H4844*9%</f>
        <v>4296.42</v>
      </c>
    </row>
    <row r="4846" spans="1:8" ht="15.6" x14ac:dyDescent="0.3">
      <c r="A4846" s="27"/>
      <c r="B4846" s="28"/>
      <c r="C4846" s="24"/>
      <c r="D4846" s="25"/>
      <c r="E4846" s="25"/>
      <c r="F4846" s="447" t="s">
        <v>48</v>
      </c>
      <c r="G4846" s="447"/>
      <c r="H4846" s="66">
        <f>H4844*9%</f>
        <v>4296.42</v>
      </c>
    </row>
    <row r="4847" spans="1:8" ht="15.6" x14ac:dyDescent="0.3">
      <c r="A4847" s="448" t="s">
        <v>49</v>
      </c>
      <c r="B4847" s="449"/>
      <c r="C4847" s="24"/>
      <c r="D4847" s="25"/>
      <c r="E4847" s="25"/>
      <c r="F4847" s="447" t="s">
        <v>50</v>
      </c>
      <c r="G4847" s="447"/>
      <c r="H4847" s="66">
        <v>56331</v>
      </c>
    </row>
    <row r="4848" spans="1:8" ht="27" x14ac:dyDescent="0.3">
      <c r="A4848" s="68" t="s">
        <v>22</v>
      </c>
      <c r="B4848" s="30" t="s">
        <v>51</v>
      </c>
      <c r="C4848" s="70" t="s">
        <v>24</v>
      </c>
      <c r="D4848" s="31" t="s">
        <v>25</v>
      </c>
      <c r="E4848" s="450" t="s">
        <v>52</v>
      </c>
      <c r="F4848" s="450"/>
      <c r="G4848" s="28"/>
      <c r="H4848" s="32"/>
    </row>
    <row r="4849" spans="1:8" x14ac:dyDescent="0.3">
      <c r="A4849" s="72">
        <v>0.18</v>
      </c>
      <c r="B4849" s="73">
        <f>H4844</f>
        <v>47738</v>
      </c>
      <c r="C4849" s="74">
        <f>H4845</f>
        <v>4296.42</v>
      </c>
      <c r="D4849" s="74">
        <f>H4845</f>
        <v>4296.42</v>
      </c>
      <c r="E4849" s="507">
        <f>C4849+D4849</f>
        <v>8592.84</v>
      </c>
      <c r="F4849" s="507"/>
      <c r="G4849" s="74"/>
      <c r="H4849" s="75"/>
    </row>
    <row r="4850" spans="1:8" x14ac:dyDescent="0.3">
      <c r="A4850" s="508" t="s">
        <v>946</v>
      </c>
      <c r="B4850" s="509"/>
      <c r="C4850" s="509"/>
      <c r="D4850" s="509"/>
      <c r="E4850" s="453"/>
      <c r="F4850" s="453"/>
      <c r="G4850" s="453"/>
      <c r="H4850" s="454"/>
    </row>
    <row r="4851" spans="1:8" ht="15.6" x14ac:dyDescent="0.3">
      <c r="A4851" s="455" t="s">
        <v>53</v>
      </c>
      <c r="B4851" s="456"/>
      <c r="C4851" s="456"/>
      <c r="D4851" s="457"/>
      <c r="E4851" s="458" t="s">
        <v>54</v>
      </c>
      <c r="F4851" s="459"/>
      <c r="G4851" s="459"/>
      <c r="H4851" s="460"/>
    </row>
    <row r="4852" spans="1:8" x14ac:dyDescent="0.3">
      <c r="A4852" s="461" t="s">
        <v>55</v>
      </c>
      <c r="B4852" s="462"/>
      <c r="C4852" s="462"/>
      <c r="D4852" s="463"/>
      <c r="E4852" s="39"/>
      <c r="F4852" s="28"/>
      <c r="G4852" s="28"/>
      <c r="H4852" s="32"/>
    </row>
    <row r="4853" spans="1:8" x14ac:dyDescent="0.3">
      <c r="A4853" s="461" t="s">
        <v>56</v>
      </c>
      <c r="B4853" s="462"/>
      <c r="C4853" s="462"/>
      <c r="D4853" s="463"/>
      <c r="E4853" s="39"/>
      <c r="F4853" s="28"/>
      <c r="G4853" s="28"/>
      <c r="H4853" s="32"/>
    </row>
    <row r="4854" spans="1:8" x14ac:dyDescent="0.3">
      <c r="A4854" s="461" t="s">
        <v>57</v>
      </c>
      <c r="B4854" s="462"/>
      <c r="C4854" s="462"/>
      <c r="D4854" s="463"/>
      <c r="E4854" s="39"/>
      <c r="F4854" s="28"/>
      <c r="G4854" s="28"/>
      <c r="H4854" s="32"/>
    </row>
    <row r="4855" spans="1:8" ht="15.6" x14ac:dyDescent="0.3">
      <c r="A4855" s="464" t="s">
        <v>58</v>
      </c>
      <c r="B4855" s="465"/>
      <c r="C4855" s="465"/>
      <c r="D4855" s="510"/>
      <c r="E4855" s="466" t="s">
        <v>59</v>
      </c>
      <c r="F4855" s="467"/>
      <c r="G4855" s="467"/>
      <c r="H4855" s="468"/>
    </row>
    <row r="4859" spans="1:8" ht="44.4" x14ac:dyDescent="0.7">
      <c r="A4859" s="469" t="s">
        <v>0</v>
      </c>
      <c r="B4859" s="470"/>
      <c r="C4859" s="470"/>
      <c r="D4859" s="470"/>
      <c r="E4859" s="531" t="s">
        <v>1</v>
      </c>
      <c r="F4859" s="544"/>
      <c r="G4859" s="544"/>
      <c r="H4859" s="545"/>
    </row>
    <row r="4860" spans="1:8" ht="20.399999999999999" x14ac:dyDescent="0.35">
      <c r="A4860" s="1"/>
      <c r="B4860" s="476" t="s">
        <v>2</v>
      </c>
      <c r="C4860" s="476"/>
      <c r="D4860" s="476"/>
      <c r="E4860" s="546"/>
      <c r="F4860" s="546"/>
      <c r="G4860" s="546"/>
      <c r="H4860" s="547"/>
    </row>
    <row r="4861" spans="1:8" x14ac:dyDescent="0.3">
      <c r="A4861" s="477" t="s">
        <v>3</v>
      </c>
      <c r="B4861" s="478"/>
      <c r="C4861" s="479" t="s">
        <v>4</v>
      </c>
      <c r="D4861" s="479"/>
      <c r="E4861" s="548" t="s">
        <v>5</v>
      </c>
      <c r="F4861" s="549"/>
      <c r="G4861" s="549"/>
      <c r="H4861" s="550"/>
    </row>
    <row r="4862" spans="1:8" ht="15.6" x14ac:dyDescent="0.3">
      <c r="A4862" s="138" t="s">
        <v>6</v>
      </c>
      <c r="B4862" s="5"/>
      <c r="C4862" s="481" t="s">
        <v>7</v>
      </c>
      <c r="D4862" s="481"/>
      <c r="E4862" s="482">
        <v>106</v>
      </c>
      <c r="F4862" s="482"/>
      <c r="G4862" s="7" t="s">
        <v>8</v>
      </c>
      <c r="H4862" s="8" t="s">
        <v>948</v>
      </c>
    </row>
    <row r="4863" spans="1:8" ht="15.6" x14ac:dyDescent="0.3">
      <c r="A4863" s="551" t="s">
        <v>950</v>
      </c>
      <c r="B4863" s="552"/>
      <c r="C4863" s="481" t="s">
        <v>10</v>
      </c>
      <c r="D4863" s="481"/>
      <c r="E4863" s="482"/>
      <c r="F4863" s="482"/>
      <c r="G4863" s="7" t="s">
        <v>8</v>
      </c>
      <c r="H4863" s="9"/>
    </row>
    <row r="4864" spans="1:8" ht="15" x14ac:dyDescent="0.3">
      <c r="A4864" s="517" t="s">
        <v>951</v>
      </c>
      <c r="B4864" s="553"/>
      <c r="C4864" s="483" t="s">
        <v>12</v>
      </c>
      <c r="D4864" s="484"/>
      <c r="E4864" s="615">
        <v>63</v>
      </c>
      <c r="F4864" s="616"/>
      <c r="G4864" s="10" t="s">
        <v>8</v>
      </c>
      <c r="H4864" s="57" t="s">
        <v>660</v>
      </c>
    </row>
    <row r="4865" spans="1:8" ht="15.6" x14ac:dyDescent="0.3">
      <c r="A4865" s="556" t="s">
        <v>952</v>
      </c>
      <c r="B4865" s="557"/>
      <c r="C4865" s="481" t="s">
        <v>15</v>
      </c>
      <c r="D4865" s="481"/>
      <c r="E4865" s="123" t="s">
        <v>949</v>
      </c>
      <c r="F4865" s="44"/>
      <c r="G4865" s="44"/>
      <c r="H4865" s="246"/>
    </row>
    <row r="4866" spans="1:8" ht="15.6" x14ac:dyDescent="0.3">
      <c r="A4866" s="586" t="s">
        <v>953</v>
      </c>
      <c r="B4866" s="587"/>
      <c r="C4866" s="489"/>
      <c r="D4866" s="490"/>
      <c r="E4866" s="490"/>
      <c r="F4866" s="490"/>
      <c r="G4866" s="490"/>
      <c r="H4866" s="491"/>
    </row>
    <row r="4867" spans="1:8" ht="15" x14ac:dyDescent="0.3">
      <c r="A4867" s="492" t="s">
        <v>17</v>
      </c>
      <c r="B4867" s="494" t="s">
        <v>18</v>
      </c>
      <c r="C4867" s="494" t="s">
        <v>19</v>
      </c>
      <c r="D4867" s="494" t="s">
        <v>20</v>
      </c>
      <c r="E4867" s="494" t="s">
        <v>21</v>
      </c>
      <c r="F4867" s="494" t="s">
        <v>22</v>
      </c>
      <c r="G4867" s="494"/>
      <c r="H4867" s="492" t="s">
        <v>23</v>
      </c>
    </row>
    <row r="4868" spans="1:8" ht="27.6" x14ac:dyDescent="0.3">
      <c r="A4868" s="492"/>
      <c r="B4868" s="495"/>
      <c r="C4868" s="494"/>
      <c r="D4868" s="494"/>
      <c r="E4868" s="494"/>
      <c r="F4868" s="53" t="s">
        <v>24</v>
      </c>
      <c r="G4868" s="53" t="s">
        <v>25</v>
      </c>
      <c r="H4868" s="492"/>
    </row>
    <row r="4869" spans="1:8" x14ac:dyDescent="0.3">
      <c r="A4869" s="139">
        <v>1</v>
      </c>
      <c r="B4869" s="140" t="s">
        <v>941</v>
      </c>
      <c r="C4869" s="141">
        <v>1</v>
      </c>
      <c r="D4869" s="86">
        <v>998719</v>
      </c>
      <c r="E4869" s="55">
        <v>3500</v>
      </c>
      <c r="F4869" s="93">
        <f t="shared" ref="F4869" si="51">E4869*C4869*9%</f>
        <v>315</v>
      </c>
      <c r="G4869" s="93">
        <f t="shared" ref="G4869" si="52">F4869</f>
        <v>315</v>
      </c>
      <c r="H4869" s="62">
        <f t="shared" ref="H4869" si="53">G4869+F4869+E4869*C4869</f>
        <v>4130</v>
      </c>
    </row>
    <row r="4870" spans="1:8" x14ac:dyDescent="0.3">
      <c r="A4870" s="139"/>
      <c r="B4870" s="140"/>
      <c r="C4870" s="142"/>
      <c r="D4870" s="86"/>
      <c r="E4870" s="55"/>
      <c r="F4870" s="93"/>
      <c r="G4870" s="93"/>
      <c r="H4870" s="62"/>
    </row>
    <row r="4871" spans="1:8" x14ac:dyDescent="0.3">
      <c r="A4871" s="143"/>
      <c r="B4871" s="140"/>
      <c r="C4871" s="142"/>
      <c r="D4871" s="144"/>
      <c r="E4871" s="129"/>
      <c r="F4871" s="93"/>
      <c r="G4871" s="93"/>
      <c r="H4871" s="62"/>
    </row>
    <row r="4872" spans="1:8" x14ac:dyDescent="0.3">
      <c r="A4872" s="147"/>
      <c r="B4872" s="140"/>
      <c r="C4872" s="141"/>
      <c r="D4872" s="86"/>
      <c r="E4872" s="55"/>
      <c r="F4872" s="93"/>
      <c r="G4872" s="93"/>
      <c r="H4872" s="62"/>
    </row>
    <row r="4873" spans="1:8" x14ac:dyDescent="0.3">
      <c r="A4873" s="55"/>
      <c r="B4873" s="148"/>
      <c r="C4873" s="55"/>
      <c r="D4873" s="86"/>
      <c r="E4873" s="55"/>
      <c r="F4873" s="93"/>
      <c r="G4873" s="93"/>
      <c r="H4873" s="62"/>
    </row>
    <row r="4874" spans="1:8" x14ac:dyDescent="0.3">
      <c r="A4874" s="55"/>
      <c r="B4874" s="148"/>
      <c r="C4874" s="55"/>
      <c r="D4874" s="297"/>
      <c r="E4874" s="47"/>
      <c r="F4874" s="93"/>
      <c r="G4874" s="93"/>
      <c r="H4874" s="62"/>
    </row>
    <row r="4875" spans="1:8" x14ac:dyDescent="0.3">
      <c r="A4875" s="27"/>
      <c r="B4875" s="28"/>
      <c r="C4875" s="24"/>
      <c r="D4875" s="25"/>
      <c r="E4875" s="25"/>
      <c r="F4875" s="28"/>
      <c r="G4875" s="28"/>
      <c r="H4875" s="32"/>
    </row>
    <row r="4876" spans="1:8" x14ac:dyDescent="0.3">
      <c r="A4876" s="27"/>
      <c r="B4876" s="28"/>
      <c r="C4876" s="24"/>
      <c r="D4876" s="25"/>
      <c r="E4876" s="25"/>
      <c r="F4876" s="28"/>
      <c r="G4876" s="28"/>
      <c r="H4876" s="32"/>
    </row>
    <row r="4877" spans="1:8" x14ac:dyDescent="0.3">
      <c r="A4877" s="27"/>
      <c r="B4877" s="28"/>
      <c r="C4877" s="24"/>
      <c r="D4877" s="25"/>
      <c r="E4877" s="25"/>
      <c r="F4877" s="28"/>
      <c r="G4877" s="28"/>
      <c r="H4877" s="32"/>
    </row>
    <row r="4878" spans="1:8" x14ac:dyDescent="0.3">
      <c r="A4878" s="27"/>
      <c r="B4878" s="28"/>
      <c r="C4878" s="24"/>
      <c r="D4878" s="25"/>
      <c r="E4878" s="25"/>
      <c r="F4878" s="28"/>
      <c r="G4878" s="28"/>
      <c r="H4878" s="32"/>
    </row>
    <row r="4879" spans="1:8" x14ac:dyDescent="0.3">
      <c r="A4879" s="27"/>
      <c r="B4879" s="28"/>
      <c r="C4879" s="24"/>
      <c r="D4879" s="25"/>
      <c r="E4879" s="25"/>
      <c r="F4879" s="28"/>
      <c r="G4879" s="28"/>
      <c r="H4879" s="32"/>
    </row>
    <row r="4880" spans="1:8" x14ac:dyDescent="0.3">
      <c r="A4880" s="27"/>
      <c r="B4880" s="28"/>
      <c r="C4880" s="24"/>
      <c r="D4880" s="25"/>
      <c r="E4880" s="25"/>
      <c r="F4880" s="28"/>
      <c r="G4880" s="28"/>
      <c r="H4880" s="32"/>
    </row>
    <row r="4881" spans="1:8" x14ac:dyDescent="0.3">
      <c r="A4881" s="27"/>
      <c r="B4881" s="28"/>
      <c r="C4881" s="24"/>
      <c r="D4881" s="25"/>
      <c r="E4881" s="25"/>
      <c r="F4881" s="28"/>
      <c r="G4881" s="28"/>
      <c r="H4881" s="32"/>
    </row>
    <row r="4882" spans="1:8" x14ac:dyDescent="0.3">
      <c r="A4882" s="27"/>
      <c r="B4882" s="28"/>
      <c r="C4882" s="24"/>
      <c r="D4882" s="25"/>
      <c r="E4882" s="25"/>
      <c r="F4882" s="28"/>
      <c r="G4882" s="28"/>
      <c r="H4882" s="32"/>
    </row>
    <row r="4883" spans="1:8" x14ac:dyDescent="0.3">
      <c r="A4883" s="27"/>
      <c r="B4883" s="28"/>
      <c r="C4883" s="24"/>
      <c r="D4883" s="25"/>
      <c r="E4883" s="25"/>
      <c r="F4883" s="28"/>
      <c r="G4883" s="28"/>
      <c r="H4883" s="32"/>
    </row>
    <row r="4884" spans="1:8" x14ac:dyDescent="0.3">
      <c r="A4884" s="27"/>
      <c r="B4884" s="28"/>
      <c r="C4884" s="24"/>
      <c r="D4884" s="25"/>
      <c r="E4884" s="25"/>
      <c r="F4884" s="28"/>
      <c r="G4884" s="28"/>
      <c r="H4884" s="32"/>
    </row>
    <row r="4885" spans="1:8" x14ac:dyDescent="0.3">
      <c r="A4885" s="27"/>
      <c r="B4885" s="28"/>
      <c r="C4885" s="24"/>
      <c r="D4885" s="25"/>
      <c r="E4885" s="25"/>
      <c r="F4885" s="28"/>
      <c r="G4885" s="28"/>
      <c r="H4885" s="32"/>
    </row>
    <row r="4886" spans="1:8" x14ac:dyDescent="0.3">
      <c r="A4886" s="27"/>
      <c r="B4886" s="28"/>
      <c r="C4886" s="24"/>
      <c r="D4886" s="25"/>
      <c r="E4886" s="25"/>
      <c r="F4886" s="28"/>
      <c r="G4886" s="28"/>
      <c r="H4886" s="32"/>
    </row>
    <row r="4887" spans="1:8" x14ac:dyDescent="0.3">
      <c r="A4887" s="27"/>
      <c r="B4887" s="28"/>
      <c r="C4887" s="24"/>
      <c r="D4887" s="25"/>
      <c r="E4887" s="25"/>
      <c r="F4887" s="28"/>
      <c r="G4887" s="28"/>
      <c r="H4887" s="32"/>
    </row>
    <row r="4888" spans="1:8" x14ac:dyDescent="0.3">
      <c r="A4888" s="27"/>
      <c r="B4888" s="28"/>
      <c r="C4888" s="24"/>
      <c r="D4888" s="25"/>
      <c r="E4888" s="25"/>
      <c r="F4888" s="28"/>
      <c r="G4888" s="28"/>
      <c r="H4888" s="32"/>
    </row>
    <row r="4889" spans="1:8" x14ac:dyDescent="0.3">
      <c r="A4889" s="27"/>
      <c r="B4889" s="28"/>
      <c r="C4889" s="24"/>
      <c r="D4889" s="25"/>
      <c r="E4889" s="25"/>
      <c r="F4889" s="28"/>
      <c r="G4889" s="28"/>
      <c r="H4889" s="32"/>
    </row>
    <row r="4890" spans="1:8" x14ac:dyDescent="0.3">
      <c r="A4890" s="27"/>
      <c r="B4890" s="28"/>
      <c r="C4890" s="24"/>
      <c r="D4890" s="25"/>
      <c r="E4890" s="25"/>
      <c r="F4890" s="28"/>
      <c r="G4890" s="28"/>
      <c r="H4890" s="32"/>
    </row>
    <row r="4891" spans="1:8" ht="15.6" x14ac:dyDescent="0.3">
      <c r="A4891" s="448" t="s">
        <v>45</v>
      </c>
      <c r="B4891" s="449"/>
      <c r="C4891" s="449"/>
      <c r="D4891" s="25"/>
      <c r="E4891" s="25"/>
      <c r="F4891" s="447" t="s">
        <v>46</v>
      </c>
      <c r="G4891" s="447"/>
      <c r="H4891" s="66">
        <v>3500</v>
      </c>
    </row>
    <row r="4892" spans="1:8" ht="15.6" x14ac:dyDescent="0.3">
      <c r="A4892" s="497" t="s">
        <v>954</v>
      </c>
      <c r="B4892" s="498"/>
      <c r="C4892" s="498"/>
      <c r="D4892" s="498"/>
      <c r="E4892" s="498"/>
      <c r="F4892" s="447" t="s">
        <v>47</v>
      </c>
      <c r="G4892" s="447"/>
      <c r="H4892" s="66">
        <f>H4891*9%</f>
        <v>315</v>
      </c>
    </row>
    <row r="4893" spans="1:8" ht="15.6" x14ac:dyDescent="0.3">
      <c r="A4893" s="27"/>
      <c r="B4893" s="28"/>
      <c r="C4893" s="24"/>
      <c r="D4893" s="25"/>
      <c r="E4893" s="25"/>
      <c r="F4893" s="447" t="s">
        <v>48</v>
      </c>
      <c r="G4893" s="447"/>
      <c r="H4893" s="66">
        <f>H4891*9%</f>
        <v>315</v>
      </c>
    </row>
    <row r="4894" spans="1:8" ht="15.6" x14ac:dyDescent="0.3">
      <c r="A4894" s="448" t="s">
        <v>49</v>
      </c>
      <c r="B4894" s="449"/>
      <c r="C4894" s="24"/>
      <c r="D4894" s="25"/>
      <c r="E4894" s="25"/>
      <c r="F4894" s="447" t="s">
        <v>50</v>
      </c>
      <c r="G4894" s="447"/>
      <c r="H4894" s="66">
        <v>4130</v>
      </c>
    </row>
    <row r="4895" spans="1:8" ht="27" x14ac:dyDescent="0.3">
      <c r="A4895" s="68" t="s">
        <v>22</v>
      </c>
      <c r="B4895" s="30" t="s">
        <v>51</v>
      </c>
      <c r="C4895" s="70" t="s">
        <v>24</v>
      </c>
      <c r="D4895" s="31" t="s">
        <v>25</v>
      </c>
      <c r="E4895" s="450" t="s">
        <v>52</v>
      </c>
      <c r="F4895" s="450"/>
      <c r="G4895" s="28"/>
      <c r="H4895" s="32"/>
    </row>
    <row r="4896" spans="1:8" x14ac:dyDescent="0.3">
      <c r="A4896" s="72">
        <v>0.18</v>
      </c>
      <c r="B4896" s="73">
        <f>H4891</f>
        <v>3500</v>
      </c>
      <c r="C4896" s="74">
        <f>H4892</f>
        <v>315</v>
      </c>
      <c r="D4896" s="74">
        <f>H4892</f>
        <v>315</v>
      </c>
      <c r="E4896" s="507">
        <f>C4896+D4896</f>
        <v>630</v>
      </c>
      <c r="F4896" s="507"/>
      <c r="G4896" s="74"/>
      <c r="H4896" s="75"/>
    </row>
    <row r="4897" spans="1:8" x14ac:dyDescent="0.3">
      <c r="A4897" s="508" t="s">
        <v>955</v>
      </c>
      <c r="B4897" s="509"/>
      <c r="C4897" s="509"/>
      <c r="D4897" s="509"/>
      <c r="E4897" s="453"/>
      <c r="F4897" s="453"/>
      <c r="G4897" s="453"/>
      <c r="H4897" s="454"/>
    </row>
    <row r="4898" spans="1:8" ht="15.6" x14ac:dyDescent="0.3">
      <c r="A4898" s="455" t="s">
        <v>53</v>
      </c>
      <c r="B4898" s="456"/>
      <c r="C4898" s="456"/>
      <c r="D4898" s="457"/>
      <c r="E4898" s="458" t="s">
        <v>54</v>
      </c>
      <c r="F4898" s="459"/>
      <c r="G4898" s="459"/>
      <c r="H4898" s="460"/>
    </row>
    <row r="4899" spans="1:8" x14ac:dyDescent="0.3">
      <c r="A4899" s="461" t="s">
        <v>55</v>
      </c>
      <c r="B4899" s="462"/>
      <c r="C4899" s="462"/>
      <c r="D4899" s="463"/>
      <c r="E4899" s="39"/>
      <c r="F4899" s="28"/>
      <c r="G4899" s="28"/>
      <c r="H4899" s="32"/>
    </row>
    <row r="4900" spans="1:8" x14ac:dyDescent="0.3">
      <c r="A4900" s="461" t="s">
        <v>56</v>
      </c>
      <c r="B4900" s="462"/>
      <c r="C4900" s="462"/>
      <c r="D4900" s="463"/>
      <c r="E4900" s="39"/>
      <c r="F4900" s="28"/>
      <c r="G4900" s="28"/>
      <c r="H4900" s="32"/>
    </row>
    <row r="4901" spans="1:8" x14ac:dyDescent="0.3">
      <c r="A4901" s="461" t="s">
        <v>57</v>
      </c>
      <c r="B4901" s="462"/>
      <c r="C4901" s="462"/>
      <c r="D4901" s="463"/>
      <c r="E4901" s="39"/>
      <c r="F4901" s="28"/>
      <c r="G4901" s="28"/>
      <c r="H4901" s="32"/>
    </row>
    <row r="4902" spans="1:8" ht="15.6" x14ac:dyDescent="0.3">
      <c r="A4902" s="464" t="s">
        <v>58</v>
      </c>
      <c r="B4902" s="465"/>
      <c r="C4902" s="465"/>
      <c r="D4902" s="510"/>
      <c r="E4902" s="466" t="s">
        <v>59</v>
      </c>
      <c r="F4902" s="467"/>
      <c r="G4902" s="467"/>
      <c r="H4902" s="468"/>
    </row>
    <row r="4906" spans="1:8" ht="44.4" x14ac:dyDescent="0.7">
      <c r="A4906" s="469" t="s">
        <v>0</v>
      </c>
      <c r="B4906" s="470"/>
      <c r="C4906" s="470"/>
      <c r="D4906" s="470"/>
      <c r="E4906" s="531" t="s">
        <v>1</v>
      </c>
      <c r="F4906" s="544"/>
      <c r="G4906" s="544"/>
      <c r="H4906" s="545"/>
    </row>
    <row r="4907" spans="1:8" ht="20.399999999999999" x14ac:dyDescent="0.35">
      <c r="A4907" s="1"/>
      <c r="B4907" s="476" t="s">
        <v>2</v>
      </c>
      <c r="C4907" s="476"/>
      <c r="D4907" s="476"/>
      <c r="E4907" s="546"/>
      <c r="F4907" s="546"/>
      <c r="G4907" s="546"/>
      <c r="H4907" s="547"/>
    </row>
    <row r="4908" spans="1:8" x14ac:dyDescent="0.3">
      <c r="A4908" s="477" t="s">
        <v>3</v>
      </c>
      <c r="B4908" s="478"/>
      <c r="C4908" s="479" t="s">
        <v>4</v>
      </c>
      <c r="D4908" s="479"/>
      <c r="E4908" s="548" t="s">
        <v>5</v>
      </c>
      <c r="F4908" s="549"/>
      <c r="G4908" s="549"/>
      <c r="H4908" s="550"/>
    </row>
    <row r="4909" spans="1:8" ht="15.6" x14ac:dyDescent="0.3">
      <c r="A4909" s="138" t="s">
        <v>6</v>
      </c>
      <c r="B4909" s="5"/>
      <c r="C4909" s="481" t="s">
        <v>7</v>
      </c>
      <c r="D4909" s="481"/>
      <c r="E4909" s="482">
        <v>107</v>
      </c>
      <c r="F4909" s="482"/>
      <c r="G4909" s="7" t="s">
        <v>8</v>
      </c>
      <c r="H4909" s="8" t="s">
        <v>948</v>
      </c>
    </row>
    <row r="4910" spans="1:8" ht="15.6" x14ac:dyDescent="0.3">
      <c r="A4910" s="551" t="s">
        <v>950</v>
      </c>
      <c r="B4910" s="552"/>
      <c r="C4910" s="481" t="s">
        <v>10</v>
      </c>
      <c r="D4910" s="481"/>
      <c r="E4910" s="482"/>
      <c r="F4910" s="482"/>
      <c r="G4910" s="7" t="s">
        <v>8</v>
      </c>
      <c r="H4910" s="9"/>
    </row>
    <row r="4911" spans="1:8" ht="15" x14ac:dyDescent="0.3">
      <c r="A4911" s="517" t="s">
        <v>951</v>
      </c>
      <c r="B4911" s="553"/>
      <c r="C4911" s="483" t="s">
        <v>12</v>
      </c>
      <c r="D4911" s="484"/>
      <c r="E4911" s="615">
        <v>61</v>
      </c>
      <c r="F4911" s="616"/>
      <c r="G4911" s="10" t="s">
        <v>8</v>
      </c>
      <c r="H4911" s="57" t="s">
        <v>956</v>
      </c>
    </row>
    <row r="4912" spans="1:8" ht="15.6" x14ac:dyDescent="0.3">
      <c r="A4912" s="556" t="s">
        <v>952</v>
      </c>
      <c r="B4912" s="557"/>
      <c r="C4912" s="481" t="s">
        <v>15</v>
      </c>
      <c r="D4912" s="481"/>
      <c r="E4912" s="123" t="s">
        <v>949</v>
      </c>
      <c r="F4912" s="44"/>
      <c r="G4912" s="44"/>
      <c r="H4912" s="246"/>
    </row>
    <row r="4913" spans="1:9" ht="15.6" x14ac:dyDescent="0.3">
      <c r="A4913" s="558" t="s">
        <v>957</v>
      </c>
      <c r="B4913" s="559"/>
      <c r="C4913" s="489"/>
      <c r="D4913" s="490"/>
      <c r="E4913" s="490"/>
      <c r="F4913" s="490"/>
      <c r="G4913" s="490"/>
      <c r="H4913" s="491"/>
    </row>
    <row r="4914" spans="1:9" ht="15" x14ac:dyDescent="0.3">
      <c r="A4914" s="492" t="s">
        <v>17</v>
      </c>
      <c r="B4914" s="494" t="s">
        <v>18</v>
      </c>
      <c r="C4914" s="494" t="s">
        <v>19</v>
      </c>
      <c r="D4914" s="494" t="s">
        <v>20</v>
      </c>
      <c r="E4914" s="494" t="s">
        <v>21</v>
      </c>
      <c r="F4914" s="494" t="s">
        <v>22</v>
      </c>
      <c r="G4914" s="494"/>
      <c r="H4914" s="492" t="s">
        <v>23</v>
      </c>
    </row>
    <row r="4915" spans="1:9" ht="27.6" x14ac:dyDescent="0.3">
      <c r="A4915" s="492"/>
      <c r="B4915" s="495"/>
      <c r="C4915" s="494"/>
      <c r="D4915" s="494"/>
      <c r="E4915" s="494"/>
      <c r="F4915" s="53" t="s">
        <v>24</v>
      </c>
      <c r="G4915" s="53" t="s">
        <v>25</v>
      </c>
      <c r="H4915" s="492"/>
    </row>
    <row r="4916" spans="1:9" x14ac:dyDescent="0.3">
      <c r="A4916" s="139">
        <v>1</v>
      </c>
      <c r="B4916" s="140" t="s">
        <v>941</v>
      </c>
      <c r="C4916" s="141">
        <v>10</v>
      </c>
      <c r="D4916" s="86">
        <v>998719</v>
      </c>
      <c r="E4916" s="55">
        <v>2700</v>
      </c>
      <c r="F4916" s="93">
        <f>E4916*C4916*9%</f>
        <v>2430</v>
      </c>
      <c r="G4916" s="93">
        <f t="shared" ref="G4916" si="54">F4916</f>
        <v>2430</v>
      </c>
      <c r="H4916" s="62">
        <f t="shared" ref="H4916" si="55">G4916+F4916+E4916*C4916</f>
        <v>31860</v>
      </c>
      <c r="I4916" s="362">
        <f>E4916*C4916</f>
        <v>27000</v>
      </c>
    </row>
    <row r="4917" spans="1:9" x14ac:dyDescent="0.3">
      <c r="A4917" s="139">
        <v>2</v>
      </c>
      <c r="B4917" s="140" t="s">
        <v>958</v>
      </c>
      <c r="C4917" s="142">
        <v>12</v>
      </c>
      <c r="D4917" s="86">
        <v>998719</v>
      </c>
      <c r="E4917" s="55">
        <v>1800</v>
      </c>
      <c r="F4917" s="93">
        <f t="shared" ref="F4917:F4918" si="56">E4917*C4917*9%</f>
        <v>1944</v>
      </c>
      <c r="G4917" s="93">
        <f t="shared" ref="G4917:G4918" si="57">F4917</f>
        <v>1944</v>
      </c>
      <c r="H4917" s="62">
        <f t="shared" ref="H4917:H4918" si="58">G4917+F4917+E4917*C4917</f>
        <v>25488</v>
      </c>
      <c r="I4917" s="362">
        <f t="shared" ref="I4917:I4918" si="59">E4917*C4917</f>
        <v>21600</v>
      </c>
    </row>
    <row r="4918" spans="1:9" x14ac:dyDescent="0.3">
      <c r="A4918" s="143">
        <v>3</v>
      </c>
      <c r="B4918" s="140" t="s">
        <v>959</v>
      </c>
      <c r="C4918" s="142">
        <v>4</v>
      </c>
      <c r="D4918" s="86">
        <v>998719</v>
      </c>
      <c r="E4918" s="129">
        <v>4000</v>
      </c>
      <c r="F4918" s="93">
        <f t="shared" si="56"/>
        <v>1440</v>
      </c>
      <c r="G4918" s="93">
        <f t="shared" si="57"/>
        <v>1440</v>
      </c>
      <c r="H4918" s="62">
        <f t="shared" si="58"/>
        <v>18880</v>
      </c>
      <c r="I4918" s="362">
        <f t="shared" si="59"/>
        <v>16000</v>
      </c>
    </row>
    <row r="4919" spans="1:9" x14ac:dyDescent="0.3">
      <c r="A4919" s="147"/>
      <c r="B4919" s="140"/>
      <c r="C4919" s="141"/>
      <c r="D4919" s="86"/>
      <c r="E4919" s="55"/>
      <c r="F4919" s="93"/>
      <c r="G4919" s="93"/>
      <c r="H4919" s="62"/>
    </row>
    <row r="4920" spans="1:9" x14ac:dyDescent="0.3">
      <c r="A4920" s="55"/>
      <c r="B4920" s="148"/>
      <c r="C4920" s="55"/>
      <c r="D4920" s="86"/>
      <c r="E4920" s="55"/>
      <c r="F4920" s="93"/>
      <c r="G4920" s="93"/>
      <c r="H4920" s="62"/>
    </row>
    <row r="4921" spans="1:9" x14ac:dyDescent="0.3">
      <c r="A4921" s="55"/>
      <c r="B4921" s="148"/>
      <c r="C4921" s="55"/>
      <c r="D4921" s="297"/>
      <c r="E4921" s="47"/>
      <c r="F4921" s="93"/>
      <c r="G4921" s="93"/>
      <c r="H4921" s="62"/>
    </row>
    <row r="4922" spans="1:9" x14ac:dyDescent="0.3">
      <c r="A4922" s="27"/>
      <c r="B4922" s="28"/>
      <c r="C4922" s="24"/>
      <c r="D4922" s="25"/>
      <c r="E4922" s="25"/>
      <c r="F4922" s="28"/>
      <c r="G4922" s="28"/>
      <c r="H4922" s="32"/>
    </row>
    <row r="4923" spans="1:9" x14ac:dyDescent="0.3">
      <c r="A4923" s="27"/>
      <c r="B4923" s="28"/>
      <c r="C4923" s="24"/>
      <c r="D4923" s="25"/>
      <c r="E4923" s="25"/>
      <c r="F4923" s="28"/>
      <c r="G4923" s="28"/>
      <c r="H4923" s="32"/>
    </row>
    <row r="4924" spans="1:9" x14ac:dyDescent="0.3">
      <c r="A4924" s="27"/>
      <c r="B4924" s="28"/>
      <c r="C4924" s="24"/>
      <c r="D4924" s="25"/>
      <c r="E4924" s="25"/>
      <c r="F4924" s="28"/>
      <c r="G4924" s="28"/>
      <c r="H4924" s="32"/>
    </row>
    <row r="4925" spans="1:9" x14ac:dyDescent="0.3">
      <c r="A4925" s="27"/>
      <c r="B4925" s="28"/>
      <c r="C4925" s="24"/>
      <c r="D4925" s="25"/>
      <c r="E4925" s="25"/>
      <c r="F4925" s="28"/>
      <c r="G4925" s="28"/>
      <c r="H4925" s="32"/>
    </row>
    <row r="4926" spans="1:9" x14ac:dyDescent="0.3">
      <c r="A4926" s="27"/>
      <c r="B4926" s="28"/>
      <c r="C4926" s="24"/>
      <c r="D4926" s="25"/>
      <c r="E4926" s="25"/>
      <c r="F4926" s="28"/>
      <c r="G4926" s="28"/>
      <c r="H4926" s="32"/>
    </row>
    <row r="4927" spans="1:9" x14ac:dyDescent="0.3">
      <c r="A4927" s="27"/>
      <c r="B4927" s="28"/>
      <c r="C4927" s="24"/>
      <c r="D4927" s="25"/>
      <c r="E4927" s="25"/>
      <c r="F4927" s="28"/>
      <c r="G4927" s="28"/>
      <c r="H4927" s="32"/>
    </row>
    <row r="4928" spans="1:9" x14ac:dyDescent="0.3">
      <c r="A4928" s="27"/>
      <c r="B4928" s="28"/>
      <c r="C4928" s="24"/>
      <c r="D4928" s="25"/>
      <c r="E4928" s="25"/>
      <c r="F4928" s="28"/>
      <c r="G4928" s="28"/>
      <c r="H4928" s="32"/>
    </row>
    <row r="4929" spans="1:8" x14ac:dyDescent="0.3">
      <c r="A4929" s="27"/>
      <c r="B4929" s="28"/>
      <c r="C4929" s="24"/>
      <c r="D4929" s="25"/>
      <c r="E4929" s="25"/>
      <c r="F4929" s="28"/>
      <c r="G4929" s="28"/>
      <c r="H4929" s="32"/>
    </row>
    <row r="4930" spans="1:8" x14ac:dyDescent="0.3">
      <c r="A4930" s="27"/>
      <c r="B4930" s="28"/>
      <c r="C4930" s="24"/>
      <c r="D4930" s="25"/>
      <c r="E4930" s="25"/>
      <c r="F4930" s="28"/>
      <c r="G4930" s="28"/>
      <c r="H4930" s="32"/>
    </row>
    <row r="4931" spans="1:8" x14ac:dyDescent="0.3">
      <c r="A4931" s="27"/>
      <c r="B4931" s="28"/>
      <c r="C4931" s="24"/>
      <c r="D4931" s="25"/>
      <c r="E4931" s="25"/>
      <c r="F4931" s="28"/>
      <c r="G4931" s="28"/>
      <c r="H4931" s="32"/>
    </row>
    <row r="4932" spans="1:8" x14ac:dyDescent="0.3">
      <c r="A4932" s="27"/>
      <c r="B4932" s="28"/>
      <c r="C4932" s="24"/>
      <c r="D4932" s="25"/>
      <c r="E4932" s="25"/>
      <c r="F4932" s="28"/>
      <c r="G4932" s="28"/>
      <c r="H4932" s="32"/>
    </row>
    <row r="4933" spans="1:8" x14ac:dyDescent="0.3">
      <c r="A4933" s="27"/>
      <c r="B4933" s="28"/>
      <c r="C4933" s="24"/>
      <c r="D4933" s="25"/>
      <c r="E4933" s="25"/>
      <c r="F4933" s="28"/>
      <c r="G4933" s="28"/>
      <c r="H4933" s="32"/>
    </row>
    <row r="4934" spans="1:8" x14ac:dyDescent="0.3">
      <c r="A4934" s="27"/>
      <c r="B4934" s="28"/>
      <c r="C4934" s="24"/>
      <c r="D4934" s="25"/>
      <c r="E4934" s="25"/>
      <c r="F4934" s="28"/>
      <c r="G4934" s="28"/>
      <c r="H4934" s="32"/>
    </row>
    <row r="4935" spans="1:8" x14ac:dyDescent="0.3">
      <c r="A4935" s="27"/>
      <c r="B4935" s="28"/>
      <c r="C4935" s="24"/>
      <c r="D4935" s="25"/>
      <c r="E4935" s="25"/>
      <c r="F4935" s="28"/>
      <c r="G4935" s="28"/>
      <c r="H4935" s="32"/>
    </row>
    <row r="4936" spans="1:8" x14ac:dyDescent="0.3">
      <c r="A4936" s="27"/>
      <c r="B4936" s="28"/>
      <c r="C4936" s="24"/>
      <c r="D4936" s="25"/>
      <c r="E4936" s="25"/>
      <c r="F4936" s="28"/>
      <c r="G4936" s="28"/>
      <c r="H4936" s="32"/>
    </row>
    <row r="4937" spans="1:8" x14ac:dyDescent="0.3">
      <c r="A4937" s="27"/>
      <c r="B4937" s="28"/>
      <c r="C4937" s="24"/>
      <c r="D4937" s="25"/>
      <c r="E4937" s="25"/>
      <c r="F4937" s="28"/>
      <c r="G4937" s="28"/>
      <c r="H4937" s="32"/>
    </row>
    <row r="4938" spans="1:8" ht="15.6" x14ac:dyDescent="0.3">
      <c r="A4938" s="448" t="s">
        <v>45</v>
      </c>
      <c r="B4938" s="449"/>
      <c r="C4938" s="449"/>
      <c r="D4938" s="25"/>
      <c r="E4938" s="25"/>
      <c r="F4938" s="447" t="s">
        <v>46</v>
      </c>
      <c r="G4938" s="447"/>
      <c r="H4938" s="66">
        <v>64600</v>
      </c>
    </row>
    <row r="4939" spans="1:8" ht="15.6" x14ac:dyDescent="0.3">
      <c r="A4939" s="497" t="s">
        <v>960</v>
      </c>
      <c r="B4939" s="498"/>
      <c r="C4939" s="498"/>
      <c r="D4939" s="498"/>
      <c r="E4939" s="498"/>
      <c r="F4939" s="447" t="s">
        <v>47</v>
      </c>
      <c r="G4939" s="447"/>
      <c r="H4939" s="66">
        <f>H4938*9%</f>
        <v>5814</v>
      </c>
    </row>
    <row r="4940" spans="1:8" ht="15.6" x14ac:dyDescent="0.3">
      <c r="A4940" s="27"/>
      <c r="B4940" s="28"/>
      <c r="C4940" s="24"/>
      <c r="D4940" s="25"/>
      <c r="E4940" s="25"/>
      <c r="F4940" s="447" t="s">
        <v>48</v>
      </c>
      <c r="G4940" s="447"/>
      <c r="H4940" s="66">
        <f>H4938*9%</f>
        <v>5814</v>
      </c>
    </row>
    <row r="4941" spans="1:8" ht="15.6" x14ac:dyDescent="0.3">
      <c r="A4941" s="448" t="s">
        <v>49</v>
      </c>
      <c r="B4941" s="449"/>
      <c r="C4941" s="24"/>
      <c r="D4941" s="25"/>
      <c r="E4941" s="25"/>
      <c r="F4941" s="447" t="s">
        <v>50</v>
      </c>
      <c r="G4941" s="447"/>
      <c r="H4941" s="66">
        <v>76228</v>
      </c>
    </row>
    <row r="4942" spans="1:8" ht="27" x14ac:dyDescent="0.3">
      <c r="A4942" s="68" t="s">
        <v>22</v>
      </c>
      <c r="B4942" s="30" t="s">
        <v>51</v>
      </c>
      <c r="C4942" s="70" t="s">
        <v>24</v>
      </c>
      <c r="D4942" s="31" t="s">
        <v>25</v>
      </c>
      <c r="E4942" s="450" t="s">
        <v>52</v>
      </c>
      <c r="F4942" s="450"/>
      <c r="G4942" s="28"/>
      <c r="H4942" s="32"/>
    </row>
    <row r="4943" spans="1:8" x14ac:dyDescent="0.3">
      <c r="A4943" s="72">
        <v>0.18</v>
      </c>
      <c r="B4943" s="73">
        <f>H4938</f>
        <v>64600</v>
      </c>
      <c r="C4943" s="74">
        <f>H4939</f>
        <v>5814</v>
      </c>
      <c r="D4943" s="74">
        <f>H4939</f>
        <v>5814</v>
      </c>
      <c r="E4943" s="507">
        <f>C4943+D4943</f>
        <v>11628</v>
      </c>
      <c r="F4943" s="507"/>
      <c r="G4943" s="74"/>
      <c r="H4943" s="75"/>
    </row>
    <row r="4944" spans="1:8" x14ac:dyDescent="0.3">
      <c r="A4944" s="508" t="s">
        <v>961</v>
      </c>
      <c r="B4944" s="509"/>
      <c r="C4944" s="509"/>
      <c r="D4944" s="509"/>
      <c r="E4944" s="453"/>
      <c r="F4944" s="453"/>
      <c r="G4944" s="453"/>
      <c r="H4944" s="454"/>
    </row>
    <row r="4945" spans="1:9" ht="15.6" x14ac:dyDescent="0.3">
      <c r="A4945" s="455" t="s">
        <v>53</v>
      </c>
      <c r="B4945" s="456"/>
      <c r="C4945" s="456"/>
      <c r="D4945" s="457"/>
      <c r="E4945" s="458" t="s">
        <v>54</v>
      </c>
      <c r="F4945" s="459"/>
      <c r="G4945" s="459"/>
      <c r="H4945" s="460"/>
    </row>
    <row r="4946" spans="1:9" x14ac:dyDescent="0.3">
      <c r="A4946" s="461" t="s">
        <v>55</v>
      </c>
      <c r="B4946" s="462"/>
      <c r="C4946" s="462"/>
      <c r="D4946" s="463"/>
      <c r="E4946" s="39"/>
      <c r="F4946" s="28"/>
      <c r="G4946" s="28"/>
      <c r="H4946" s="32"/>
    </row>
    <row r="4947" spans="1:9" x14ac:dyDescent="0.3">
      <c r="A4947" s="461" t="s">
        <v>56</v>
      </c>
      <c r="B4947" s="462"/>
      <c r="C4947" s="462"/>
      <c r="D4947" s="463"/>
      <c r="E4947" s="39"/>
      <c r="F4947" s="28"/>
      <c r="G4947" s="28"/>
      <c r="H4947" s="32"/>
    </row>
    <row r="4948" spans="1:9" x14ac:dyDescent="0.3">
      <c r="A4948" s="461" t="s">
        <v>57</v>
      </c>
      <c r="B4948" s="462"/>
      <c r="C4948" s="462"/>
      <c r="D4948" s="463"/>
      <c r="E4948" s="39"/>
      <c r="F4948" s="28"/>
      <c r="G4948" s="28"/>
      <c r="H4948" s="32"/>
    </row>
    <row r="4949" spans="1:9" ht="15.6" x14ac:dyDescent="0.3">
      <c r="A4949" s="464" t="s">
        <v>58</v>
      </c>
      <c r="B4949" s="465"/>
      <c r="C4949" s="465"/>
      <c r="D4949" s="510"/>
      <c r="E4949" s="466" t="s">
        <v>59</v>
      </c>
      <c r="F4949" s="467"/>
      <c r="G4949" s="467"/>
      <c r="H4949" s="468"/>
    </row>
    <row r="4953" spans="1:9" ht="44.4" x14ac:dyDescent="0.7">
      <c r="A4953" s="469" t="s">
        <v>0</v>
      </c>
      <c r="B4953" s="470"/>
      <c r="C4953" s="470"/>
      <c r="D4953" s="470"/>
      <c r="E4953" s="531" t="s">
        <v>92</v>
      </c>
      <c r="F4953" s="544"/>
      <c r="G4953" s="544"/>
      <c r="H4953" s="545"/>
    </row>
    <row r="4954" spans="1:9" ht="20.399999999999999" x14ac:dyDescent="0.35">
      <c r="A4954" s="1"/>
      <c r="B4954" s="476" t="s">
        <v>2</v>
      </c>
      <c r="C4954" s="476"/>
      <c r="D4954" s="476"/>
      <c r="E4954" s="546"/>
      <c r="F4954" s="546"/>
      <c r="G4954" s="546"/>
      <c r="H4954" s="547"/>
    </row>
    <row r="4955" spans="1:9" x14ac:dyDescent="0.3">
      <c r="A4955" s="477" t="s">
        <v>3</v>
      </c>
      <c r="B4955" s="478"/>
      <c r="C4955" s="479" t="s">
        <v>4</v>
      </c>
      <c r="D4955" s="479"/>
      <c r="E4955" s="480" t="s">
        <v>5</v>
      </c>
      <c r="F4955" s="480"/>
      <c r="G4955" s="480"/>
      <c r="H4955" s="480"/>
    </row>
    <row r="4956" spans="1:9" ht="15.6" x14ac:dyDescent="0.3">
      <c r="A4956" s="138" t="s">
        <v>6</v>
      </c>
      <c r="B4956" s="5"/>
      <c r="C4956" s="481" t="s">
        <v>7</v>
      </c>
      <c r="D4956" s="481"/>
      <c r="E4956" s="482">
        <v>108</v>
      </c>
      <c r="F4956" s="482"/>
      <c r="G4956" s="7" t="s">
        <v>8</v>
      </c>
      <c r="H4956" s="7" t="s">
        <v>948</v>
      </c>
      <c r="I4956" s="370"/>
    </row>
    <row r="4957" spans="1:9" ht="15.6" x14ac:dyDescent="0.3">
      <c r="A4957" s="500" t="s">
        <v>962</v>
      </c>
      <c r="B4957" s="501"/>
      <c r="C4957" s="481" t="s">
        <v>10</v>
      </c>
      <c r="D4957" s="481"/>
      <c r="E4957" s="482"/>
      <c r="F4957" s="482"/>
      <c r="G4957" s="7" t="s">
        <v>8</v>
      </c>
      <c r="H4957" s="6"/>
    </row>
    <row r="4958" spans="1:9" ht="15.6" x14ac:dyDescent="0.3">
      <c r="A4958" s="500" t="s">
        <v>963</v>
      </c>
      <c r="B4958" s="501"/>
      <c r="C4958" s="481" t="s">
        <v>12</v>
      </c>
      <c r="D4958" s="481"/>
      <c r="E4958" s="482"/>
      <c r="F4958" s="482"/>
      <c r="G4958" s="7" t="s">
        <v>8</v>
      </c>
      <c r="H4958" s="9"/>
    </row>
    <row r="4959" spans="1:9" ht="15.6" x14ac:dyDescent="0.3">
      <c r="A4959" s="500" t="s">
        <v>964</v>
      </c>
      <c r="B4959" s="501"/>
      <c r="C4959" s="481" t="s">
        <v>15</v>
      </c>
      <c r="D4959" s="481"/>
      <c r="E4959" s="536" t="s">
        <v>965</v>
      </c>
      <c r="F4959" s="617"/>
      <c r="G4959" s="617"/>
      <c r="H4959" s="516"/>
    </row>
    <row r="4960" spans="1:9" ht="15.6" x14ac:dyDescent="0.3">
      <c r="A4960" s="651" t="s">
        <v>966</v>
      </c>
      <c r="B4960" s="512"/>
      <c r="C4960" s="489"/>
      <c r="D4960" s="490"/>
      <c r="E4960" s="490"/>
      <c r="F4960" s="490"/>
      <c r="G4960" s="490"/>
      <c r="H4960" s="491"/>
    </row>
    <row r="4961" spans="1:9" ht="15" x14ac:dyDescent="0.3">
      <c r="A4961" s="492" t="s">
        <v>17</v>
      </c>
      <c r="B4961" s="494" t="s">
        <v>18</v>
      </c>
      <c r="C4961" s="494" t="s">
        <v>19</v>
      </c>
      <c r="D4961" s="494" t="s">
        <v>20</v>
      </c>
      <c r="E4961" s="494" t="s">
        <v>21</v>
      </c>
      <c r="F4961" s="494" t="s">
        <v>22</v>
      </c>
      <c r="G4961" s="494"/>
      <c r="H4961" s="492" t="s">
        <v>23</v>
      </c>
    </row>
    <row r="4962" spans="1:9" ht="27.6" x14ac:dyDescent="0.3">
      <c r="A4962" s="493"/>
      <c r="B4962" s="495"/>
      <c r="C4962" s="494"/>
      <c r="D4962" s="494"/>
      <c r="E4962" s="494"/>
      <c r="F4962" s="53" t="s">
        <v>24</v>
      </c>
      <c r="G4962" s="53" t="s">
        <v>25</v>
      </c>
      <c r="H4962" s="492"/>
    </row>
    <row r="4963" spans="1:9" x14ac:dyDescent="0.3">
      <c r="A4963" s="55">
        <v>1</v>
      </c>
      <c r="B4963" s="277" t="s">
        <v>967</v>
      </c>
      <c r="C4963" s="320">
        <v>3</v>
      </c>
      <c r="D4963" s="320">
        <v>998719</v>
      </c>
      <c r="E4963" s="320">
        <v>2000</v>
      </c>
      <c r="F4963" s="320">
        <f t="shared" ref="F4963" si="60">C4963*E4963*9%</f>
        <v>540</v>
      </c>
      <c r="G4963" s="320">
        <f>C4963*E4963*9%</f>
        <v>540</v>
      </c>
      <c r="H4963" s="320">
        <f>C4963*E4963+F4963+G4963</f>
        <v>7080</v>
      </c>
      <c r="I4963" s="362">
        <f>E4963*C4963</f>
        <v>6000</v>
      </c>
    </row>
    <row r="4964" spans="1:9" x14ac:dyDescent="0.3">
      <c r="A4964" s="55">
        <v>2</v>
      </c>
      <c r="B4964" s="277" t="s">
        <v>969</v>
      </c>
      <c r="C4964" s="320">
        <v>3</v>
      </c>
      <c r="D4964" s="20">
        <v>998719</v>
      </c>
      <c r="E4964" s="320">
        <v>3000</v>
      </c>
      <c r="F4964" s="320">
        <f t="shared" ref="F4964:F4966" si="61">C4964*E4964*9%</f>
        <v>810</v>
      </c>
      <c r="G4964" s="320">
        <f t="shared" ref="G4964:G4966" si="62">C4964*E4964*9%</f>
        <v>810</v>
      </c>
      <c r="H4964" s="320">
        <f t="shared" ref="H4964:H4966" si="63">C4964*E4964+F4964+G4964</f>
        <v>10620</v>
      </c>
      <c r="I4964" s="362">
        <f t="shared" ref="I4964:I4966" si="64">E4964*C4964</f>
        <v>9000</v>
      </c>
    </row>
    <row r="4965" spans="1:9" x14ac:dyDescent="0.3">
      <c r="A4965" s="55">
        <v>3</v>
      </c>
      <c r="B4965" s="277" t="s">
        <v>970</v>
      </c>
      <c r="C4965" s="320">
        <v>1</v>
      </c>
      <c r="D4965" s="20">
        <v>998719</v>
      </c>
      <c r="E4965" s="320">
        <v>1000</v>
      </c>
      <c r="F4965" s="320">
        <f t="shared" si="61"/>
        <v>90</v>
      </c>
      <c r="G4965" s="320">
        <f t="shared" si="62"/>
        <v>90</v>
      </c>
      <c r="H4965" s="320">
        <f t="shared" si="63"/>
        <v>1180</v>
      </c>
      <c r="I4965" s="362">
        <f t="shared" si="64"/>
        <v>1000</v>
      </c>
    </row>
    <row r="4966" spans="1:9" x14ac:dyDescent="0.3">
      <c r="A4966" s="55">
        <v>4</v>
      </c>
      <c r="B4966" s="277" t="s">
        <v>968</v>
      </c>
      <c r="C4966" s="320">
        <v>1</v>
      </c>
      <c r="D4966" s="320">
        <v>998719</v>
      </c>
      <c r="E4966" s="320">
        <v>6500</v>
      </c>
      <c r="F4966" s="320">
        <f t="shared" si="61"/>
        <v>585</v>
      </c>
      <c r="G4966" s="320">
        <f t="shared" si="62"/>
        <v>585</v>
      </c>
      <c r="H4966" s="320">
        <f t="shared" si="63"/>
        <v>7670</v>
      </c>
      <c r="I4966" s="362">
        <f t="shared" si="64"/>
        <v>6500</v>
      </c>
    </row>
    <row r="4967" spans="1:9" x14ac:dyDescent="0.3">
      <c r="A4967" s="55"/>
      <c r="B4967" s="321"/>
      <c r="C4967" s="320"/>
      <c r="D4967" s="320"/>
      <c r="E4967" s="320"/>
      <c r="F4967" s="320"/>
      <c r="G4967" s="320"/>
      <c r="H4967" s="320"/>
    </row>
    <row r="4968" spans="1:9" x14ac:dyDescent="0.3">
      <c r="A4968" s="55"/>
      <c r="B4968" s="277"/>
      <c r="C4968" s="320"/>
      <c r="D4968" s="320"/>
      <c r="E4968" s="320"/>
      <c r="F4968" s="320"/>
      <c r="G4968" s="320"/>
      <c r="H4968" s="320"/>
    </row>
    <row r="4969" spans="1:9" x14ac:dyDescent="0.3">
      <c r="A4969" s="55"/>
      <c r="B4969" s="277"/>
      <c r="C4969" s="320"/>
      <c r="D4969" s="320"/>
      <c r="E4969" s="320"/>
      <c r="F4969" s="320"/>
      <c r="G4969" s="320"/>
      <c r="H4969" s="320"/>
    </row>
    <row r="4970" spans="1:9" x14ac:dyDescent="0.3">
      <c r="A4970" s="55"/>
      <c r="B4970" s="277"/>
      <c r="C4970" s="320"/>
      <c r="D4970" s="320"/>
      <c r="E4970" s="320"/>
      <c r="F4970" s="320"/>
      <c r="G4970" s="320"/>
      <c r="H4970" s="320"/>
    </row>
    <row r="4971" spans="1:9" x14ac:dyDescent="0.3">
      <c r="A4971" s="55"/>
      <c r="B4971" s="277"/>
      <c r="C4971" s="320"/>
      <c r="D4971" s="320"/>
      <c r="E4971" s="320"/>
      <c r="F4971" s="320"/>
      <c r="G4971" s="320"/>
      <c r="H4971" s="320"/>
    </row>
    <row r="4972" spans="1:9" x14ac:dyDescent="0.3">
      <c r="A4972" s="27"/>
      <c r="B4972" s="322"/>
      <c r="C4972" s="323"/>
      <c r="D4972" s="323"/>
      <c r="E4972" s="323"/>
      <c r="F4972" s="323"/>
      <c r="G4972" s="323"/>
      <c r="H4972" s="324"/>
    </row>
    <row r="4973" spans="1:9" x14ac:dyDescent="0.3">
      <c r="A4973" s="27"/>
      <c r="B4973" s="322"/>
      <c r="C4973" s="323"/>
      <c r="D4973" s="323"/>
      <c r="E4973" s="323"/>
      <c r="F4973" s="323"/>
      <c r="G4973" s="323"/>
      <c r="H4973" s="324"/>
    </row>
    <row r="4974" spans="1:9" x14ac:dyDescent="0.3">
      <c r="A4974" s="27"/>
      <c r="B4974" s="322"/>
      <c r="C4974" s="323"/>
      <c r="D4974" s="323"/>
      <c r="E4974" s="323"/>
      <c r="F4974" s="323"/>
      <c r="G4974" s="323"/>
      <c r="H4974" s="324"/>
    </row>
    <row r="4975" spans="1:9" x14ac:dyDescent="0.3">
      <c r="A4975" s="27"/>
      <c r="B4975" s="322"/>
      <c r="C4975" s="323"/>
      <c r="D4975" s="323"/>
      <c r="E4975" s="323"/>
      <c r="F4975" s="323"/>
      <c r="G4975" s="323"/>
      <c r="H4975" s="324"/>
    </row>
    <row r="4976" spans="1:9" x14ac:dyDescent="0.3">
      <c r="A4976" s="27"/>
      <c r="B4976" s="322"/>
      <c r="C4976" s="323"/>
      <c r="D4976" s="323"/>
      <c r="E4976" s="323"/>
      <c r="F4976" s="323"/>
      <c r="G4976" s="323"/>
      <c r="H4976" s="324"/>
    </row>
    <row r="4977" spans="1:8" x14ac:dyDescent="0.3">
      <c r="A4977" s="27"/>
      <c r="B4977" s="322"/>
      <c r="C4977" s="323"/>
      <c r="D4977" s="323"/>
      <c r="E4977" s="323"/>
      <c r="F4977" s="323"/>
      <c r="G4977" s="323"/>
      <c r="H4977" s="324"/>
    </row>
    <row r="4978" spans="1:8" x14ac:dyDescent="0.3">
      <c r="A4978" s="27"/>
      <c r="B4978" s="322"/>
      <c r="C4978" s="323"/>
      <c r="D4978" s="323"/>
      <c r="E4978" s="323"/>
      <c r="F4978" s="323"/>
      <c r="G4978" s="323"/>
      <c r="H4978" s="324"/>
    </row>
    <row r="4979" spans="1:8" x14ac:dyDescent="0.3">
      <c r="A4979" s="27"/>
      <c r="B4979" s="322"/>
      <c r="C4979" s="323"/>
      <c r="D4979" s="323"/>
      <c r="E4979" s="323"/>
      <c r="F4979" s="323"/>
      <c r="G4979" s="323"/>
      <c r="H4979" s="324"/>
    </row>
    <row r="4980" spans="1:8" x14ac:dyDescent="0.3">
      <c r="A4980" s="27"/>
      <c r="B4980" s="322"/>
      <c r="C4980" s="323"/>
      <c r="D4980" s="323"/>
      <c r="E4980" s="323"/>
      <c r="F4980" s="323"/>
      <c r="G4980" s="323"/>
      <c r="H4980" s="324"/>
    </row>
    <row r="4981" spans="1:8" x14ac:dyDescent="0.3">
      <c r="A4981" s="27"/>
      <c r="B4981" s="28"/>
      <c r="C4981" s="24"/>
      <c r="D4981" s="25"/>
      <c r="E4981" s="25"/>
      <c r="F4981" s="25"/>
      <c r="G4981" s="28"/>
      <c r="H4981" s="32"/>
    </row>
    <row r="4982" spans="1:8" x14ac:dyDescent="0.3">
      <c r="A4982" s="27"/>
      <c r="B4982" s="28"/>
      <c r="C4982" s="24"/>
      <c r="D4982" s="25"/>
      <c r="E4982" s="25"/>
      <c r="F4982" s="25"/>
      <c r="G4982" s="28"/>
      <c r="H4982" s="32"/>
    </row>
    <row r="4983" spans="1:8" x14ac:dyDescent="0.3">
      <c r="A4983" s="27"/>
      <c r="B4983" s="28"/>
      <c r="C4983" s="24"/>
      <c r="D4983" s="25"/>
      <c r="E4983" s="25"/>
      <c r="F4983" s="25"/>
      <c r="G4983" s="28"/>
      <c r="H4983" s="32"/>
    </row>
    <row r="4984" spans="1:8" ht="15.6" x14ac:dyDescent="0.3">
      <c r="A4984" s="448" t="s">
        <v>45</v>
      </c>
      <c r="B4984" s="449"/>
      <c r="C4984" s="24"/>
      <c r="D4984" s="25"/>
      <c r="E4984" s="25"/>
      <c r="F4984" s="447" t="s">
        <v>46</v>
      </c>
      <c r="G4984" s="447"/>
      <c r="H4984" s="66">
        <v>22500</v>
      </c>
    </row>
    <row r="4985" spans="1:8" ht="15.6" x14ac:dyDescent="0.3">
      <c r="A4985" s="497" t="s">
        <v>971</v>
      </c>
      <c r="B4985" s="498"/>
      <c r="C4985" s="498"/>
      <c r="D4985" s="498"/>
      <c r="E4985" s="498"/>
      <c r="F4985" s="447" t="s">
        <v>47</v>
      </c>
      <c r="G4985" s="447"/>
      <c r="H4985" s="66">
        <f>H4984*9%</f>
        <v>2025</v>
      </c>
    </row>
    <row r="4986" spans="1:8" ht="15.6" x14ac:dyDescent="0.3">
      <c r="A4986" s="27"/>
      <c r="B4986" s="28"/>
      <c r="C4986" s="24"/>
      <c r="D4986" s="25"/>
      <c r="E4986" s="25"/>
      <c r="F4986" s="447" t="s">
        <v>48</v>
      </c>
      <c r="G4986" s="447"/>
      <c r="H4986" s="66">
        <f>H4984*9%</f>
        <v>2025</v>
      </c>
    </row>
    <row r="4987" spans="1:8" ht="15.6" x14ac:dyDescent="0.3">
      <c r="A4987" s="448" t="s">
        <v>49</v>
      </c>
      <c r="B4987" s="449"/>
      <c r="C4987" s="24"/>
      <c r="D4987" s="25"/>
      <c r="E4987" s="25"/>
      <c r="F4987" s="447" t="s">
        <v>50</v>
      </c>
      <c r="G4987" s="447"/>
      <c r="H4987" s="66">
        <f>H4984+H4985+H4986</f>
        <v>26550</v>
      </c>
    </row>
    <row r="4988" spans="1:8" ht="27" x14ac:dyDescent="0.3">
      <c r="A4988" s="68" t="s">
        <v>22</v>
      </c>
      <c r="B4988" s="69" t="s">
        <v>51</v>
      </c>
      <c r="C4988" s="70" t="s">
        <v>24</v>
      </c>
      <c r="D4988" s="31" t="s">
        <v>25</v>
      </c>
      <c r="E4988" s="450" t="s">
        <v>52</v>
      </c>
      <c r="F4988" s="450"/>
      <c r="G4988" s="28"/>
      <c r="H4988" s="32"/>
    </row>
    <row r="4989" spans="1:8" x14ac:dyDescent="0.3">
      <c r="A4989" s="72">
        <v>0.18</v>
      </c>
      <c r="B4989" s="73">
        <f>H4984</f>
        <v>22500</v>
      </c>
      <c r="C4989" s="91">
        <f>H4985</f>
        <v>2025</v>
      </c>
      <c r="D4989" s="91">
        <f>H4985</f>
        <v>2025</v>
      </c>
      <c r="E4989" s="506">
        <f>C4989+D4989</f>
        <v>4050</v>
      </c>
      <c r="F4989" s="507"/>
      <c r="G4989" s="74"/>
      <c r="H4989" s="75"/>
    </row>
    <row r="4990" spans="1:8" x14ac:dyDescent="0.3">
      <c r="A4990" s="452" t="s">
        <v>972</v>
      </c>
      <c r="B4990" s="453"/>
      <c r="C4990" s="453"/>
      <c r="D4990" s="453"/>
      <c r="E4990" s="453"/>
      <c r="F4990" s="453"/>
      <c r="G4990" s="453"/>
      <c r="H4990" s="454"/>
    </row>
    <row r="4991" spans="1:8" ht="15.6" x14ac:dyDescent="0.3">
      <c r="A4991" s="455" t="s">
        <v>53</v>
      </c>
      <c r="B4991" s="456"/>
      <c r="C4991" s="456"/>
      <c r="D4991" s="457"/>
      <c r="E4991" s="459" t="s">
        <v>54</v>
      </c>
      <c r="F4991" s="459"/>
      <c r="G4991" s="459"/>
      <c r="H4991" s="460"/>
    </row>
    <row r="4992" spans="1:8" x14ac:dyDescent="0.3">
      <c r="A4992" s="461" t="s">
        <v>55</v>
      </c>
      <c r="B4992" s="462"/>
      <c r="C4992" s="462"/>
      <c r="D4992" s="463"/>
      <c r="E4992" s="25"/>
      <c r="F4992" s="25"/>
      <c r="G4992" s="28"/>
      <c r="H4992" s="32"/>
    </row>
    <row r="4993" spans="1:8" x14ac:dyDescent="0.3">
      <c r="A4993" s="461" t="s">
        <v>56</v>
      </c>
      <c r="B4993" s="462"/>
      <c r="C4993" s="462"/>
      <c r="D4993" s="463"/>
      <c r="E4993" s="25"/>
      <c r="F4993" s="25"/>
      <c r="G4993" s="28"/>
      <c r="H4993" s="32"/>
    </row>
    <row r="4994" spans="1:8" x14ac:dyDescent="0.3">
      <c r="A4994" s="461" t="s">
        <v>57</v>
      </c>
      <c r="B4994" s="462"/>
      <c r="C4994" s="462"/>
      <c r="D4994" s="463"/>
      <c r="E4994" s="25"/>
      <c r="F4994" s="25"/>
      <c r="G4994" s="28"/>
      <c r="H4994" s="32"/>
    </row>
    <row r="4995" spans="1:8" ht="15.6" x14ac:dyDescent="0.3">
      <c r="A4995" s="464" t="s">
        <v>58</v>
      </c>
      <c r="B4995" s="465"/>
      <c r="C4995" s="465"/>
      <c r="D4995" s="510"/>
      <c r="E4995" s="467" t="s">
        <v>59</v>
      </c>
      <c r="F4995" s="467"/>
      <c r="G4995" s="467"/>
      <c r="H4995" s="468"/>
    </row>
    <row r="4999" spans="1:8" ht="44.4" x14ac:dyDescent="0.7">
      <c r="A4999" s="469" t="s">
        <v>0</v>
      </c>
      <c r="B4999" s="470"/>
      <c r="C4999" s="470"/>
      <c r="D4999" s="470"/>
      <c r="E4999" s="531" t="s">
        <v>1</v>
      </c>
      <c r="F4999" s="544"/>
      <c r="G4999" s="544"/>
      <c r="H4999" s="545"/>
    </row>
    <row r="5000" spans="1:8" ht="20.399999999999999" x14ac:dyDescent="0.35">
      <c r="A5000" s="1"/>
      <c r="B5000" s="476" t="s">
        <v>2</v>
      </c>
      <c r="C5000" s="476"/>
      <c r="D5000" s="476"/>
      <c r="E5000" s="546"/>
      <c r="F5000" s="546"/>
      <c r="G5000" s="546"/>
      <c r="H5000" s="547"/>
    </row>
    <row r="5001" spans="1:8" x14ac:dyDescent="0.3">
      <c r="A5001" s="477" t="s">
        <v>3</v>
      </c>
      <c r="B5001" s="478"/>
      <c r="C5001" s="479" t="s">
        <v>4</v>
      </c>
      <c r="D5001" s="479"/>
      <c r="E5001" s="480" t="s">
        <v>5</v>
      </c>
      <c r="F5001" s="480"/>
      <c r="G5001" s="480"/>
      <c r="H5001" s="480"/>
    </row>
    <row r="5002" spans="1:8" ht="15.6" x14ac:dyDescent="0.3">
      <c r="A5002" s="43" t="s">
        <v>60</v>
      </c>
      <c r="C5002" s="481" t="s">
        <v>7</v>
      </c>
      <c r="D5002" s="481"/>
      <c r="E5002" s="482">
        <v>109</v>
      </c>
      <c r="F5002" s="482"/>
      <c r="G5002" s="44" t="s">
        <v>8</v>
      </c>
      <c r="H5002" s="8" t="s">
        <v>973</v>
      </c>
    </row>
    <row r="5003" spans="1:8" ht="15.6" x14ac:dyDescent="0.3">
      <c r="A5003" s="45" t="s">
        <v>61</v>
      </c>
      <c r="B5003" s="46"/>
      <c r="C5003" s="481" t="s">
        <v>10</v>
      </c>
      <c r="D5003" s="481"/>
      <c r="E5003" s="489"/>
      <c r="F5003" s="491"/>
      <c r="G5003" s="44" t="s">
        <v>8</v>
      </c>
      <c r="H5003" s="47"/>
    </row>
    <row r="5004" spans="1:8" ht="15.6" x14ac:dyDescent="0.3">
      <c r="A5004" s="45" t="s">
        <v>62</v>
      </c>
      <c r="B5004" s="46"/>
      <c r="C5004" s="519" t="s">
        <v>12</v>
      </c>
      <c r="D5004" s="519"/>
      <c r="E5004" s="489"/>
      <c r="F5004" s="491"/>
      <c r="G5004" s="48" t="s">
        <v>8</v>
      </c>
      <c r="H5004" s="8"/>
    </row>
    <row r="5005" spans="1:8" ht="15.6" x14ac:dyDescent="0.3">
      <c r="A5005" s="691" t="s">
        <v>63</v>
      </c>
      <c r="B5005" s="692"/>
      <c r="C5005" s="481" t="s">
        <v>15</v>
      </c>
      <c r="D5005" s="481"/>
      <c r="E5005" s="631" t="s">
        <v>64</v>
      </c>
      <c r="F5005" s="632"/>
      <c r="G5005" s="633"/>
      <c r="H5005" s="49"/>
    </row>
    <row r="5006" spans="1:8" ht="15.6" x14ac:dyDescent="0.3">
      <c r="A5006" s="693" t="s">
        <v>65</v>
      </c>
      <c r="B5006" s="694"/>
      <c r="C5006" s="24"/>
      <c r="D5006" s="25"/>
      <c r="E5006" s="50"/>
      <c r="F5006" s="51"/>
      <c r="G5006" s="51"/>
      <c r="H5006" s="52"/>
    </row>
    <row r="5007" spans="1:8" ht="15" x14ac:dyDescent="0.3">
      <c r="A5007" s="527" t="s">
        <v>17</v>
      </c>
      <c r="B5007" s="505" t="s">
        <v>18</v>
      </c>
      <c r="C5007" s="494" t="s">
        <v>19</v>
      </c>
      <c r="D5007" s="494" t="s">
        <v>20</v>
      </c>
      <c r="E5007" s="494" t="s">
        <v>21</v>
      </c>
      <c r="F5007" s="494" t="s">
        <v>22</v>
      </c>
      <c r="G5007" s="494"/>
      <c r="H5007" s="493" t="s">
        <v>23</v>
      </c>
    </row>
    <row r="5008" spans="1:8" ht="27.6" x14ac:dyDescent="0.3">
      <c r="A5008" s="492"/>
      <c r="B5008" s="494"/>
      <c r="C5008" s="494"/>
      <c r="D5008" s="494"/>
      <c r="E5008" s="494"/>
      <c r="F5008" s="53" t="s">
        <v>24</v>
      </c>
      <c r="G5008" s="53" t="s">
        <v>25</v>
      </c>
      <c r="H5008" s="527"/>
    </row>
    <row r="5009" spans="1:9" x14ac:dyDescent="0.3">
      <c r="A5009" s="54">
        <v>1</v>
      </c>
      <c r="B5009" t="s">
        <v>974</v>
      </c>
      <c r="C5009" s="55">
        <v>1</v>
      </c>
      <c r="D5009" s="56">
        <v>998719</v>
      </c>
      <c r="E5009" s="57">
        <v>2500</v>
      </c>
      <c r="F5009" s="58">
        <f>C5009*E5009*9%</f>
        <v>225</v>
      </c>
      <c r="G5009" s="58">
        <f>C5009*E5009*9%</f>
        <v>225</v>
      </c>
      <c r="H5009" s="59">
        <f>C5009*E5009+F5009+G5009</f>
        <v>2950</v>
      </c>
      <c r="I5009" s="362">
        <v>2000</v>
      </c>
    </row>
    <row r="5010" spans="1:9" x14ac:dyDescent="0.3">
      <c r="A5010" s="54">
        <v>2</v>
      </c>
      <c r="B5010" s="60" t="s">
        <v>975</v>
      </c>
      <c r="C5010" s="54">
        <v>10</v>
      </c>
      <c r="D5010" s="297">
        <v>27101985</v>
      </c>
      <c r="E5010" s="54">
        <v>140</v>
      </c>
      <c r="F5010" s="58">
        <f>C5010*E5010*9%</f>
        <v>126</v>
      </c>
      <c r="G5010" s="58">
        <f>C5010*E5010*9%</f>
        <v>126</v>
      </c>
      <c r="H5010" s="59">
        <f>C5010*E5010+F5010+G5010</f>
        <v>1652</v>
      </c>
      <c r="I5010" s="362">
        <f>E5010*C5010</f>
        <v>1400</v>
      </c>
    </row>
    <row r="5011" spans="1:9" x14ac:dyDescent="0.3">
      <c r="A5011" s="55"/>
      <c r="B5011" s="63"/>
      <c r="C5011" s="55"/>
      <c r="D5011" s="61"/>
      <c r="E5011" s="55"/>
      <c r="F5011" s="58"/>
      <c r="G5011" s="58"/>
      <c r="H5011" s="62"/>
    </row>
    <row r="5012" spans="1:9" x14ac:dyDescent="0.3">
      <c r="A5012" s="27"/>
      <c r="B5012" s="28"/>
      <c r="C5012" s="24"/>
      <c r="D5012" s="25"/>
      <c r="E5012" s="25"/>
      <c r="F5012" s="28"/>
      <c r="G5012" s="28"/>
      <c r="H5012" s="32"/>
    </row>
    <row r="5013" spans="1:9" x14ac:dyDescent="0.3">
      <c r="A5013" s="27"/>
      <c r="B5013" s="28"/>
      <c r="C5013" s="24"/>
      <c r="D5013" s="25"/>
      <c r="E5013" s="25"/>
      <c r="F5013" s="28"/>
      <c r="G5013" s="28"/>
      <c r="H5013" s="32"/>
    </row>
    <row r="5014" spans="1:9" x14ac:dyDescent="0.3">
      <c r="A5014" s="27"/>
      <c r="B5014" s="28"/>
      <c r="C5014" s="24"/>
      <c r="D5014" s="25"/>
      <c r="E5014" s="25"/>
      <c r="F5014" s="28"/>
      <c r="G5014" s="28"/>
      <c r="H5014" s="32"/>
    </row>
    <row r="5015" spans="1:9" x14ac:dyDescent="0.3">
      <c r="A5015" s="27"/>
      <c r="B5015" s="28"/>
      <c r="C5015" s="24"/>
      <c r="D5015" s="25"/>
      <c r="E5015" s="25"/>
      <c r="F5015" s="28"/>
      <c r="G5015" s="28"/>
      <c r="H5015" s="32"/>
    </row>
    <row r="5016" spans="1:9" x14ac:dyDescent="0.3">
      <c r="A5016" s="27"/>
      <c r="B5016" s="28"/>
      <c r="C5016" s="24"/>
      <c r="D5016" s="25"/>
      <c r="E5016" s="25"/>
      <c r="F5016" s="28"/>
      <c r="G5016" s="28"/>
      <c r="H5016" s="32"/>
    </row>
    <row r="5017" spans="1:9" x14ac:dyDescent="0.3">
      <c r="A5017" s="27"/>
      <c r="B5017" s="28"/>
      <c r="C5017" s="24"/>
      <c r="D5017" s="25"/>
      <c r="E5017" s="25"/>
      <c r="F5017" s="28"/>
      <c r="G5017" s="28"/>
      <c r="H5017" s="32"/>
    </row>
    <row r="5018" spans="1:9" x14ac:dyDescent="0.3">
      <c r="A5018" s="27"/>
      <c r="B5018" s="28"/>
      <c r="C5018" s="24"/>
      <c r="D5018" s="25"/>
      <c r="E5018" s="25"/>
      <c r="F5018" s="28"/>
      <c r="G5018" s="28"/>
      <c r="H5018" s="32"/>
    </row>
    <row r="5019" spans="1:9" x14ac:dyDescent="0.3">
      <c r="A5019" s="27"/>
      <c r="B5019" s="28"/>
      <c r="C5019" s="24"/>
      <c r="D5019" s="25"/>
      <c r="E5019" s="25"/>
      <c r="F5019" s="28"/>
      <c r="G5019" s="28"/>
      <c r="H5019" s="32"/>
    </row>
    <row r="5020" spans="1:9" x14ac:dyDescent="0.3">
      <c r="A5020" s="27"/>
      <c r="B5020" s="28"/>
      <c r="C5020" s="24"/>
      <c r="D5020" s="25"/>
      <c r="E5020" s="25"/>
      <c r="F5020" s="28"/>
      <c r="G5020" s="28"/>
      <c r="H5020" s="32"/>
    </row>
    <row r="5021" spans="1:9" x14ac:dyDescent="0.3">
      <c r="A5021" s="27"/>
      <c r="B5021" s="28"/>
      <c r="C5021" s="24"/>
      <c r="D5021" s="25"/>
      <c r="E5021" s="25"/>
      <c r="F5021" s="28"/>
      <c r="G5021" s="28"/>
      <c r="H5021" s="32"/>
    </row>
    <row r="5022" spans="1:9" x14ac:dyDescent="0.3">
      <c r="A5022" s="27"/>
      <c r="B5022" s="28"/>
      <c r="C5022" s="24"/>
      <c r="D5022" s="25"/>
      <c r="E5022" s="25"/>
      <c r="F5022" s="28"/>
      <c r="G5022" s="28"/>
      <c r="H5022" s="32"/>
    </row>
    <row r="5023" spans="1:9" x14ac:dyDescent="0.3">
      <c r="A5023" s="27"/>
      <c r="B5023" s="28"/>
      <c r="C5023" s="24"/>
      <c r="D5023" s="25"/>
      <c r="E5023" s="25"/>
      <c r="F5023" s="28"/>
      <c r="G5023" s="28"/>
      <c r="H5023" s="32"/>
    </row>
    <row r="5024" spans="1:9" x14ac:dyDescent="0.3">
      <c r="A5024" s="27"/>
      <c r="B5024" s="28"/>
      <c r="C5024" s="24"/>
      <c r="D5024" s="25"/>
      <c r="E5024" s="25"/>
      <c r="F5024" s="28"/>
      <c r="G5024" s="28"/>
      <c r="H5024" s="32"/>
    </row>
    <row r="5025" spans="1:8" x14ac:dyDescent="0.3">
      <c r="A5025" s="27"/>
      <c r="B5025" s="28"/>
      <c r="C5025" s="24"/>
      <c r="D5025" s="25"/>
      <c r="E5025" s="25"/>
      <c r="F5025" s="28"/>
      <c r="G5025" s="28"/>
      <c r="H5025" s="32"/>
    </row>
    <row r="5026" spans="1:8" x14ac:dyDescent="0.3">
      <c r="A5026" s="27"/>
      <c r="B5026" s="28"/>
      <c r="C5026" s="24"/>
      <c r="D5026" s="25"/>
      <c r="E5026" s="25"/>
      <c r="F5026" s="28"/>
      <c r="G5026" s="28"/>
      <c r="H5026" s="32"/>
    </row>
    <row r="5027" spans="1:8" x14ac:dyDescent="0.3">
      <c r="A5027" s="27"/>
      <c r="B5027" s="28"/>
      <c r="C5027" s="24"/>
      <c r="D5027" s="25"/>
      <c r="E5027" s="25"/>
      <c r="F5027" s="28"/>
      <c r="G5027" s="28"/>
      <c r="H5027" s="32"/>
    </row>
    <row r="5028" spans="1:8" x14ac:dyDescent="0.3">
      <c r="A5028" s="27"/>
      <c r="B5028" s="28"/>
      <c r="C5028" s="24"/>
      <c r="D5028" s="25"/>
      <c r="E5028" s="25"/>
      <c r="F5028" s="28"/>
      <c r="G5028" s="28"/>
      <c r="H5028" s="32"/>
    </row>
    <row r="5029" spans="1:8" x14ac:dyDescent="0.3">
      <c r="A5029" s="27"/>
      <c r="B5029" s="28"/>
      <c r="C5029" s="24"/>
      <c r="D5029" s="25"/>
      <c r="E5029" s="25"/>
      <c r="F5029" s="28"/>
      <c r="G5029" s="28"/>
      <c r="H5029" s="32"/>
    </row>
    <row r="5030" spans="1:8" x14ac:dyDescent="0.3">
      <c r="A5030" s="27"/>
      <c r="B5030" s="28"/>
      <c r="C5030" s="24"/>
      <c r="D5030" s="25"/>
      <c r="E5030" s="25"/>
      <c r="F5030" s="28"/>
      <c r="G5030" s="28"/>
      <c r="H5030" s="32"/>
    </row>
    <row r="5031" spans="1:8" x14ac:dyDescent="0.3">
      <c r="A5031" s="27"/>
      <c r="B5031" s="28"/>
      <c r="C5031" s="24"/>
      <c r="D5031" s="25"/>
      <c r="E5031" s="25"/>
      <c r="F5031" s="28"/>
      <c r="G5031" s="28"/>
      <c r="H5031" s="32"/>
    </row>
    <row r="5032" spans="1:8" ht="15.6" x14ac:dyDescent="0.3">
      <c r="A5032" s="64" t="s">
        <v>45</v>
      </c>
      <c r="B5032" s="347"/>
      <c r="C5032" s="24"/>
      <c r="D5032" s="25"/>
      <c r="E5032" s="25"/>
      <c r="F5032" s="26" t="s">
        <v>46</v>
      </c>
      <c r="G5032" s="26"/>
      <c r="H5032" s="66">
        <f>(C5009*E5009)+(C5010*E5010)+(C5011*E5011)+(C5012*E5012)</f>
        <v>3900</v>
      </c>
    </row>
    <row r="5033" spans="1:8" ht="15.6" x14ac:dyDescent="0.3">
      <c r="A5033" s="448" t="s">
        <v>976</v>
      </c>
      <c r="B5033" s="449"/>
      <c r="C5033" s="449"/>
      <c r="D5033" s="67"/>
      <c r="E5033" s="67"/>
      <c r="F5033" s="26" t="s">
        <v>47</v>
      </c>
      <c r="G5033" s="26"/>
      <c r="H5033" s="66">
        <f>H5032*9%</f>
        <v>351</v>
      </c>
    </row>
    <row r="5034" spans="1:8" ht="15.6" x14ac:dyDescent="0.3">
      <c r="A5034" s="27"/>
      <c r="B5034" s="28"/>
      <c r="C5034" s="24"/>
      <c r="D5034" s="25"/>
      <c r="E5034" s="25"/>
      <c r="F5034" s="26" t="s">
        <v>48</v>
      </c>
      <c r="G5034" s="26"/>
      <c r="H5034" s="66">
        <f>H5032*9%</f>
        <v>351</v>
      </c>
    </row>
    <row r="5035" spans="1:8" ht="15.6" x14ac:dyDescent="0.3">
      <c r="A5035" s="448" t="s">
        <v>49</v>
      </c>
      <c r="B5035" s="449"/>
      <c r="C5035" s="24"/>
      <c r="D5035" s="25"/>
      <c r="E5035" s="25"/>
      <c r="F5035" s="26" t="s">
        <v>50</v>
      </c>
      <c r="G5035" s="26"/>
      <c r="H5035" s="66">
        <f>SUM(H5032:H5034)</f>
        <v>4602</v>
      </c>
    </row>
    <row r="5036" spans="1:8" ht="27" x14ac:dyDescent="0.3">
      <c r="A5036" s="68" t="s">
        <v>22</v>
      </c>
      <c r="B5036" s="69" t="s">
        <v>51</v>
      </c>
      <c r="C5036" s="70" t="s">
        <v>24</v>
      </c>
      <c r="D5036" s="31" t="s">
        <v>25</v>
      </c>
      <c r="E5036" s="528" t="s">
        <v>52</v>
      </c>
      <c r="F5036" s="528"/>
      <c r="G5036" s="28"/>
      <c r="H5036" s="32"/>
    </row>
    <row r="5037" spans="1:8" x14ac:dyDescent="0.3">
      <c r="A5037" s="72">
        <v>0.18</v>
      </c>
      <c r="B5037" s="73">
        <f>H5032</f>
        <v>3900</v>
      </c>
      <c r="C5037" s="74">
        <f>H5033</f>
        <v>351</v>
      </c>
      <c r="D5037" s="74">
        <f>H5034</f>
        <v>351</v>
      </c>
      <c r="E5037" s="74">
        <f>C5037+D5037</f>
        <v>702</v>
      </c>
      <c r="F5037" s="74"/>
      <c r="G5037" s="74"/>
      <c r="H5037" s="75"/>
    </row>
    <row r="5038" spans="1:8" x14ac:dyDescent="0.3">
      <c r="A5038" s="76" t="s">
        <v>977</v>
      </c>
      <c r="B5038" s="77"/>
      <c r="C5038" s="77"/>
      <c r="D5038" s="77"/>
      <c r="E5038" s="78"/>
      <c r="F5038" s="36"/>
      <c r="G5038" s="36"/>
      <c r="H5038" s="79"/>
    </row>
    <row r="5039" spans="1:8" ht="15.6" x14ac:dyDescent="0.3">
      <c r="A5039" s="455" t="s">
        <v>53</v>
      </c>
      <c r="B5039" s="456"/>
      <c r="C5039" s="456"/>
      <c r="D5039" s="457"/>
      <c r="E5039" s="80" t="s">
        <v>69</v>
      </c>
      <c r="F5039" s="37"/>
      <c r="G5039" s="37"/>
      <c r="H5039" s="38"/>
    </row>
    <row r="5040" spans="1:8" x14ac:dyDescent="0.3">
      <c r="A5040" s="461" t="s">
        <v>55</v>
      </c>
      <c r="B5040" s="462"/>
      <c r="C5040" s="462"/>
      <c r="D5040" s="463"/>
      <c r="E5040" s="39"/>
      <c r="F5040" s="663"/>
      <c r="G5040" s="663"/>
      <c r="H5040" s="32"/>
    </row>
    <row r="5041" spans="1:8" x14ac:dyDescent="0.3">
      <c r="A5041" s="461" t="s">
        <v>56</v>
      </c>
      <c r="B5041" s="462"/>
      <c r="C5041" s="462"/>
      <c r="D5041" s="463"/>
      <c r="E5041" s="39"/>
      <c r="F5041" s="663"/>
      <c r="G5041" s="663"/>
      <c r="H5041" s="32"/>
    </row>
    <row r="5042" spans="1:8" x14ac:dyDescent="0.3">
      <c r="A5042" s="461" t="s">
        <v>57</v>
      </c>
      <c r="B5042" s="462"/>
      <c r="C5042" s="462"/>
      <c r="D5042" s="463"/>
      <c r="E5042" s="39"/>
      <c r="F5042" s="663"/>
      <c r="G5042" s="663"/>
      <c r="H5042" s="32"/>
    </row>
    <row r="5043" spans="1:8" ht="15.6" x14ac:dyDescent="0.3">
      <c r="A5043" s="464" t="s">
        <v>58</v>
      </c>
      <c r="B5043" s="465"/>
      <c r="C5043" s="465"/>
      <c r="D5043" s="510"/>
      <c r="E5043" s="81" t="s">
        <v>70</v>
      </c>
      <c r="F5043" s="40"/>
      <c r="G5043" s="40"/>
      <c r="H5043" s="41"/>
    </row>
    <row r="5047" spans="1:8" ht="44.4" x14ac:dyDescent="0.7">
      <c r="A5047" s="469" t="s">
        <v>0</v>
      </c>
      <c r="B5047" s="470"/>
      <c r="C5047" s="470"/>
      <c r="D5047" s="470"/>
      <c r="E5047" s="531" t="s">
        <v>1</v>
      </c>
      <c r="F5047" s="544"/>
      <c r="G5047" s="544"/>
      <c r="H5047" s="545"/>
    </row>
    <row r="5048" spans="1:8" ht="20.399999999999999" x14ac:dyDescent="0.35">
      <c r="A5048" s="1"/>
      <c r="B5048" s="476" t="s">
        <v>2</v>
      </c>
      <c r="C5048" s="476"/>
      <c r="D5048" s="476"/>
      <c r="E5048" s="546"/>
      <c r="F5048" s="546"/>
      <c r="G5048" s="546"/>
      <c r="H5048" s="547"/>
    </row>
    <row r="5049" spans="1:8" x14ac:dyDescent="0.3">
      <c r="A5049" s="477" t="s">
        <v>3</v>
      </c>
      <c r="B5049" s="478"/>
      <c r="C5049" s="479" t="s">
        <v>4</v>
      </c>
      <c r="D5049" s="479"/>
      <c r="E5049" s="548" t="s">
        <v>5</v>
      </c>
      <c r="F5049" s="549"/>
      <c r="G5049" s="549"/>
      <c r="H5049" s="550"/>
    </row>
    <row r="5050" spans="1:8" ht="15.6" x14ac:dyDescent="0.3">
      <c r="A5050" s="4" t="s">
        <v>6</v>
      </c>
      <c r="B5050" s="5"/>
      <c r="C5050" s="481" t="s">
        <v>7</v>
      </c>
      <c r="D5050" s="481"/>
      <c r="E5050" s="482">
        <v>110</v>
      </c>
      <c r="F5050" s="482"/>
      <c r="G5050" s="7" t="s">
        <v>8</v>
      </c>
      <c r="H5050" s="8" t="s">
        <v>948</v>
      </c>
    </row>
    <row r="5051" spans="1:8" ht="15.6" x14ac:dyDescent="0.3">
      <c r="A5051" s="551" t="s">
        <v>978</v>
      </c>
      <c r="B5051" s="552"/>
      <c r="C5051" s="481" t="s">
        <v>10</v>
      </c>
      <c r="D5051" s="481"/>
      <c r="E5051" s="482"/>
      <c r="F5051" s="482"/>
      <c r="G5051" s="7" t="s">
        <v>8</v>
      </c>
      <c r="H5051" s="9"/>
    </row>
    <row r="5052" spans="1:8" ht="15" x14ac:dyDescent="0.3">
      <c r="A5052" s="517" t="s">
        <v>979</v>
      </c>
      <c r="B5052" s="553"/>
      <c r="C5052" s="483" t="s">
        <v>12</v>
      </c>
      <c r="D5052" s="484"/>
      <c r="E5052" s="584"/>
      <c r="F5052" s="585"/>
      <c r="G5052" s="10" t="s">
        <v>8</v>
      </c>
      <c r="H5052" s="82"/>
    </row>
    <row r="5053" spans="1:8" ht="15.6" x14ac:dyDescent="0.3">
      <c r="A5053" s="556" t="s">
        <v>14</v>
      </c>
      <c r="B5053" s="557"/>
      <c r="C5053" s="481" t="s">
        <v>15</v>
      </c>
      <c r="D5053" s="481"/>
      <c r="E5053" s="502" t="s">
        <v>980</v>
      </c>
      <c r="F5053" s="503"/>
      <c r="G5053" s="503"/>
      <c r="H5053" s="504"/>
    </row>
    <row r="5054" spans="1:8" ht="15.6" x14ac:dyDescent="0.3">
      <c r="A5054" s="558" t="s">
        <v>981</v>
      </c>
      <c r="B5054" s="559"/>
      <c r="C5054" s="489"/>
      <c r="D5054" s="490"/>
      <c r="E5054" s="490"/>
      <c r="F5054" s="490"/>
      <c r="G5054" s="490"/>
      <c r="H5054" s="491"/>
    </row>
    <row r="5055" spans="1:8" ht="15" x14ac:dyDescent="0.3">
      <c r="A5055" s="492" t="s">
        <v>17</v>
      </c>
      <c r="B5055" s="494" t="s">
        <v>18</v>
      </c>
      <c r="C5055" s="494" t="s">
        <v>19</v>
      </c>
      <c r="D5055" s="494" t="s">
        <v>20</v>
      </c>
      <c r="E5055" s="494" t="s">
        <v>21</v>
      </c>
      <c r="F5055" s="494" t="s">
        <v>22</v>
      </c>
      <c r="G5055" s="494"/>
      <c r="H5055" s="492" t="s">
        <v>23</v>
      </c>
    </row>
    <row r="5056" spans="1:8" ht="27.6" x14ac:dyDescent="0.3">
      <c r="A5056" s="492"/>
      <c r="B5056" s="494"/>
      <c r="C5056" s="494"/>
      <c r="D5056" s="494"/>
      <c r="E5056" s="494"/>
      <c r="F5056" s="53" t="s">
        <v>24</v>
      </c>
      <c r="G5056" s="53" t="s">
        <v>25</v>
      </c>
      <c r="H5056" s="492"/>
    </row>
    <row r="5057" spans="1:8" ht="27.6" x14ac:dyDescent="0.3">
      <c r="A5057" s="57">
        <v>1</v>
      </c>
      <c r="B5057" s="60" t="s">
        <v>982</v>
      </c>
      <c r="C5057" s="83">
        <v>1</v>
      </c>
      <c r="D5057" s="83">
        <v>998719</v>
      </c>
      <c r="E5057" s="57">
        <v>3000</v>
      </c>
      <c r="F5057" s="57">
        <f>E5057*C5057*9%</f>
        <v>270</v>
      </c>
      <c r="G5057" s="57">
        <f>F5057</f>
        <v>270</v>
      </c>
      <c r="H5057" s="57">
        <f>G5057+F5057+E5057*C5057</f>
        <v>3540</v>
      </c>
    </row>
    <row r="5058" spans="1:8" x14ac:dyDescent="0.3">
      <c r="A5058" s="55"/>
      <c r="B5058" s="130"/>
      <c r="C5058" s="83"/>
      <c r="D5058" s="83"/>
      <c r="E5058" s="57"/>
      <c r="F5058" s="57"/>
      <c r="G5058" s="57"/>
      <c r="H5058" s="57"/>
    </row>
    <row r="5059" spans="1:8" x14ac:dyDescent="0.3">
      <c r="A5059" s="55"/>
      <c r="B5059" s="130"/>
      <c r="C5059" s="83"/>
      <c r="D5059" s="83"/>
      <c r="E5059" s="57"/>
      <c r="F5059" s="57"/>
      <c r="G5059" s="57"/>
      <c r="H5059" s="57"/>
    </row>
    <row r="5060" spans="1:8" x14ac:dyDescent="0.3">
      <c r="A5060" s="55"/>
      <c r="B5060" s="130"/>
      <c r="C5060" s="83"/>
      <c r="D5060" s="83"/>
      <c r="E5060" s="57"/>
      <c r="F5060" s="57"/>
      <c r="G5060" s="57"/>
      <c r="H5060" s="57"/>
    </row>
    <row r="5061" spans="1:8" x14ac:dyDescent="0.3">
      <c r="A5061" s="55"/>
      <c r="B5061" s="130"/>
      <c r="C5061" s="83"/>
      <c r="D5061" s="83"/>
      <c r="E5061" s="57"/>
      <c r="F5061" s="57"/>
      <c r="G5061" s="57"/>
      <c r="H5061" s="57"/>
    </row>
    <row r="5062" spans="1:8" x14ac:dyDescent="0.3">
      <c r="A5062" s="55"/>
      <c r="B5062" s="130"/>
      <c r="C5062" s="83"/>
      <c r="D5062" s="83"/>
      <c r="E5062" s="57"/>
      <c r="F5062" s="57"/>
      <c r="G5062" s="57"/>
      <c r="H5062" s="57"/>
    </row>
    <row r="5063" spans="1:8" x14ac:dyDescent="0.3">
      <c r="A5063" s="55"/>
      <c r="B5063" s="130"/>
      <c r="C5063" s="83"/>
      <c r="D5063" s="83"/>
      <c r="E5063" s="57"/>
      <c r="F5063" s="57"/>
      <c r="G5063" s="57"/>
      <c r="H5063" s="57"/>
    </row>
    <row r="5064" spans="1:8" x14ac:dyDescent="0.3">
      <c r="A5064" s="55"/>
      <c r="B5064" s="130"/>
      <c r="C5064" s="83"/>
      <c r="D5064" s="57"/>
      <c r="E5064" s="57"/>
      <c r="F5064" s="57"/>
      <c r="G5064" s="57"/>
      <c r="H5064" s="57"/>
    </row>
    <row r="5065" spans="1:8" x14ac:dyDescent="0.3">
      <c r="A5065" s="194"/>
      <c r="B5065" s="195"/>
      <c r="C5065" s="196"/>
      <c r="D5065" s="194"/>
      <c r="E5065" s="194"/>
      <c r="F5065" s="145"/>
      <c r="G5065" s="197"/>
      <c r="H5065" s="198"/>
    </row>
    <row r="5066" spans="1:8" x14ac:dyDescent="0.3">
      <c r="A5066" s="199"/>
      <c r="B5066" s="200"/>
      <c r="C5066" s="201"/>
      <c r="D5066" s="202"/>
      <c r="E5066" s="203"/>
      <c r="F5066" s="204"/>
      <c r="G5066" s="204"/>
      <c r="H5066" s="205"/>
    </row>
    <row r="5067" spans="1:8" x14ac:dyDescent="0.3">
      <c r="A5067" s="173"/>
      <c r="B5067" s="88"/>
      <c r="C5067" s="206"/>
      <c r="D5067" s="89"/>
      <c r="E5067" s="207"/>
      <c r="F5067" s="25"/>
      <c r="G5067" s="25"/>
      <c r="H5067" s="32"/>
    </row>
    <row r="5068" spans="1:8" x14ac:dyDescent="0.3">
      <c r="A5068" s="173"/>
      <c r="B5068" s="88"/>
      <c r="C5068" s="206"/>
      <c r="D5068" s="89"/>
      <c r="E5068" s="207"/>
      <c r="F5068" s="25"/>
      <c r="G5068" s="25"/>
      <c r="H5068" s="32"/>
    </row>
    <row r="5069" spans="1:8" x14ac:dyDescent="0.3">
      <c r="A5069" s="173"/>
      <c r="B5069" s="88"/>
      <c r="C5069" s="206"/>
      <c r="D5069" s="89"/>
      <c r="E5069" s="207"/>
      <c r="F5069" s="25"/>
      <c r="G5069" s="25"/>
      <c r="H5069" s="32"/>
    </row>
    <row r="5070" spans="1:8" x14ac:dyDescent="0.3">
      <c r="A5070" s="173"/>
      <c r="B5070" s="88"/>
      <c r="C5070" s="206"/>
      <c r="D5070" s="89"/>
      <c r="E5070" s="207"/>
      <c r="F5070" s="25"/>
      <c r="G5070" s="25"/>
      <c r="H5070" s="32"/>
    </row>
    <row r="5071" spans="1:8" x14ac:dyDescent="0.3">
      <c r="A5071" s="173"/>
      <c r="B5071" s="88"/>
      <c r="C5071" s="206"/>
      <c r="D5071" s="89"/>
      <c r="E5071" s="207"/>
      <c r="F5071" s="25"/>
      <c r="G5071" s="25"/>
      <c r="H5071" s="32"/>
    </row>
    <row r="5072" spans="1:8" x14ac:dyDescent="0.3">
      <c r="A5072" s="173"/>
      <c r="B5072" s="88"/>
      <c r="C5072" s="206"/>
      <c r="D5072" s="89"/>
      <c r="E5072" s="207"/>
      <c r="F5072" s="25"/>
      <c r="G5072" s="25"/>
      <c r="H5072" s="32"/>
    </row>
    <row r="5073" spans="1:8" x14ac:dyDescent="0.3">
      <c r="A5073" s="173"/>
      <c r="B5073" s="88"/>
      <c r="C5073" s="206"/>
      <c r="D5073" s="89"/>
      <c r="E5073" s="207"/>
      <c r="F5073" s="25"/>
      <c r="G5073" s="25"/>
      <c r="H5073" s="32"/>
    </row>
    <row r="5074" spans="1:8" x14ac:dyDescent="0.3">
      <c r="A5074" s="173"/>
      <c r="B5074" s="88"/>
      <c r="C5074" s="206"/>
      <c r="D5074" s="89"/>
      <c r="E5074" s="207"/>
      <c r="F5074" s="25"/>
      <c r="G5074" s="25"/>
      <c r="H5074" s="32"/>
    </row>
    <row r="5075" spans="1:8" x14ac:dyDescent="0.3">
      <c r="A5075" s="173"/>
      <c r="B5075" s="88"/>
      <c r="C5075" s="206"/>
      <c r="D5075" s="89"/>
      <c r="E5075" s="207"/>
      <c r="F5075" s="25"/>
      <c r="G5075" s="25"/>
      <c r="H5075" s="32"/>
    </row>
    <row r="5076" spans="1:8" x14ac:dyDescent="0.3">
      <c r="A5076" s="173"/>
      <c r="B5076" s="88"/>
      <c r="C5076" s="206"/>
      <c r="D5076" s="89"/>
      <c r="E5076" s="25"/>
      <c r="F5076" s="25"/>
      <c r="G5076" s="25"/>
      <c r="H5076" s="32"/>
    </row>
    <row r="5077" spans="1:8" x14ac:dyDescent="0.3">
      <c r="A5077" s="27"/>
      <c r="B5077" s="88"/>
      <c r="C5077" s="24"/>
      <c r="D5077" s="89"/>
      <c r="E5077" s="25"/>
      <c r="F5077" s="25"/>
      <c r="G5077" s="25"/>
      <c r="H5077" s="32"/>
    </row>
    <row r="5078" spans="1:8" x14ac:dyDescent="0.3">
      <c r="A5078" s="27"/>
      <c r="B5078" s="28"/>
      <c r="C5078" s="24"/>
      <c r="D5078" s="25"/>
      <c r="E5078" s="25"/>
      <c r="F5078" s="28"/>
      <c r="G5078" s="28"/>
      <c r="H5078" s="32"/>
    </row>
    <row r="5079" spans="1:8" ht="15.6" x14ac:dyDescent="0.3">
      <c r="A5079" s="448" t="s">
        <v>45</v>
      </c>
      <c r="B5079" s="449"/>
      <c r="C5079" s="24"/>
      <c r="D5079" s="25"/>
      <c r="E5079" s="25"/>
      <c r="F5079" s="447" t="s">
        <v>46</v>
      </c>
      <c r="G5079" s="447"/>
      <c r="H5079" s="66">
        <f>E5057*C5057+E5058*C5058</f>
        <v>3000</v>
      </c>
    </row>
    <row r="5080" spans="1:8" ht="15.6" x14ac:dyDescent="0.3">
      <c r="A5080" s="497" t="s">
        <v>245</v>
      </c>
      <c r="B5080" s="498"/>
      <c r="C5080" s="498"/>
      <c r="D5080" s="498"/>
      <c r="E5080" s="498"/>
      <c r="F5080" s="447" t="s">
        <v>47</v>
      </c>
      <c r="G5080" s="447"/>
      <c r="H5080" s="66">
        <f>H5079*9%</f>
        <v>270</v>
      </c>
    </row>
    <row r="5081" spans="1:8" ht="15.6" x14ac:dyDescent="0.3">
      <c r="A5081" s="27"/>
      <c r="B5081" s="28"/>
      <c r="C5081" s="24"/>
      <c r="D5081" s="25"/>
      <c r="E5081" s="25"/>
      <c r="F5081" s="447" t="s">
        <v>48</v>
      </c>
      <c r="G5081" s="447"/>
      <c r="H5081" s="66">
        <f>H5080</f>
        <v>270</v>
      </c>
    </row>
    <row r="5082" spans="1:8" ht="15.6" x14ac:dyDescent="0.3">
      <c r="A5082" s="90" t="s">
        <v>49</v>
      </c>
      <c r="B5082" s="28"/>
      <c r="C5082" s="24"/>
      <c r="D5082" s="25"/>
      <c r="E5082" s="25"/>
      <c r="F5082" s="447" t="s">
        <v>50</v>
      </c>
      <c r="G5082" s="447"/>
      <c r="H5082" s="66">
        <f>SUM(H5079:H5081)</f>
        <v>3540</v>
      </c>
    </row>
    <row r="5083" spans="1:8" ht="26.4" x14ac:dyDescent="0.3">
      <c r="A5083" s="68" t="s">
        <v>22</v>
      </c>
      <c r="B5083" s="30" t="s">
        <v>51</v>
      </c>
      <c r="C5083" s="70" t="s">
        <v>24</v>
      </c>
      <c r="D5083" s="70" t="s">
        <v>25</v>
      </c>
      <c r="E5083" s="543" t="s">
        <v>52</v>
      </c>
      <c r="F5083" s="543"/>
      <c r="G5083" s="28"/>
      <c r="H5083" s="32"/>
    </row>
    <row r="5084" spans="1:8" x14ac:dyDescent="0.3">
      <c r="A5084" s="72">
        <v>0.18</v>
      </c>
      <c r="B5084" s="73">
        <f>H5079</f>
        <v>3000</v>
      </c>
      <c r="C5084" s="91">
        <f>H5080</f>
        <v>270</v>
      </c>
      <c r="D5084" s="91">
        <f>H5080</f>
        <v>270</v>
      </c>
      <c r="E5084" s="506">
        <f>C5084+D5084</f>
        <v>540</v>
      </c>
      <c r="F5084" s="507"/>
      <c r="G5084" s="74"/>
      <c r="H5084" s="75"/>
    </row>
    <row r="5085" spans="1:8" x14ac:dyDescent="0.3">
      <c r="A5085" s="508" t="s">
        <v>983</v>
      </c>
      <c r="B5085" s="509"/>
      <c r="C5085" s="509"/>
      <c r="D5085" s="509"/>
      <c r="E5085" s="453"/>
      <c r="F5085" s="453"/>
      <c r="G5085" s="453"/>
      <c r="H5085" s="454"/>
    </row>
    <row r="5086" spans="1:8" ht="15.6" x14ac:dyDescent="0.3">
      <c r="A5086" s="455" t="s">
        <v>53</v>
      </c>
      <c r="B5086" s="456"/>
      <c r="C5086" s="456"/>
      <c r="D5086" s="457"/>
      <c r="E5086" s="458" t="s">
        <v>54</v>
      </c>
      <c r="F5086" s="459"/>
      <c r="G5086" s="459"/>
      <c r="H5086" s="460"/>
    </row>
    <row r="5087" spans="1:8" x14ac:dyDescent="0.3">
      <c r="A5087" s="461" t="s">
        <v>55</v>
      </c>
      <c r="B5087" s="462"/>
      <c r="C5087" s="462"/>
      <c r="D5087" s="463"/>
      <c r="E5087" s="39"/>
      <c r="F5087" s="28"/>
      <c r="G5087" s="28"/>
      <c r="H5087" s="32"/>
    </row>
    <row r="5088" spans="1:8" x14ac:dyDescent="0.3">
      <c r="A5088" s="461" t="s">
        <v>56</v>
      </c>
      <c r="B5088" s="462"/>
      <c r="C5088" s="462"/>
      <c r="D5088" s="463"/>
      <c r="E5088" s="39"/>
      <c r="F5088" s="28"/>
      <c r="G5088" s="28"/>
      <c r="H5088" s="32"/>
    </row>
    <row r="5089" spans="1:8" x14ac:dyDescent="0.3">
      <c r="A5089" s="461" t="s">
        <v>57</v>
      </c>
      <c r="B5089" s="462"/>
      <c r="C5089" s="462"/>
      <c r="D5089" s="463"/>
      <c r="E5089" s="39"/>
      <c r="F5089" s="28"/>
      <c r="G5089" s="28"/>
      <c r="H5089" s="32"/>
    </row>
    <row r="5090" spans="1:8" ht="15.6" x14ac:dyDescent="0.3">
      <c r="A5090" s="464" t="s">
        <v>58</v>
      </c>
      <c r="B5090" s="465"/>
      <c r="C5090" s="465"/>
      <c r="D5090" s="465"/>
      <c r="E5090" s="466" t="s">
        <v>59</v>
      </c>
      <c r="F5090" s="467"/>
      <c r="G5090" s="467"/>
      <c r="H5090" s="468"/>
    </row>
    <row r="5094" spans="1:8" ht="44.4" x14ac:dyDescent="0.7">
      <c r="A5094" s="469" t="s">
        <v>0</v>
      </c>
      <c r="B5094" s="470"/>
      <c r="C5094" s="470"/>
      <c r="D5094" s="470"/>
      <c r="E5094" s="531" t="s">
        <v>1</v>
      </c>
      <c r="F5094" s="544"/>
      <c r="G5094" s="544"/>
      <c r="H5094" s="545"/>
    </row>
    <row r="5095" spans="1:8" ht="20.399999999999999" x14ac:dyDescent="0.35">
      <c r="A5095" s="1"/>
      <c r="B5095" s="476" t="s">
        <v>2</v>
      </c>
      <c r="C5095" s="476"/>
      <c r="D5095" s="476"/>
      <c r="E5095" s="546"/>
      <c r="F5095" s="546"/>
      <c r="G5095" s="546"/>
      <c r="H5095" s="547"/>
    </row>
    <row r="5096" spans="1:8" x14ac:dyDescent="0.3">
      <c r="A5096" s="477" t="s">
        <v>3</v>
      </c>
      <c r="B5096" s="478"/>
      <c r="C5096" s="479" t="s">
        <v>4</v>
      </c>
      <c r="D5096" s="479"/>
      <c r="E5096" s="548" t="s">
        <v>5</v>
      </c>
      <c r="F5096" s="549"/>
      <c r="G5096" s="549"/>
      <c r="H5096" s="550"/>
    </row>
    <row r="5097" spans="1:8" ht="15.6" x14ac:dyDescent="0.3">
      <c r="A5097" s="4" t="s">
        <v>6</v>
      </c>
      <c r="B5097" s="5"/>
      <c r="C5097" s="481" t="s">
        <v>7</v>
      </c>
      <c r="D5097" s="481"/>
      <c r="E5097" s="482">
        <v>111</v>
      </c>
      <c r="F5097" s="482"/>
      <c r="G5097" s="7" t="s">
        <v>8</v>
      </c>
      <c r="H5097" s="8" t="s">
        <v>948</v>
      </c>
    </row>
    <row r="5098" spans="1:8" ht="15.6" x14ac:dyDescent="0.3">
      <c r="A5098" s="551" t="s">
        <v>984</v>
      </c>
      <c r="B5098" s="552"/>
      <c r="C5098" s="481" t="s">
        <v>10</v>
      </c>
      <c r="D5098" s="481"/>
      <c r="E5098" s="482"/>
      <c r="F5098" s="482"/>
      <c r="G5098" s="7" t="s">
        <v>8</v>
      </c>
      <c r="H5098" s="9"/>
    </row>
    <row r="5099" spans="1:8" ht="15" x14ac:dyDescent="0.3">
      <c r="A5099" s="517" t="s">
        <v>985</v>
      </c>
      <c r="B5099" s="553"/>
      <c r="C5099" s="483" t="s">
        <v>12</v>
      </c>
      <c r="D5099" s="484"/>
      <c r="E5099" s="584"/>
      <c r="F5099" s="585"/>
      <c r="G5099" s="10" t="s">
        <v>8</v>
      </c>
      <c r="H5099" s="82"/>
    </row>
    <row r="5100" spans="1:8" ht="15.6" x14ac:dyDescent="0.3">
      <c r="A5100" s="556" t="s">
        <v>986</v>
      </c>
      <c r="B5100" s="557"/>
      <c r="C5100" s="481" t="s">
        <v>15</v>
      </c>
      <c r="D5100" s="481"/>
      <c r="E5100" s="502" t="s">
        <v>988</v>
      </c>
      <c r="F5100" s="503"/>
      <c r="G5100" s="503"/>
      <c r="H5100" s="504"/>
    </row>
    <row r="5101" spans="1:8" ht="15.6" x14ac:dyDescent="0.3">
      <c r="A5101" s="558" t="s">
        <v>987</v>
      </c>
      <c r="B5101" s="559"/>
      <c r="C5101" s="489"/>
      <c r="D5101" s="490"/>
      <c r="E5101" s="490"/>
      <c r="F5101" s="490"/>
      <c r="G5101" s="490"/>
      <c r="H5101" s="491"/>
    </row>
    <row r="5102" spans="1:8" ht="15" x14ac:dyDescent="0.3">
      <c r="A5102" s="492" t="s">
        <v>17</v>
      </c>
      <c r="B5102" s="494" t="s">
        <v>18</v>
      </c>
      <c r="C5102" s="494" t="s">
        <v>19</v>
      </c>
      <c r="D5102" s="494" t="s">
        <v>20</v>
      </c>
      <c r="E5102" s="494" t="s">
        <v>21</v>
      </c>
      <c r="F5102" s="494" t="s">
        <v>22</v>
      </c>
      <c r="G5102" s="494"/>
      <c r="H5102" s="492" t="s">
        <v>23</v>
      </c>
    </row>
    <row r="5103" spans="1:8" ht="27.6" x14ac:dyDescent="0.3">
      <c r="A5103" s="492"/>
      <c r="B5103" s="494"/>
      <c r="C5103" s="494"/>
      <c r="D5103" s="494"/>
      <c r="E5103" s="494"/>
      <c r="F5103" s="53" t="s">
        <v>24</v>
      </c>
      <c r="G5103" s="53" t="s">
        <v>25</v>
      </c>
      <c r="H5103" s="492"/>
    </row>
    <row r="5104" spans="1:8" x14ac:dyDescent="0.3">
      <c r="A5104" s="57">
        <v>1</v>
      </c>
      <c r="B5104" s="60" t="s">
        <v>989</v>
      </c>
      <c r="C5104" s="83">
        <v>4</v>
      </c>
      <c r="D5104" s="83">
        <v>854690</v>
      </c>
      <c r="E5104" s="57">
        <v>2350</v>
      </c>
      <c r="F5104" s="57">
        <f>E5104*C5104*9%</f>
        <v>846</v>
      </c>
      <c r="G5104" s="57">
        <f>F5104</f>
        <v>846</v>
      </c>
      <c r="H5104" s="57">
        <f>G5104+F5104+E5104*C5104</f>
        <v>11092</v>
      </c>
    </row>
    <row r="5105" spans="1:8" x14ac:dyDescent="0.3">
      <c r="A5105" s="55"/>
      <c r="B5105" s="130"/>
      <c r="C5105" s="83"/>
      <c r="D5105" s="83"/>
      <c r="E5105" s="57"/>
      <c r="F5105" s="57"/>
      <c r="G5105" s="57"/>
      <c r="H5105" s="57"/>
    </row>
    <row r="5106" spans="1:8" x14ac:dyDescent="0.3">
      <c r="A5106" s="55"/>
      <c r="B5106" s="130"/>
      <c r="C5106" s="83"/>
      <c r="D5106" s="83"/>
      <c r="E5106" s="57"/>
      <c r="F5106" s="57"/>
      <c r="G5106" s="57"/>
      <c r="H5106" s="57"/>
    </row>
    <row r="5107" spans="1:8" x14ac:dyDescent="0.3">
      <c r="A5107" s="55"/>
      <c r="B5107" s="130"/>
      <c r="C5107" s="83"/>
      <c r="D5107" s="83"/>
      <c r="E5107" s="57"/>
      <c r="F5107" s="57"/>
      <c r="G5107" s="57"/>
      <c r="H5107" s="57"/>
    </row>
    <row r="5108" spans="1:8" x14ac:dyDescent="0.3">
      <c r="A5108" s="55"/>
      <c r="B5108" s="130"/>
      <c r="C5108" s="83"/>
      <c r="D5108" s="83"/>
      <c r="E5108" s="57"/>
      <c r="F5108" s="57"/>
      <c r="G5108" s="57"/>
      <c r="H5108" s="57"/>
    </row>
    <row r="5109" spans="1:8" x14ac:dyDescent="0.3">
      <c r="A5109" s="55"/>
      <c r="B5109" s="130"/>
      <c r="C5109" s="83"/>
      <c r="D5109" s="83"/>
      <c r="E5109" s="57"/>
      <c r="F5109" s="57"/>
      <c r="G5109" s="57"/>
      <c r="H5109" s="57"/>
    </row>
    <row r="5110" spans="1:8" x14ac:dyDescent="0.3">
      <c r="A5110" s="55"/>
      <c r="B5110" s="130"/>
      <c r="C5110" s="83"/>
      <c r="D5110" s="83"/>
      <c r="E5110" s="57"/>
      <c r="F5110" s="57"/>
      <c r="G5110" s="57"/>
      <c r="H5110" s="57"/>
    </row>
    <row r="5111" spans="1:8" x14ac:dyDescent="0.3">
      <c r="A5111" s="55"/>
      <c r="B5111" s="130"/>
      <c r="C5111" s="83"/>
      <c r="D5111" s="57"/>
      <c r="E5111" s="57"/>
      <c r="F5111" s="57"/>
      <c r="G5111" s="57"/>
      <c r="H5111" s="57"/>
    </row>
    <row r="5112" spans="1:8" x14ac:dyDescent="0.3">
      <c r="A5112" s="194"/>
      <c r="B5112" s="195"/>
      <c r="C5112" s="196"/>
      <c r="D5112" s="194"/>
      <c r="E5112" s="194"/>
      <c r="F5112" s="145"/>
      <c r="G5112" s="197"/>
      <c r="H5112" s="198"/>
    </row>
    <row r="5113" spans="1:8" x14ac:dyDescent="0.3">
      <c r="A5113" s="199"/>
      <c r="B5113" s="200"/>
      <c r="C5113" s="201"/>
      <c r="D5113" s="202"/>
      <c r="E5113" s="203"/>
      <c r="F5113" s="204"/>
      <c r="G5113" s="204"/>
      <c r="H5113" s="205"/>
    </row>
    <row r="5114" spans="1:8" x14ac:dyDescent="0.3">
      <c r="A5114" s="173"/>
      <c r="B5114" s="88"/>
      <c r="C5114" s="206"/>
      <c r="D5114" s="89"/>
      <c r="E5114" s="207"/>
      <c r="F5114" s="25"/>
      <c r="G5114" s="25"/>
      <c r="H5114" s="32"/>
    </row>
    <row r="5115" spans="1:8" x14ac:dyDescent="0.3">
      <c r="A5115" s="173"/>
      <c r="B5115" s="88"/>
      <c r="C5115" s="206"/>
      <c r="D5115" s="89"/>
      <c r="E5115" s="207"/>
      <c r="F5115" s="25"/>
      <c r="G5115" s="25"/>
      <c r="H5115" s="32"/>
    </row>
    <row r="5116" spans="1:8" x14ac:dyDescent="0.3">
      <c r="A5116" s="173"/>
      <c r="B5116" s="88"/>
      <c r="C5116" s="206"/>
      <c r="D5116" s="89"/>
      <c r="E5116" s="207"/>
      <c r="F5116" s="25"/>
      <c r="G5116" s="25"/>
      <c r="H5116" s="32"/>
    </row>
    <row r="5117" spans="1:8" x14ac:dyDescent="0.3">
      <c r="A5117" s="173"/>
      <c r="B5117" s="88"/>
      <c r="C5117" s="206"/>
      <c r="D5117" s="89"/>
      <c r="E5117" s="207"/>
      <c r="F5117" s="25"/>
      <c r="G5117" s="25"/>
      <c r="H5117" s="32"/>
    </row>
    <row r="5118" spans="1:8" x14ac:dyDescent="0.3">
      <c r="A5118" s="173"/>
      <c r="B5118" s="88"/>
      <c r="C5118" s="206"/>
      <c r="D5118" s="89"/>
      <c r="E5118" s="207"/>
      <c r="F5118" s="25"/>
      <c r="G5118" s="25"/>
      <c r="H5118" s="32"/>
    </row>
    <row r="5119" spans="1:8" x14ac:dyDescent="0.3">
      <c r="A5119" s="173"/>
      <c r="B5119" s="88"/>
      <c r="C5119" s="206"/>
      <c r="D5119" s="89"/>
      <c r="E5119" s="207"/>
      <c r="F5119" s="25"/>
      <c r="G5119" s="25"/>
      <c r="H5119" s="32"/>
    </row>
    <row r="5120" spans="1:8" x14ac:dyDescent="0.3">
      <c r="A5120" s="173"/>
      <c r="B5120" s="88"/>
      <c r="C5120" s="206"/>
      <c r="D5120" s="89"/>
      <c r="E5120" s="207"/>
      <c r="F5120" s="25"/>
      <c r="G5120" s="25"/>
      <c r="H5120" s="32"/>
    </row>
    <row r="5121" spans="1:8" x14ac:dyDescent="0.3">
      <c r="A5121" s="173"/>
      <c r="B5121" s="88"/>
      <c r="C5121" s="206"/>
      <c r="D5121" s="89"/>
      <c r="E5121" s="207"/>
      <c r="F5121" s="25"/>
      <c r="G5121" s="25"/>
      <c r="H5121" s="32"/>
    </row>
    <row r="5122" spans="1:8" x14ac:dyDescent="0.3">
      <c r="A5122" s="173"/>
      <c r="B5122" s="88"/>
      <c r="C5122" s="206"/>
      <c r="D5122" s="89"/>
      <c r="E5122" s="207"/>
      <c r="F5122" s="25"/>
      <c r="G5122" s="25"/>
      <c r="H5122" s="32"/>
    </row>
    <row r="5123" spans="1:8" x14ac:dyDescent="0.3">
      <c r="A5123" s="173"/>
      <c r="B5123" s="88"/>
      <c r="C5123" s="206"/>
      <c r="D5123" s="89"/>
      <c r="E5123" s="25"/>
      <c r="F5123" s="25"/>
      <c r="G5123" s="25"/>
      <c r="H5123" s="32"/>
    </row>
    <row r="5124" spans="1:8" x14ac:dyDescent="0.3">
      <c r="A5124" s="27"/>
      <c r="B5124" s="88"/>
      <c r="C5124" s="24"/>
      <c r="D5124" s="89"/>
      <c r="E5124" s="25"/>
      <c r="F5124" s="25"/>
      <c r="G5124" s="25"/>
      <c r="H5124" s="32"/>
    </row>
    <row r="5125" spans="1:8" x14ac:dyDescent="0.3">
      <c r="A5125" s="27"/>
      <c r="B5125" s="28"/>
      <c r="C5125" s="24"/>
      <c r="D5125" s="25"/>
      <c r="E5125" s="25"/>
      <c r="F5125" s="28"/>
      <c r="G5125" s="28"/>
      <c r="H5125" s="32"/>
    </row>
    <row r="5126" spans="1:8" ht="15.6" x14ac:dyDescent="0.3">
      <c r="A5126" s="448" t="s">
        <v>45</v>
      </c>
      <c r="B5126" s="449"/>
      <c r="C5126" s="24"/>
      <c r="D5126" s="25"/>
      <c r="E5126" s="25"/>
      <c r="F5126" s="447" t="s">
        <v>46</v>
      </c>
      <c r="G5126" s="447"/>
      <c r="H5126" s="66">
        <f>E5104*C5104+E5105*C5105</f>
        <v>9400</v>
      </c>
    </row>
    <row r="5127" spans="1:8" ht="15.6" x14ac:dyDescent="0.3">
      <c r="A5127" s="497" t="s">
        <v>990</v>
      </c>
      <c r="B5127" s="498"/>
      <c r="C5127" s="498"/>
      <c r="D5127" s="498"/>
      <c r="E5127" s="498"/>
      <c r="F5127" s="447" t="s">
        <v>47</v>
      </c>
      <c r="G5127" s="447"/>
      <c r="H5127" s="66">
        <f>H5126*9%</f>
        <v>846</v>
      </c>
    </row>
    <row r="5128" spans="1:8" ht="15.6" x14ac:dyDescent="0.3">
      <c r="A5128" s="27"/>
      <c r="B5128" s="28"/>
      <c r="C5128" s="24"/>
      <c r="D5128" s="25"/>
      <c r="E5128" s="25"/>
      <c r="F5128" s="447" t="s">
        <v>48</v>
      </c>
      <c r="G5128" s="447"/>
      <c r="H5128" s="66">
        <f>H5127</f>
        <v>846</v>
      </c>
    </row>
    <row r="5129" spans="1:8" ht="15.6" x14ac:dyDescent="0.3">
      <c r="A5129" s="90" t="s">
        <v>49</v>
      </c>
      <c r="B5129" s="28"/>
      <c r="C5129" s="24"/>
      <c r="D5129" s="25"/>
      <c r="E5129" s="25"/>
      <c r="F5129" s="447" t="s">
        <v>50</v>
      </c>
      <c r="G5129" s="447"/>
      <c r="H5129" s="66">
        <f>SUM(H5126:H5128)</f>
        <v>11092</v>
      </c>
    </row>
    <row r="5130" spans="1:8" ht="26.4" x14ac:dyDescent="0.3">
      <c r="A5130" s="68" t="s">
        <v>22</v>
      </c>
      <c r="B5130" s="30" t="s">
        <v>51</v>
      </c>
      <c r="C5130" s="70" t="s">
        <v>24</v>
      </c>
      <c r="D5130" s="70" t="s">
        <v>25</v>
      </c>
      <c r="E5130" s="543" t="s">
        <v>52</v>
      </c>
      <c r="F5130" s="543"/>
      <c r="G5130" s="28"/>
      <c r="H5130" s="32"/>
    </row>
    <row r="5131" spans="1:8" x14ac:dyDescent="0.3">
      <c r="A5131" s="72">
        <v>0.18</v>
      </c>
      <c r="B5131" s="73">
        <f>H5126</f>
        <v>9400</v>
      </c>
      <c r="C5131" s="91">
        <f>H5127</f>
        <v>846</v>
      </c>
      <c r="D5131" s="91">
        <f>H5127</f>
        <v>846</v>
      </c>
      <c r="E5131" s="506">
        <f>C5131+D5131</f>
        <v>1692</v>
      </c>
      <c r="F5131" s="507"/>
      <c r="G5131" s="74"/>
      <c r="H5131" s="75"/>
    </row>
    <row r="5132" spans="1:8" x14ac:dyDescent="0.3">
      <c r="A5132" s="508" t="s">
        <v>991</v>
      </c>
      <c r="B5132" s="509"/>
      <c r="C5132" s="509"/>
      <c r="D5132" s="509"/>
      <c r="E5132" s="453"/>
      <c r="F5132" s="453"/>
      <c r="G5132" s="453"/>
      <c r="H5132" s="454"/>
    </row>
    <row r="5133" spans="1:8" ht="15.6" x14ac:dyDescent="0.3">
      <c r="A5133" s="455" t="s">
        <v>53</v>
      </c>
      <c r="B5133" s="456"/>
      <c r="C5133" s="456"/>
      <c r="D5133" s="457"/>
      <c r="E5133" s="458" t="s">
        <v>54</v>
      </c>
      <c r="F5133" s="459"/>
      <c r="G5133" s="459"/>
      <c r="H5133" s="460"/>
    </row>
    <row r="5134" spans="1:8" x14ac:dyDescent="0.3">
      <c r="A5134" s="461" t="s">
        <v>55</v>
      </c>
      <c r="B5134" s="462"/>
      <c r="C5134" s="462"/>
      <c r="D5134" s="463"/>
      <c r="E5134" s="39"/>
      <c r="F5134" s="28"/>
      <c r="G5134" s="28"/>
      <c r="H5134" s="32"/>
    </row>
    <row r="5135" spans="1:8" x14ac:dyDescent="0.3">
      <c r="A5135" s="461" t="s">
        <v>56</v>
      </c>
      <c r="B5135" s="462"/>
      <c r="C5135" s="462"/>
      <c r="D5135" s="463"/>
      <c r="E5135" s="39"/>
      <c r="F5135" s="28"/>
      <c r="G5135" s="28"/>
      <c r="H5135" s="32"/>
    </row>
    <row r="5136" spans="1:8" x14ac:dyDescent="0.3">
      <c r="A5136" s="461" t="s">
        <v>57</v>
      </c>
      <c r="B5136" s="462"/>
      <c r="C5136" s="462"/>
      <c r="D5136" s="463"/>
      <c r="E5136" s="39"/>
      <c r="F5136" s="28"/>
      <c r="G5136" s="28"/>
      <c r="H5136" s="32"/>
    </row>
    <row r="5137" spans="1:8" ht="15.6" x14ac:dyDescent="0.3">
      <c r="A5137" s="464" t="s">
        <v>58</v>
      </c>
      <c r="B5137" s="465"/>
      <c r="C5137" s="465"/>
      <c r="D5137" s="465"/>
      <c r="E5137" s="466" t="s">
        <v>59</v>
      </c>
      <c r="F5137" s="467"/>
      <c r="G5137" s="467"/>
      <c r="H5137" s="468"/>
    </row>
    <row r="5140" spans="1:8" ht="44.4" x14ac:dyDescent="0.7">
      <c r="A5140" s="469" t="s">
        <v>0</v>
      </c>
      <c r="B5140" s="470"/>
      <c r="C5140" s="470"/>
      <c r="D5140" s="470"/>
      <c r="E5140" s="531" t="s">
        <v>1</v>
      </c>
      <c r="F5140" s="544"/>
      <c r="G5140" s="544"/>
      <c r="H5140" s="545"/>
    </row>
    <row r="5141" spans="1:8" ht="20.399999999999999" x14ac:dyDescent="0.3">
      <c r="A5141" s="331"/>
      <c r="B5141" s="662" t="s">
        <v>872</v>
      </c>
      <c r="C5141" s="662"/>
      <c r="D5141" s="662"/>
      <c r="E5141" s="546"/>
      <c r="F5141" s="546"/>
      <c r="G5141" s="546"/>
      <c r="H5141" s="547"/>
    </row>
    <row r="5142" spans="1:8" x14ac:dyDescent="0.3">
      <c r="A5142" s="477" t="s">
        <v>3</v>
      </c>
      <c r="B5142" s="478"/>
      <c r="C5142" s="479" t="s">
        <v>4</v>
      </c>
      <c r="D5142" s="479"/>
      <c r="E5142" s="548" t="s">
        <v>5</v>
      </c>
      <c r="F5142" s="549"/>
      <c r="G5142" s="549"/>
      <c r="H5142" s="550"/>
    </row>
    <row r="5143" spans="1:8" ht="15.6" x14ac:dyDescent="0.3">
      <c r="A5143" s="332" t="s">
        <v>6</v>
      </c>
      <c r="B5143" s="5"/>
      <c r="C5143" s="481" t="s">
        <v>7</v>
      </c>
      <c r="D5143" s="481"/>
      <c r="E5143" s="482">
        <v>112</v>
      </c>
      <c r="F5143" s="482"/>
      <c r="G5143" s="6" t="s">
        <v>8</v>
      </c>
      <c r="H5143" s="9" t="s">
        <v>948</v>
      </c>
    </row>
    <row r="5144" spans="1:8" ht="15.6" x14ac:dyDescent="0.3">
      <c r="A5144" s="657" t="s">
        <v>873</v>
      </c>
      <c r="B5144" s="658"/>
      <c r="C5144" s="481" t="s">
        <v>10</v>
      </c>
      <c r="D5144" s="481"/>
      <c r="E5144" s="482"/>
      <c r="F5144" s="482"/>
      <c r="G5144" s="6" t="s">
        <v>8</v>
      </c>
      <c r="H5144" s="6"/>
    </row>
    <row r="5145" spans="1:8" ht="15.6" x14ac:dyDescent="0.3">
      <c r="A5145" s="500" t="s">
        <v>874</v>
      </c>
      <c r="B5145" s="501"/>
      <c r="C5145" s="481" t="s">
        <v>12</v>
      </c>
      <c r="D5145" s="481"/>
      <c r="E5145" s="482"/>
      <c r="F5145" s="482"/>
      <c r="G5145" s="6" t="s">
        <v>8</v>
      </c>
      <c r="H5145" s="6"/>
    </row>
    <row r="5146" spans="1:8" ht="15.6" x14ac:dyDescent="0.3">
      <c r="A5146" s="500" t="s">
        <v>875</v>
      </c>
      <c r="B5146" s="501"/>
      <c r="C5146" s="481" t="s">
        <v>15</v>
      </c>
      <c r="D5146" s="481"/>
      <c r="E5146" s="659" t="s">
        <v>876</v>
      </c>
      <c r="F5146" s="660"/>
      <c r="G5146" s="660"/>
      <c r="H5146" s="333"/>
    </row>
    <row r="5147" spans="1:8" ht="15.6" x14ac:dyDescent="0.3">
      <c r="A5147" s="326" t="s">
        <v>877</v>
      </c>
      <c r="B5147" s="256"/>
      <c r="C5147" s="330"/>
      <c r="D5147" s="330"/>
      <c r="E5147" s="327"/>
      <c r="F5147" s="328"/>
      <c r="G5147" s="329"/>
      <c r="H5147" s="330"/>
    </row>
    <row r="5148" spans="1:8" x14ac:dyDescent="0.3">
      <c r="A5148" s="736" t="s">
        <v>17</v>
      </c>
      <c r="B5148" s="738" t="s">
        <v>18</v>
      </c>
      <c r="C5148" s="738" t="s">
        <v>19</v>
      </c>
      <c r="D5148" s="738" t="s">
        <v>20</v>
      </c>
      <c r="E5148" s="738" t="s">
        <v>21</v>
      </c>
      <c r="F5148" s="738" t="s">
        <v>878</v>
      </c>
      <c r="G5148" s="738"/>
      <c r="H5148" s="739" t="s">
        <v>23</v>
      </c>
    </row>
    <row r="5149" spans="1:8" x14ac:dyDescent="0.3">
      <c r="A5149" s="737"/>
      <c r="B5149" s="738"/>
      <c r="C5149" s="738"/>
      <c r="D5149" s="738"/>
      <c r="E5149" s="738"/>
      <c r="F5149" s="334">
        <v>0.09</v>
      </c>
      <c r="G5149" s="334">
        <v>0.09</v>
      </c>
      <c r="H5149" s="739"/>
    </row>
    <row r="5150" spans="1:8" ht="27.6" x14ac:dyDescent="0.3">
      <c r="A5150" s="55">
        <v>1</v>
      </c>
      <c r="B5150" s="130" t="s">
        <v>879</v>
      </c>
      <c r="C5150" s="55">
        <v>19</v>
      </c>
      <c r="D5150" s="20">
        <v>998719</v>
      </c>
      <c r="E5150" s="55">
        <v>2400</v>
      </c>
      <c r="F5150" s="93">
        <f>E5150*C5150*9%</f>
        <v>4104</v>
      </c>
      <c r="G5150" s="93">
        <f>F5150</f>
        <v>4104</v>
      </c>
      <c r="H5150" s="62">
        <f>E5150*C5150+F5150+G5150</f>
        <v>53808</v>
      </c>
    </row>
    <row r="5151" spans="1:8" x14ac:dyDescent="0.3">
      <c r="A5151" s="55"/>
      <c r="B5151" s="130" t="s">
        <v>880</v>
      </c>
      <c r="C5151" s="55"/>
      <c r="D5151" s="55"/>
      <c r="E5151" s="55"/>
      <c r="F5151" s="93"/>
      <c r="G5151" s="93"/>
      <c r="H5151" s="62"/>
    </row>
    <row r="5152" spans="1:8" x14ac:dyDescent="0.3">
      <c r="A5152" s="55"/>
      <c r="B5152" s="130"/>
      <c r="C5152" s="55"/>
      <c r="D5152" s="55"/>
      <c r="E5152" s="55"/>
      <c r="F5152" s="93"/>
      <c r="G5152" s="93"/>
      <c r="H5152" s="62"/>
    </row>
    <row r="5153" spans="1:8" x14ac:dyDescent="0.3">
      <c r="A5153" s="55"/>
      <c r="B5153" s="130"/>
      <c r="C5153" s="47"/>
      <c r="D5153" s="55"/>
      <c r="E5153" s="55"/>
      <c r="F5153" s="93"/>
      <c r="G5153" s="93"/>
      <c r="H5153" s="62"/>
    </row>
    <row r="5154" spans="1:8" x14ac:dyDescent="0.3">
      <c r="A5154" s="57"/>
      <c r="B5154" s="60"/>
      <c r="C5154" s="57"/>
      <c r="D5154" s="57"/>
      <c r="E5154" s="57"/>
      <c r="F5154" s="58"/>
      <c r="G5154" s="58"/>
      <c r="H5154" s="59"/>
    </row>
    <row r="5155" spans="1:8" x14ac:dyDescent="0.3">
      <c r="A5155" s="173"/>
      <c r="B5155" s="174"/>
      <c r="C5155" s="175"/>
      <c r="D5155" s="175"/>
      <c r="E5155" s="175"/>
      <c r="F5155" s="165"/>
      <c r="G5155" s="165"/>
      <c r="H5155" s="166"/>
    </row>
    <row r="5156" spans="1:8" x14ac:dyDescent="0.3">
      <c r="A5156" s="173"/>
      <c r="B5156" s="174"/>
      <c r="C5156" s="175"/>
      <c r="D5156" s="175"/>
      <c r="E5156" s="175"/>
      <c r="F5156" s="165"/>
      <c r="G5156" s="165"/>
      <c r="H5156" s="166"/>
    </row>
    <row r="5157" spans="1:8" x14ac:dyDescent="0.3">
      <c r="A5157" s="173"/>
      <c r="B5157" s="174"/>
      <c r="C5157" s="175"/>
      <c r="D5157" s="175"/>
      <c r="E5157" s="175"/>
      <c r="F5157" s="165"/>
      <c r="G5157" s="165"/>
      <c r="H5157" s="166"/>
    </row>
    <row r="5158" spans="1:8" x14ac:dyDescent="0.3">
      <c r="A5158" s="173"/>
      <c r="B5158" s="174"/>
      <c r="C5158" s="175"/>
      <c r="D5158" s="175"/>
      <c r="E5158" s="175"/>
      <c r="F5158" s="165"/>
      <c r="G5158" s="165"/>
      <c r="H5158" s="166"/>
    </row>
    <row r="5159" spans="1:8" x14ac:dyDescent="0.3">
      <c r="A5159" s="173"/>
      <c r="B5159" s="174"/>
      <c r="C5159" s="175"/>
      <c r="D5159" s="175"/>
      <c r="E5159" s="175"/>
      <c r="F5159" s="165"/>
      <c r="G5159" s="165"/>
      <c r="H5159" s="166"/>
    </row>
    <row r="5160" spans="1:8" x14ac:dyDescent="0.3">
      <c r="A5160" s="335"/>
      <c r="B5160" s="28"/>
      <c r="C5160" s="28"/>
      <c r="D5160" s="28"/>
      <c r="E5160" s="25"/>
      <c r="F5160" s="28"/>
      <c r="G5160" s="25"/>
      <c r="H5160" s="32"/>
    </row>
    <row r="5161" spans="1:8" x14ac:dyDescent="0.3">
      <c r="A5161" s="335"/>
      <c r="B5161" s="28"/>
      <c r="C5161" s="28"/>
      <c r="D5161" s="28"/>
      <c r="E5161" s="25"/>
      <c r="F5161" s="28"/>
      <c r="G5161" s="25"/>
      <c r="H5161" s="32"/>
    </row>
    <row r="5162" spans="1:8" x14ac:dyDescent="0.3">
      <c r="A5162" s="335"/>
      <c r="B5162" s="28"/>
      <c r="C5162" s="28"/>
      <c r="D5162" s="28"/>
      <c r="E5162" s="25"/>
      <c r="F5162" s="28"/>
      <c r="G5162" s="25"/>
      <c r="H5162" s="32"/>
    </row>
    <row r="5163" spans="1:8" x14ac:dyDescent="0.3">
      <c r="A5163" s="335"/>
      <c r="B5163" s="28"/>
      <c r="C5163" s="28"/>
      <c r="D5163" s="28"/>
      <c r="E5163" s="25"/>
      <c r="F5163" s="28"/>
      <c r="G5163" s="25"/>
      <c r="H5163" s="32"/>
    </row>
    <row r="5164" spans="1:8" x14ac:dyDescent="0.3">
      <c r="A5164" s="335"/>
      <c r="B5164" s="28"/>
      <c r="C5164" s="28"/>
      <c r="D5164" s="28"/>
      <c r="E5164" s="25"/>
      <c r="F5164" s="28"/>
      <c r="G5164" s="25"/>
      <c r="H5164" s="32"/>
    </row>
    <row r="5165" spans="1:8" x14ac:dyDescent="0.3">
      <c r="A5165" s="335"/>
      <c r="B5165" s="28"/>
      <c r="C5165" s="28"/>
      <c r="D5165" s="28"/>
      <c r="E5165" s="25"/>
      <c r="F5165" s="28"/>
      <c r="G5165" s="25"/>
      <c r="H5165" s="32"/>
    </row>
    <row r="5166" spans="1:8" x14ac:dyDescent="0.3">
      <c r="A5166" s="335"/>
      <c r="B5166" s="28"/>
      <c r="C5166" s="28"/>
      <c r="D5166" s="28"/>
      <c r="E5166" s="25"/>
      <c r="F5166" s="28"/>
      <c r="G5166" s="25"/>
      <c r="H5166" s="32"/>
    </row>
    <row r="5167" spans="1:8" x14ac:dyDescent="0.3">
      <c r="A5167" s="335"/>
      <c r="B5167" s="28"/>
      <c r="C5167" s="28"/>
      <c r="D5167" s="28"/>
      <c r="E5167" s="25"/>
      <c r="F5167" s="28"/>
      <c r="G5167" s="25"/>
      <c r="H5167" s="32"/>
    </row>
    <row r="5168" spans="1:8" x14ac:dyDescent="0.3">
      <c r="A5168" s="335"/>
      <c r="B5168" s="28"/>
      <c r="C5168" s="28"/>
      <c r="D5168" s="28"/>
      <c r="E5168" s="25"/>
      <c r="F5168" s="28"/>
      <c r="G5168" s="25"/>
      <c r="H5168" s="32"/>
    </row>
    <row r="5169" spans="1:8" x14ac:dyDescent="0.3">
      <c r="A5169" s="335"/>
      <c r="B5169" s="28"/>
      <c r="C5169" s="28"/>
      <c r="D5169" s="28"/>
      <c r="E5169" s="25"/>
      <c r="F5169" s="28"/>
      <c r="G5169" s="25"/>
      <c r="H5169" s="32"/>
    </row>
    <row r="5170" spans="1:8" x14ac:dyDescent="0.3">
      <c r="A5170" s="335"/>
      <c r="B5170" s="28"/>
      <c r="C5170" s="28"/>
      <c r="D5170" s="28"/>
      <c r="E5170" s="25"/>
      <c r="F5170" s="28"/>
      <c r="G5170" s="25"/>
      <c r="H5170" s="32"/>
    </row>
    <row r="5171" spans="1:8" ht="15.6" x14ac:dyDescent="0.3">
      <c r="A5171" s="336" t="s">
        <v>45</v>
      </c>
      <c r="B5171" s="28"/>
      <c r="C5171" s="28"/>
      <c r="D5171" s="28"/>
      <c r="E5171" s="25"/>
      <c r="F5171" s="447" t="s">
        <v>46</v>
      </c>
      <c r="G5171" s="447"/>
      <c r="H5171" s="66">
        <f>(C5150*E5150)+(C5151*E5151)+(C5152*E5152)+(C5153*E5153)+(C5154*E5154)</f>
        <v>45600</v>
      </c>
    </row>
    <row r="5172" spans="1:8" ht="15.6" x14ac:dyDescent="0.3">
      <c r="A5172" s="497" t="s">
        <v>881</v>
      </c>
      <c r="B5172" s="498"/>
      <c r="C5172" s="498"/>
      <c r="D5172" s="498"/>
      <c r="E5172" s="498"/>
      <c r="F5172" s="447" t="s">
        <v>47</v>
      </c>
      <c r="G5172" s="447"/>
      <c r="H5172" s="66">
        <f>H5171*9%</f>
        <v>4104</v>
      </c>
    </row>
    <row r="5173" spans="1:8" ht="15.6" x14ac:dyDescent="0.3">
      <c r="A5173" s="335"/>
      <c r="B5173" s="28"/>
      <c r="C5173" s="28"/>
      <c r="D5173" s="28"/>
      <c r="E5173" s="25"/>
      <c r="F5173" s="447" t="s">
        <v>48</v>
      </c>
      <c r="G5173" s="447"/>
      <c r="H5173" s="66">
        <f>H5172</f>
        <v>4104</v>
      </c>
    </row>
    <row r="5174" spans="1:8" ht="15.6" x14ac:dyDescent="0.3">
      <c r="A5174" s="336" t="s">
        <v>49</v>
      </c>
      <c r="B5174" s="28"/>
      <c r="C5174" s="28"/>
      <c r="D5174" s="28"/>
      <c r="E5174" s="25"/>
      <c r="F5174" s="447" t="s">
        <v>50</v>
      </c>
      <c r="G5174" s="447"/>
      <c r="H5174" s="337">
        <f>H5171+H5172+H5173</f>
        <v>53808</v>
      </c>
    </row>
    <row r="5175" spans="1:8" ht="27" x14ac:dyDescent="0.3">
      <c r="A5175" s="338" t="s">
        <v>22</v>
      </c>
      <c r="B5175" s="69" t="s">
        <v>51</v>
      </c>
      <c r="C5175" s="31" t="s">
        <v>24</v>
      </c>
      <c r="D5175" s="31" t="s">
        <v>25</v>
      </c>
      <c r="E5175" s="543" t="s">
        <v>52</v>
      </c>
      <c r="F5175" s="543"/>
      <c r="G5175" s="25"/>
      <c r="H5175" s="32"/>
    </row>
    <row r="5176" spans="1:8" x14ac:dyDescent="0.3">
      <c r="A5176" s="72">
        <v>0.18</v>
      </c>
      <c r="B5176" s="73">
        <f>H5171</f>
        <v>45600</v>
      </c>
      <c r="C5176" s="339">
        <f>H5172</f>
        <v>4104</v>
      </c>
      <c r="D5176" s="339">
        <f>C5176</f>
        <v>4104</v>
      </c>
      <c r="E5176" s="661">
        <f>C5176+D5176</f>
        <v>8208</v>
      </c>
      <c r="F5176" s="451"/>
      <c r="G5176" s="74"/>
      <c r="H5176" s="75"/>
    </row>
    <row r="5177" spans="1:8" x14ac:dyDescent="0.3">
      <c r="A5177" s="452" t="s">
        <v>882</v>
      </c>
      <c r="B5177" s="453"/>
      <c r="C5177" s="453"/>
      <c r="D5177" s="453"/>
      <c r="E5177" s="453"/>
      <c r="F5177" s="453"/>
      <c r="G5177" s="453"/>
      <c r="H5177" s="454"/>
    </row>
    <row r="5178" spans="1:8" ht="15.6" x14ac:dyDescent="0.3">
      <c r="A5178" s="455" t="s">
        <v>53</v>
      </c>
      <c r="B5178" s="456"/>
      <c r="C5178" s="456"/>
      <c r="D5178" s="457"/>
      <c r="E5178" s="458" t="s">
        <v>54</v>
      </c>
      <c r="F5178" s="459"/>
      <c r="G5178" s="459"/>
      <c r="H5178" s="460"/>
    </row>
    <row r="5179" spans="1:8" x14ac:dyDescent="0.3">
      <c r="A5179" s="461" t="s">
        <v>55</v>
      </c>
      <c r="B5179" s="462"/>
      <c r="C5179" s="462"/>
      <c r="D5179" s="463"/>
      <c r="E5179" s="39"/>
      <c r="F5179" s="28"/>
      <c r="G5179" s="25"/>
      <c r="H5179" s="32"/>
    </row>
    <row r="5180" spans="1:8" x14ac:dyDescent="0.3">
      <c r="A5180" s="461" t="s">
        <v>56</v>
      </c>
      <c r="B5180" s="462"/>
      <c r="C5180" s="462"/>
      <c r="D5180" s="463"/>
      <c r="E5180" s="39"/>
      <c r="F5180" s="28"/>
      <c r="G5180" s="25"/>
      <c r="H5180" s="32"/>
    </row>
    <row r="5181" spans="1:8" x14ac:dyDescent="0.3">
      <c r="A5181" s="461" t="s">
        <v>57</v>
      </c>
      <c r="B5181" s="462"/>
      <c r="C5181" s="462"/>
      <c r="D5181" s="463"/>
      <c r="E5181" s="25"/>
      <c r="F5181" s="28"/>
      <c r="G5181" s="25"/>
      <c r="H5181" s="32"/>
    </row>
    <row r="5182" spans="1:8" ht="15.6" x14ac:dyDescent="0.3">
      <c r="A5182" s="464" t="s">
        <v>58</v>
      </c>
      <c r="B5182" s="465"/>
      <c r="C5182" s="465"/>
      <c r="D5182" s="510"/>
      <c r="E5182" s="572" t="s">
        <v>59</v>
      </c>
      <c r="F5182" s="573"/>
      <c r="G5182" s="573"/>
      <c r="H5182" s="574"/>
    </row>
    <row r="5183" spans="1:8" x14ac:dyDescent="0.3">
      <c r="A5183" s="340"/>
      <c r="B5183" s="262"/>
      <c r="C5183" s="262"/>
      <c r="D5183" s="341"/>
      <c r="E5183" s="342"/>
      <c r="F5183" s="262"/>
      <c r="G5183" s="343"/>
      <c r="H5183" s="263"/>
    </row>
    <row r="5187" spans="1:8" ht="44.4" x14ac:dyDescent="0.7">
      <c r="A5187" s="469" t="s">
        <v>0</v>
      </c>
      <c r="B5187" s="470"/>
      <c r="C5187" s="470"/>
      <c r="D5187" s="470"/>
      <c r="E5187" s="531" t="s">
        <v>1</v>
      </c>
      <c r="F5187" s="544"/>
      <c r="G5187" s="544"/>
      <c r="H5187" s="545"/>
    </row>
    <row r="5188" spans="1:8" ht="20.399999999999999" x14ac:dyDescent="0.35">
      <c r="A5188" s="1"/>
      <c r="B5188" s="476" t="s">
        <v>2</v>
      </c>
      <c r="C5188" s="476"/>
      <c r="D5188" s="476"/>
      <c r="E5188" s="546"/>
      <c r="F5188" s="546"/>
      <c r="G5188" s="546"/>
      <c r="H5188" s="547"/>
    </row>
    <row r="5189" spans="1:8" x14ac:dyDescent="0.3">
      <c r="A5189" s="477" t="s">
        <v>3</v>
      </c>
      <c r="B5189" s="478"/>
      <c r="C5189" s="479" t="s">
        <v>4</v>
      </c>
      <c r="D5189" s="479"/>
      <c r="E5189" s="548" t="s">
        <v>5</v>
      </c>
      <c r="F5189" s="549"/>
      <c r="G5189" s="549"/>
      <c r="H5189" s="550"/>
    </row>
    <row r="5190" spans="1:8" ht="15.6" x14ac:dyDescent="0.3">
      <c r="A5190" s="138" t="s">
        <v>6</v>
      </c>
      <c r="B5190" s="5"/>
      <c r="C5190" s="481" t="s">
        <v>7</v>
      </c>
      <c r="D5190" s="481"/>
      <c r="E5190" s="482">
        <v>113</v>
      </c>
      <c r="F5190" s="482"/>
      <c r="G5190" s="7" t="s">
        <v>8</v>
      </c>
      <c r="H5190" s="8" t="s">
        <v>992</v>
      </c>
    </row>
    <row r="5191" spans="1:8" ht="15.6" x14ac:dyDescent="0.3">
      <c r="A5191" s="551" t="s">
        <v>935</v>
      </c>
      <c r="B5191" s="552"/>
      <c r="C5191" s="481" t="s">
        <v>10</v>
      </c>
      <c r="D5191" s="481"/>
      <c r="E5191" s="482"/>
      <c r="F5191" s="482"/>
      <c r="G5191" s="7" t="s">
        <v>8</v>
      </c>
      <c r="H5191" s="9"/>
    </row>
    <row r="5192" spans="1:8" ht="15" x14ac:dyDescent="0.3">
      <c r="A5192" s="517" t="s">
        <v>936</v>
      </c>
      <c r="B5192" s="553"/>
      <c r="C5192" s="483" t="s">
        <v>12</v>
      </c>
      <c r="D5192" s="484"/>
      <c r="E5192" s="615">
        <v>5500640590</v>
      </c>
      <c r="F5192" s="616"/>
      <c r="G5192" s="10" t="s">
        <v>8</v>
      </c>
      <c r="H5192" s="57" t="s">
        <v>993</v>
      </c>
    </row>
    <row r="5193" spans="1:8" ht="15.6" x14ac:dyDescent="0.3">
      <c r="A5193" s="556" t="s">
        <v>937</v>
      </c>
      <c r="B5193" s="557"/>
      <c r="C5193" s="481" t="s">
        <v>15</v>
      </c>
      <c r="D5193" s="481"/>
      <c r="E5193" s="536" t="s">
        <v>938</v>
      </c>
      <c r="F5193" s="617"/>
      <c r="G5193" s="617"/>
      <c r="H5193" s="516"/>
    </row>
    <row r="5194" spans="1:8" ht="15.6" x14ac:dyDescent="0.3">
      <c r="A5194" s="558" t="s">
        <v>939</v>
      </c>
      <c r="B5194" s="559"/>
      <c r="C5194" s="489"/>
      <c r="D5194" s="490"/>
      <c r="E5194" s="490"/>
      <c r="F5194" s="490"/>
      <c r="G5194" s="490"/>
      <c r="H5194" s="491"/>
    </row>
    <row r="5195" spans="1:8" ht="15" x14ac:dyDescent="0.3">
      <c r="A5195" s="492" t="s">
        <v>17</v>
      </c>
      <c r="B5195" s="494" t="s">
        <v>18</v>
      </c>
      <c r="C5195" s="494" t="s">
        <v>19</v>
      </c>
      <c r="D5195" s="494" t="s">
        <v>20</v>
      </c>
      <c r="E5195" s="494" t="s">
        <v>21</v>
      </c>
      <c r="F5195" s="494" t="s">
        <v>22</v>
      </c>
      <c r="G5195" s="494"/>
      <c r="H5195" s="492" t="s">
        <v>23</v>
      </c>
    </row>
    <row r="5196" spans="1:8" ht="27.6" x14ac:dyDescent="0.3">
      <c r="A5196" s="492"/>
      <c r="B5196" s="495"/>
      <c r="C5196" s="494"/>
      <c r="D5196" s="494"/>
      <c r="E5196" s="494"/>
      <c r="F5196" s="53" t="s">
        <v>24</v>
      </c>
      <c r="G5196" s="53" t="s">
        <v>25</v>
      </c>
      <c r="H5196" s="492"/>
    </row>
    <row r="5197" spans="1:8" x14ac:dyDescent="0.3">
      <c r="A5197" s="139">
        <v>1</v>
      </c>
      <c r="B5197" s="140" t="s">
        <v>994</v>
      </c>
      <c r="C5197" s="141">
        <v>1</v>
      </c>
      <c r="D5197" s="86">
        <v>998719</v>
      </c>
      <c r="E5197" s="55">
        <v>27608</v>
      </c>
      <c r="F5197" s="93">
        <f>E5197*C5197*9%</f>
        <v>2484.7199999999998</v>
      </c>
      <c r="G5197" s="93">
        <f>F5197</f>
        <v>2484.7199999999998</v>
      </c>
      <c r="H5197" s="62">
        <f>G5197+F5197+E5197*C5197</f>
        <v>32577.439999999999</v>
      </c>
    </row>
    <row r="5198" spans="1:8" x14ac:dyDescent="0.3">
      <c r="A5198" s="139">
        <v>2</v>
      </c>
      <c r="B5198" s="140" t="s">
        <v>995</v>
      </c>
      <c r="C5198" s="141">
        <v>1</v>
      </c>
      <c r="D5198" s="86">
        <v>998719</v>
      </c>
      <c r="E5198" s="55">
        <v>6095</v>
      </c>
      <c r="F5198" s="93">
        <f t="shared" ref="F5198:F5199" si="65">E5198*C5198*9%</f>
        <v>548.54999999999995</v>
      </c>
      <c r="G5198" s="93">
        <f t="shared" ref="G5198:G5199" si="66">F5198</f>
        <v>548.54999999999995</v>
      </c>
      <c r="H5198" s="62">
        <f t="shared" ref="H5198:H5199" si="67">G5198+F5198+E5198*C5198</f>
        <v>7192.1</v>
      </c>
    </row>
    <row r="5199" spans="1:8" x14ac:dyDescent="0.3">
      <c r="A5199" s="139">
        <v>3</v>
      </c>
      <c r="B5199" s="140" t="s">
        <v>534</v>
      </c>
      <c r="C5199" s="142">
        <v>1</v>
      </c>
      <c r="D5199" s="86">
        <v>998719</v>
      </c>
      <c r="E5199" s="55">
        <v>1000</v>
      </c>
      <c r="F5199" s="93">
        <f t="shared" si="65"/>
        <v>90</v>
      </c>
      <c r="G5199" s="93">
        <f t="shared" si="66"/>
        <v>90</v>
      </c>
      <c r="H5199" s="62">
        <f t="shared" si="67"/>
        <v>1180</v>
      </c>
    </row>
    <row r="5200" spans="1:8" x14ac:dyDescent="0.3">
      <c r="A5200" s="143"/>
      <c r="B5200" s="140"/>
      <c r="C5200" s="142"/>
      <c r="D5200" s="144"/>
      <c r="E5200" s="129"/>
      <c r="F5200" s="93"/>
      <c r="G5200" s="93"/>
      <c r="H5200" s="62"/>
    </row>
    <row r="5201" spans="1:8" x14ac:dyDescent="0.3">
      <c r="A5201" s="147"/>
      <c r="B5201" s="140"/>
      <c r="C5201" s="141"/>
      <c r="D5201" s="86"/>
      <c r="E5201" s="55"/>
      <c r="F5201" s="93"/>
      <c r="G5201" s="93"/>
      <c r="H5201" s="62"/>
    </row>
    <row r="5202" spans="1:8" x14ac:dyDescent="0.3">
      <c r="A5202" s="55"/>
      <c r="B5202" s="148"/>
      <c r="C5202" s="55"/>
      <c r="D5202" s="86"/>
      <c r="E5202" s="55"/>
      <c r="F5202" s="93"/>
      <c r="G5202" s="93"/>
      <c r="H5202" s="62"/>
    </row>
    <row r="5203" spans="1:8" x14ac:dyDescent="0.3">
      <c r="A5203" s="55"/>
      <c r="B5203" s="148"/>
      <c r="C5203" s="55"/>
      <c r="D5203" s="297"/>
      <c r="E5203" s="47"/>
      <c r="F5203" s="93"/>
      <c r="G5203" s="93"/>
      <c r="H5203" s="62"/>
    </row>
    <row r="5204" spans="1:8" x14ac:dyDescent="0.3">
      <c r="A5204" s="27"/>
      <c r="B5204" s="28"/>
      <c r="C5204" s="24"/>
      <c r="D5204" s="25"/>
      <c r="E5204" s="25"/>
      <c r="F5204" s="28"/>
      <c r="G5204" s="28"/>
      <c r="H5204" s="32"/>
    </row>
    <row r="5205" spans="1:8" x14ac:dyDescent="0.3">
      <c r="A5205" s="27"/>
      <c r="B5205" s="28"/>
      <c r="C5205" s="24"/>
      <c r="D5205" s="25"/>
      <c r="E5205" s="25"/>
      <c r="F5205" s="28"/>
      <c r="G5205" s="28"/>
      <c r="H5205" s="32"/>
    </row>
    <row r="5206" spans="1:8" x14ac:dyDescent="0.3">
      <c r="A5206" s="27"/>
      <c r="B5206" s="28"/>
      <c r="C5206" s="24"/>
      <c r="D5206" s="25"/>
      <c r="E5206" s="25"/>
      <c r="F5206" s="28"/>
      <c r="G5206" s="28"/>
      <c r="H5206" s="32"/>
    </row>
    <row r="5207" spans="1:8" x14ac:dyDescent="0.3">
      <c r="A5207" s="27"/>
      <c r="B5207" s="28"/>
      <c r="C5207" s="24"/>
      <c r="D5207" s="25"/>
      <c r="E5207" s="25"/>
      <c r="F5207" s="28"/>
      <c r="G5207" s="28"/>
      <c r="H5207" s="32"/>
    </row>
    <row r="5208" spans="1:8" x14ac:dyDescent="0.3">
      <c r="A5208" s="27"/>
      <c r="B5208" s="28"/>
      <c r="C5208" s="24"/>
      <c r="D5208" s="25"/>
      <c r="E5208" s="25"/>
      <c r="F5208" s="28"/>
      <c r="G5208" s="28"/>
      <c r="H5208" s="32"/>
    </row>
    <row r="5209" spans="1:8" x14ac:dyDescent="0.3">
      <c r="A5209" s="27"/>
      <c r="B5209" s="28"/>
      <c r="C5209" s="24"/>
      <c r="D5209" s="25"/>
      <c r="E5209" s="25"/>
      <c r="F5209" s="28"/>
      <c r="G5209" s="28"/>
      <c r="H5209" s="32"/>
    </row>
    <row r="5210" spans="1:8" x14ac:dyDescent="0.3">
      <c r="A5210" s="27"/>
      <c r="B5210" s="28"/>
      <c r="C5210" s="24"/>
      <c r="D5210" s="25"/>
      <c r="E5210" s="25"/>
      <c r="F5210" s="28"/>
      <c r="G5210" s="28"/>
      <c r="H5210" s="32"/>
    </row>
    <row r="5211" spans="1:8" x14ac:dyDescent="0.3">
      <c r="A5211" s="27"/>
      <c r="B5211" s="28"/>
      <c r="C5211" s="24"/>
      <c r="D5211" s="25"/>
      <c r="E5211" s="25"/>
      <c r="F5211" s="28"/>
      <c r="G5211" s="28"/>
      <c r="H5211" s="32"/>
    </row>
    <row r="5212" spans="1:8" x14ac:dyDescent="0.3">
      <c r="A5212" s="27"/>
      <c r="B5212" s="28"/>
      <c r="C5212" s="24"/>
      <c r="D5212" s="25"/>
      <c r="E5212" s="25"/>
      <c r="F5212" s="28"/>
      <c r="G5212" s="28"/>
      <c r="H5212" s="32"/>
    </row>
    <row r="5213" spans="1:8" x14ac:dyDescent="0.3">
      <c r="A5213" s="27"/>
      <c r="B5213" s="28"/>
      <c r="C5213" s="24"/>
      <c r="D5213" s="25"/>
      <c r="E5213" s="25"/>
      <c r="F5213" s="28"/>
      <c r="G5213" s="28"/>
      <c r="H5213" s="32"/>
    </row>
    <row r="5214" spans="1:8" x14ac:dyDescent="0.3">
      <c r="A5214" s="27"/>
      <c r="B5214" s="28"/>
      <c r="C5214" s="24"/>
      <c r="D5214" s="25"/>
      <c r="E5214" s="25"/>
      <c r="F5214" s="28"/>
      <c r="G5214" s="28"/>
      <c r="H5214" s="32"/>
    </row>
    <row r="5215" spans="1:8" x14ac:dyDescent="0.3">
      <c r="A5215" s="27"/>
      <c r="B5215" s="28"/>
      <c r="C5215" s="24"/>
      <c r="D5215" s="25"/>
      <c r="E5215" s="25"/>
      <c r="F5215" s="28"/>
      <c r="G5215" s="28"/>
      <c r="H5215" s="32"/>
    </row>
    <row r="5216" spans="1:8" x14ac:dyDescent="0.3">
      <c r="A5216" s="27"/>
      <c r="B5216" s="28"/>
      <c r="C5216" s="24"/>
      <c r="D5216" s="25"/>
      <c r="E5216" s="25"/>
      <c r="F5216" s="28"/>
      <c r="G5216" s="28"/>
      <c r="H5216" s="32"/>
    </row>
    <row r="5217" spans="1:8" x14ac:dyDescent="0.3">
      <c r="A5217" s="27"/>
      <c r="B5217" s="28"/>
      <c r="C5217" s="24"/>
      <c r="D5217" s="25"/>
      <c r="E5217" s="25"/>
      <c r="F5217" s="28"/>
      <c r="G5217" s="28"/>
      <c r="H5217" s="32"/>
    </row>
    <row r="5218" spans="1:8" x14ac:dyDescent="0.3">
      <c r="A5218" s="27"/>
      <c r="B5218" s="28"/>
      <c r="C5218" s="24"/>
      <c r="D5218" s="25"/>
      <c r="E5218" s="25"/>
      <c r="F5218" s="28"/>
      <c r="G5218" s="28"/>
      <c r="H5218" s="32"/>
    </row>
    <row r="5219" spans="1:8" x14ac:dyDescent="0.3">
      <c r="A5219" s="27"/>
      <c r="B5219" s="28"/>
      <c r="C5219" s="24"/>
      <c r="D5219" s="25"/>
      <c r="E5219" s="25"/>
      <c r="F5219" s="28"/>
      <c r="G5219" s="28"/>
      <c r="H5219" s="32"/>
    </row>
    <row r="5220" spans="1:8" ht="15.6" x14ac:dyDescent="0.3">
      <c r="A5220" s="448" t="s">
        <v>45</v>
      </c>
      <c r="B5220" s="449"/>
      <c r="C5220" s="449"/>
      <c r="D5220" s="25"/>
      <c r="E5220" s="25"/>
      <c r="F5220" s="447" t="s">
        <v>46</v>
      </c>
      <c r="G5220" s="447"/>
      <c r="H5220" s="66">
        <v>34703</v>
      </c>
    </row>
    <row r="5221" spans="1:8" ht="15.6" x14ac:dyDescent="0.3">
      <c r="A5221" s="497" t="s">
        <v>996</v>
      </c>
      <c r="B5221" s="498"/>
      <c r="C5221" s="498"/>
      <c r="D5221" s="498"/>
      <c r="E5221" s="498"/>
      <c r="F5221" s="447" t="s">
        <v>47</v>
      </c>
      <c r="G5221" s="447"/>
      <c r="H5221" s="66">
        <f>H5220*9%</f>
        <v>3123.27</v>
      </c>
    </row>
    <row r="5222" spans="1:8" ht="15.6" x14ac:dyDescent="0.3">
      <c r="A5222" s="27"/>
      <c r="B5222" s="28"/>
      <c r="C5222" s="24"/>
      <c r="D5222" s="25"/>
      <c r="E5222" s="25"/>
      <c r="F5222" s="447" t="s">
        <v>48</v>
      </c>
      <c r="G5222" s="447"/>
      <c r="H5222" s="66">
        <f>H5220*9%</f>
        <v>3123.27</v>
      </c>
    </row>
    <row r="5223" spans="1:8" ht="15.6" x14ac:dyDescent="0.3">
      <c r="A5223" s="448" t="s">
        <v>49</v>
      </c>
      <c r="B5223" s="449"/>
      <c r="C5223" s="24"/>
      <c r="D5223" s="25"/>
      <c r="E5223" s="25"/>
      <c r="F5223" s="447" t="s">
        <v>50</v>
      </c>
      <c r="G5223" s="447"/>
      <c r="H5223" s="66">
        <v>40950</v>
      </c>
    </row>
    <row r="5224" spans="1:8" ht="27" x14ac:dyDescent="0.3">
      <c r="A5224" s="68" t="s">
        <v>22</v>
      </c>
      <c r="B5224" s="30" t="s">
        <v>51</v>
      </c>
      <c r="C5224" s="70" t="s">
        <v>24</v>
      </c>
      <c r="D5224" s="31" t="s">
        <v>25</v>
      </c>
      <c r="E5224" s="450" t="s">
        <v>52</v>
      </c>
      <c r="F5224" s="450"/>
      <c r="G5224" s="28"/>
      <c r="H5224" s="32"/>
    </row>
    <row r="5225" spans="1:8" x14ac:dyDescent="0.3">
      <c r="A5225" s="72">
        <v>0.18</v>
      </c>
      <c r="B5225" s="73">
        <f>H5220</f>
        <v>34703</v>
      </c>
      <c r="C5225" s="74">
        <f>H5221</f>
        <v>3123.27</v>
      </c>
      <c r="D5225" s="74">
        <f>H5221</f>
        <v>3123.27</v>
      </c>
      <c r="E5225" s="507">
        <f>C5225+D5225</f>
        <v>6246.54</v>
      </c>
      <c r="F5225" s="507"/>
      <c r="G5225" s="74"/>
      <c r="H5225" s="75"/>
    </row>
    <row r="5226" spans="1:8" x14ac:dyDescent="0.3">
      <c r="A5226" s="508" t="s">
        <v>997</v>
      </c>
      <c r="B5226" s="509"/>
      <c r="C5226" s="509"/>
      <c r="D5226" s="509"/>
      <c r="E5226" s="453"/>
      <c r="F5226" s="453"/>
      <c r="G5226" s="453"/>
      <c r="H5226" s="454"/>
    </row>
    <row r="5227" spans="1:8" ht="15.6" x14ac:dyDescent="0.3">
      <c r="A5227" s="455" t="s">
        <v>53</v>
      </c>
      <c r="B5227" s="456"/>
      <c r="C5227" s="456"/>
      <c r="D5227" s="457"/>
      <c r="E5227" s="458" t="s">
        <v>54</v>
      </c>
      <c r="F5227" s="459"/>
      <c r="G5227" s="459"/>
      <c r="H5227" s="460"/>
    </row>
    <row r="5228" spans="1:8" x14ac:dyDescent="0.3">
      <c r="A5228" s="461" t="s">
        <v>55</v>
      </c>
      <c r="B5228" s="462"/>
      <c r="C5228" s="462"/>
      <c r="D5228" s="463"/>
      <c r="E5228" s="39"/>
      <c r="F5228" s="28"/>
      <c r="G5228" s="28"/>
      <c r="H5228" s="32"/>
    </row>
    <row r="5229" spans="1:8" x14ac:dyDescent="0.3">
      <c r="A5229" s="461" t="s">
        <v>56</v>
      </c>
      <c r="B5229" s="462"/>
      <c r="C5229" s="462"/>
      <c r="D5229" s="463"/>
      <c r="E5229" s="39"/>
      <c r="F5229" s="28"/>
      <c r="G5229" s="28"/>
      <c r="H5229" s="32"/>
    </row>
    <row r="5230" spans="1:8" x14ac:dyDescent="0.3">
      <c r="A5230" s="461" t="s">
        <v>57</v>
      </c>
      <c r="B5230" s="462"/>
      <c r="C5230" s="462"/>
      <c r="D5230" s="463"/>
      <c r="E5230" s="39"/>
      <c r="F5230" s="28"/>
      <c r="G5230" s="28"/>
      <c r="H5230" s="32"/>
    </row>
    <row r="5231" spans="1:8" ht="15.6" x14ac:dyDescent="0.3">
      <c r="A5231" s="464" t="s">
        <v>58</v>
      </c>
      <c r="B5231" s="465"/>
      <c r="C5231" s="465"/>
      <c r="D5231" s="510"/>
      <c r="E5231" s="466" t="s">
        <v>59</v>
      </c>
      <c r="F5231" s="467"/>
      <c r="G5231" s="467"/>
      <c r="H5231" s="468"/>
    </row>
    <row r="5235" spans="1:11" ht="44.4" x14ac:dyDescent="0.7">
      <c r="A5235" s="469" t="s">
        <v>0</v>
      </c>
      <c r="B5235" s="470"/>
      <c r="C5235" s="470"/>
      <c r="D5235" s="470"/>
      <c r="E5235" s="531" t="s">
        <v>1</v>
      </c>
      <c r="F5235" s="544"/>
      <c r="G5235" s="544"/>
      <c r="H5235" s="545"/>
      <c r="K5235" s="348"/>
    </row>
    <row r="5236" spans="1:11" ht="20.399999999999999" x14ac:dyDescent="0.35">
      <c r="A5236" s="1"/>
      <c r="B5236" s="476" t="s">
        <v>2</v>
      </c>
      <c r="C5236" s="476"/>
      <c r="D5236" s="476"/>
      <c r="E5236" s="546"/>
      <c r="F5236" s="546"/>
      <c r="G5236" s="546"/>
      <c r="H5236" s="547"/>
    </row>
    <row r="5237" spans="1:11" x14ac:dyDescent="0.3">
      <c r="A5237" s="477" t="s">
        <v>3</v>
      </c>
      <c r="B5237" s="478"/>
      <c r="C5237" s="479" t="s">
        <v>4</v>
      </c>
      <c r="D5237" s="479"/>
      <c r="E5237" s="548" t="s">
        <v>5</v>
      </c>
      <c r="F5237" s="549"/>
      <c r="G5237" s="549"/>
      <c r="H5237" s="550"/>
    </row>
    <row r="5238" spans="1:11" ht="15.6" x14ac:dyDescent="0.3">
      <c r="A5238" s="138" t="s">
        <v>6</v>
      </c>
      <c r="B5238" s="5"/>
      <c r="C5238" s="481" t="s">
        <v>7</v>
      </c>
      <c r="D5238" s="481"/>
      <c r="E5238" s="482">
        <v>114</v>
      </c>
      <c r="F5238" s="482"/>
      <c r="G5238" s="7" t="s">
        <v>8</v>
      </c>
      <c r="H5238" s="8" t="s">
        <v>998</v>
      </c>
    </row>
    <row r="5239" spans="1:11" ht="15.6" x14ac:dyDescent="0.3">
      <c r="A5239" s="551" t="s">
        <v>999</v>
      </c>
      <c r="B5239" s="552"/>
      <c r="C5239" s="481" t="s">
        <v>10</v>
      </c>
      <c r="D5239" s="481"/>
      <c r="E5239" s="482"/>
      <c r="F5239" s="482"/>
      <c r="G5239" s="7" t="s">
        <v>8</v>
      </c>
      <c r="H5239" s="9"/>
    </row>
    <row r="5240" spans="1:11" ht="15.75" customHeight="1" x14ac:dyDescent="0.3">
      <c r="A5240" s="517" t="s">
        <v>1011</v>
      </c>
      <c r="B5240" s="518"/>
      <c r="C5240" s="483" t="s">
        <v>12</v>
      </c>
      <c r="D5240" s="484"/>
      <c r="E5240" s="740" t="s">
        <v>1001</v>
      </c>
      <c r="F5240" s="741"/>
      <c r="G5240" s="10" t="s">
        <v>8</v>
      </c>
      <c r="H5240" s="57" t="s">
        <v>1000</v>
      </c>
    </row>
    <row r="5241" spans="1:11" ht="15.6" x14ac:dyDescent="0.3">
      <c r="A5241" s="108" t="s">
        <v>1012</v>
      </c>
      <c r="B5241" s="228"/>
      <c r="C5241" s="481" t="s">
        <v>15</v>
      </c>
      <c r="D5241" s="481"/>
      <c r="E5241" s="536" t="s">
        <v>1003</v>
      </c>
      <c r="F5241" s="617"/>
      <c r="G5241" s="617"/>
      <c r="H5241" s="516"/>
    </row>
    <row r="5242" spans="1:11" ht="15.6" x14ac:dyDescent="0.3">
      <c r="A5242" s="558" t="s">
        <v>1002</v>
      </c>
      <c r="B5242" s="559"/>
      <c r="C5242" s="489"/>
      <c r="D5242" s="490"/>
      <c r="E5242" s="490"/>
      <c r="F5242" s="490"/>
      <c r="G5242" s="490"/>
      <c r="H5242" s="491"/>
    </row>
    <row r="5243" spans="1:11" ht="15" x14ac:dyDescent="0.3">
      <c r="A5243" s="492" t="s">
        <v>17</v>
      </c>
      <c r="B5243" s="494" t="s">
        <v>18</v>
      </c>
      <c r="C5243" s="494" t="s">
        <v>19</v>
      </c>
      <c r="D5243" s="494" t="s">
        <v>20</v>
      </c>
      <c r="E5243" s="494" t="s">
        <v>21</v>
      </c>
      <c r="F5243" s="494" t="s">
        <v>22</v>
      </c>
      <c r="G5243" s="494"/>
      <c r="H5243" s="492" t="s">
        <v>23</v>
      </c>
    </row>
    <row r="5244" spans="1:11" ht="27.6" x14ac:dyDescent="0.3">
      <c r="A5244" s="492"/>
      <c r="B5244" s="495"/>
      <c r="C5244" s="494"/>
      <c r="D5244" s="494"/>
      <c r="E5244" s="494"/>
      <c r="F5244" s="53" t="s">
        <v>24</v>
      </c>
      <c r="G5244" s="53" t="s">
        <v>25</v>
      </c>
      <c r="H5244" s="492"/>
    </row>
    <row r="5245" spans="1:11" x14ac:dyDescent="0.3">
      <c r="A5245" s="139">
        <v>1</v>
      </c>
      <c r="B5245" s="140" t="s">
        <v>1013</v>
      </c>
      <c r="C5245" s="141">
        <v>1</v>
      </c>
      <c r="D5245" s="86">
        <v>998719</v>
      </c>
      <c r="E5245" s="55">
        <v>16000</v>
      </c>
      <c r="F5245" s="93">
        <f>E5245*C5245*9%</f>
        <v>1440</v>
      </c>
      <c r="G5245" s="93">
        <f>F5245</f>
        <v>1440</v>
      </c>
      <c r="H5245" s="62">
        <f>G5245+F5245+E5245*C5245</f>
        <v>18880</v>
      </c>
    </row>
    <row r="5246" spans="1:11" x14ac:dyDescent="0.3">
      <c r="A5246" s="139"/>
      <c r="B5246" s="140"/>
      <c r="C5246" s="141"/>
      <c r="D5246" s="86"/>
      <c r="E5246" s="55"/>
      <c r="F5246" s="93"/>
      <c r="G5246" s="93"/>
      <c r="H5246" s="62"/>
    </row>
    <row r="5247" spans="1:11" x14ac:dyDescent="0.3">
      <c r="A5247" s="139"/>
      <c r="B5247" s="140"/>
      <c r="C5247" s="142"/>
      <c r="D5247" s="86"/>
      <c r="E5247" s="55"/>
      <c r="F5247" s="93"/>
      <c r="G5247" s="93"/>
      <c r="H5247" s="62"/>
    </row>
    <row r="5248" spans="1:11" x14ac:dyDescent="0.3">
      <c r="A5248" s="143"/>
      <c r="B5248" s="140"/>
      <c r="C5248" s="142"/>
      <c r="D5248" s="144"/>
      <c r="E5248" s="129"/>
      <c r="F5248" s="93"/>
      <c r="G5248" s="93"/>
      <c r="H5248" s="62"/>
    </row>
    <row r="5249" spans="1:8" x14ac:dyDescent="0.3">
      <c r="A5249" s="147"/>
      <c r="B5249" s="140"/>
      <c r="C5249" s="141"/>
      <c r="D5249" s="86"/>
      <c r="E5249" s="55"/>
      <c r="F5249" s="93"/>
      <c r="G5249" s="93"/>
      <c r="H5249" s="62"/>
    </row>
    <row r="5250" spans="1:8" x14ac:dyDescent="0.3">
      <c r="A5250" s="55"/>
      <c r="B5250" s="148"/>
      <c r="C5250" s="55"/>
      <c r="D5250" s="86"/>
      <c r="E5250" s="55"/>
      <c r="F5250" s="93"/>
      <c r="G5250" s="93"/>
      <c r="H5250" s="62"/>
    </row>
    <row r="5251" spans="1:8" x14ac:dyDescent="0.3">
      <c r="A5251" s="55"/>
      <c r="B5251" s="148"/>
      <c r="C5251" s="55"/>
      <c r="D5251" s="297"/>
      <c r="E5251" s="47"/>
      <c r="F5251" s="93"/>
      <c r="G5251" s="93"/>
      <c r="H5251" s="62"/>
    </row>
    <row r="5252" spans="1:8" x14ac:dyDescent="0.3">
      <c r="A5252" s="27"/>
      <c r="B5252" s="28"/>
      <c r="C5252" s="24"/>
      <c r="D5252" s="25"/>
      <c r="E5252" s="25"/>
      <c r="F5252" s="28"/>
      <c r="G5252" s="28"/>
      <c r="H5252" s="32"/>
    </row>
    <row r="5253" spans="1:8" x14ac:dyDescent="0.3">
      <c r="A5253" s="27"/>
      <c r="B5253" s="28"/>
      <c r="C5253" s="24"/>
      <c r="D5253" s="25"/>
      <c r="E5253" s="25"/>
      <c r="F5253" s="28"/>
      <c r="G5253" s="28"/>
      <c r="H5253" s="32"/>
    </row>
    <row r="5254" spans="1:8" x14ac:dyDescent="0.3">
      <c r="A5254" s="27"/>
      <c r="B5254" s="28"/>
      <c r="C5254" s="24"/>
      <c r="D5254" s="25"/>
      <c r="E5254" s="25"/>
      <c r="F5254" s="28"/>
      <c r="G5254" s="28"/>
      <c r="H5254" s="32"/>
    </row>
    <row r="5255" spans="1:8" x14ac:dyDescent="0.3">
      <c r="A5255" s="27"/>
      <c r="B5255" s="28"/>
      <c r="C5255" s="24"/>
      <c r="D5255" s="25"/>
      <c r="E5255" s="25"/>
      <c r="F5255" s="28"/>
      <c r="G5255" s="28"/>
      <c r="H5255" s="32"/>
    </row>
    <row r="5256" spans="1:8" x14ac:dyDescent="0.3">
      <c r="A5256" s="27"/>
      <c r="B5256" s="28"/>
      <c r="C5256" s="24"/>
      <c r="D5256" s="25"/>
      <c r="E5256" s="25"/>
      <c r="F5256" s="28"/>
      <c r="G5256" s="28"/>
      <c r="H5256" s="32"/>
    </row>
    <row r="5257" spans="1:8" x14ac:dyDescent="0.3">
      <c r="A5257" s="27"/>
      <c r="B5257" s="28"/>
      <c r="C5257" s="24"/>
      <c r="D5257" s="25"/>
      <c r="E5257" s="25"/>
      <c r="F5257" s="28"/>
      <c r="G5257" s="28"/>
      <c r="H5257" s="32"/>
    </row>
    <row r="5258" spans="1:8" x14ac:dyDescent="0.3">
      <c r="A5258" s="27"/>
      <c r="B5258" s="28"/>
      <c r="C5258" s="24"/>
      <c r="D5258" s="25"/>
      <c r="E5258" s="25"/>
      <c r="F5258" s="28"/>
      <c r="G5258" s="28"/>
      <c r="H5258" s="32"/>
    </row>
    <row r="5259" spans="1:8" x14ac:dyDescent="0.3">
      <c r="A5259" s="27"/>
      <c r="B5259" s="28"/>
      <c r="C5259" s="24"/>
      <c r="D5259" s="25"/>
      <c r="E5259" s="25"/>
      <c r="F5259" s="28"/>
      <c r="G5259" s="28"/>
      <c r="H5259" s="32"/>
    </row>
    <row r="5260" spans="1:8" x14ac:dyDescent="0.3">
      <c r="A5260" s="27"/>
      <c r="B5260" s="28"/>
      <c r="C5260" s="24"/>
      <c r="D5260" s="25"/>
      <c r="E5260" s="25"/>
      <c r="F5260" s="28"/>
      <c r="G5260" s="28"/>
      <c r="H5260" s="32"/>
    </row>
    <row r="5261" spans="1:8" x14ac:dyDescent="0.3">
      <c r="A5261" s="27"/>
      <c r="B5261" s="28"/>
      <c r="C5261" s="24"/>
      <c r="D5261" s="25"/>
      <c r="E5261" s="25"/>
      <c r="F5261" s="28"/>
      <c r="G5261" s="28"/>
      <c r="H5261" s="32"/>
    </row>
    <row r="5262" spans="1:8" x14ac:dyDescent="0.3">
      <c r="A5262" s="27"/>
      <c r="B5262" s="28"/>
      <c r="C5262" s="24"/>
      <c r="D5262" s="25"/>
      <c r="E5262" s="25"/>
      <c r="F5262" s="28"/>
      <c r="G5262" s="28"/>
      <c r="H5262" s="32"/>
    </row>
    <row r="5263" spans="1:8" x14ac:dyDescent="0.3">
      <c r="A5263" s="27"/>
      <c r="B5263" s="28"/>
      <c r="C5263" s="24"/>
      <c r="D5263" s="25"/>
      <c r="E5263" s="25"/>
      <c r="F5263" s="28"/>
      <c r="G5263" s="28"/>
      <c r="H5263" s="32"/>
    </row>
    <row r="5264" spans="1:8" x14ac:dyDescent="0.3">
      <c r="A5264" s="27"/>
      <c r="B5264" s="28"/>
      <c r="C5264" s="24"/>
      <c r="D5264" s="25"/>
      <c r="E5264" s="25"/>
      <c r="F5264" s="28"/>
      <c r="G5264" s="28"/>
      <c r="H5264" s="32"/>
    </row>
    <row r="5265" spans="1:8" x14ac:dyDescent="0.3">
      <c r="A5265" s="27"/>
      <c r="B5265" s="28"/>
      <c r="C5265" s="24"/>
      <c r="D5265" s="25"/>
      <c r="E5265" s="25"/>
      <c r="F5265" s="28"/>
      <c r="G5265" s="28"/>
      <c r="H5265" s="32"/>
    </row>
    <row r="5266" spans="1:8" x14ac:dyDescent="0.3">
      <c r="A5266" s="27"/>
      <c r="B5266" s="28"/>
      <c r="C5266" s="24"/>
      <c r="D5266" s="25"/>
      <c r="E5266" s="25"/>
      <c r="F5266" s="28"/>
      <c r="G5266" s="28"/>
      <c r="H5266" s="32"/>
    </row>
    <row r="5267" spans="1:8" x14ac:dyDescent="0.3">
      <c r="A5267" s="27"/>
      <c r="B5267" s="28"/>
      <c r="C5267" s="24"/>
      <c r="D5267" s="25"/>
      <c r="E5267" s="25"/>
      <c r="F5267" s="28"/>
      <c r="G5267" s="28"/>
      <c r="H5267" s="32"/>
    </row>
    <row r="5268" spans="1:8" ht="15.6" x14ac:dyDescent="0.3">
      <c r="A5268" s="448" t="s">
        <v>45</v>
      </c>
      <c r="B5268" s="449"/>
      <c r="C5268" s="449"/>
      <c r="D5268" s="25"/>
      <c r="E5268" s="25"/>
      <c r="F5268" s="447" t="s">
        <v>46</v>
      </c>
      <c r="G5268" s="447"/>
      <c r="H5268" s="66">
        <v>16000</v>
      </c>
    </row>
    <row r="5269" spans="1:8" ht="15.6" x14ac:dyDescent="0.3">
      <c r="A5269" s="497" t="s">
        <v>1004</v>
      </c>
      <c r="B5269" s="498"/>
      <c r="C5269" s="498"/>
      <c r="D5269" s="498"/>
      <c r="E5269" s="498"/>
      <c r="F5269" s="447" t="s">
        <v>47</v>
      </c>
      <c r="G5269" s="447"/>
      <c r="H5269" s="66">
        <f>H5268*9%</f>
        <v>1440</v>
      </c>
    </row>
    <row r="5270" spans="1:8" ht="15.6" x14ac:dyDescent="0.3">
      <c r="A5270" s="27"/>
      <c r="B5270" s="28"/>
      <c r="C5270" s="24"/>
      <c r="D5270" s="25"/>
      <c r="E5270" s="25"/>
      <c r="F5270" s="447" t="s">
        <v>48</v>
      </c>
      <c r="G5270" s="447"/>
      <c r="H5270" s="66">
        <f>H5268*9%</f>
        <v>1440</v>
      </c>
    </row>
    <row r="5271" spans="1:8" ht="15.6" x14ac:dyDescent="0.3">
      <c r="A5271" s="448" t="s">
        <v>49</v>
      </c>
      <c r="B5271" s="449"/>
      <c r="C5271" s="24"/>
      <c r="D5271" s="25"/>
      <c r="E5271" s="25"/>
      <c r="F5271" s="447" t="s">
        <v>50</v>
      </c>
      <c r="G5271" s="447"/>
      <c r="H5271" s="66">
        <v>18880</v>
      </c>
    </row>
    <row r="5272" spans="1:8" ht="27" x14ac:dyDescent="0.3">
      <c r="A5272" s="68" t="s">
        <v>22</v>
      </c>
      <c r="B5272" s="30" t="s">
        <v>51</v>
      </c>
      <c r="C5272" s="70" t="s">
        <v>24</v>
      </c>
      <c r="D5272" s="31" t="s">
        <v>25</v>
      </c>
      <c r="E5272" s="450" t="s">
        <v>52</v>
      </c>
      <c r="F5272" s="450"/>
      <c r="G5272" s="28"/>
      <c r="H5272" s="32"/>
    </row>
    <row r="5273" spans="1:8" x14ac:dyDescent="0.3">
      <c r="A5273" s="72">
        <v>0.18</v>
      </c>
      <c r="B5273" s="73">
        <f>H5268</f>
        <v>16000</v>
      </c>
      <c r="C5273" s="74">
        <f>H5269</f>
        <v>1440</v>
      </c>
      <c r="D5273" s="74">
        <f>H5269</f>
        <v>1440</v>
      </c>
      <c r="E5273" s="507">
        <f>C5273+D5273</f>
        <v>2880</v>
      </c>
      <c r="F5273" s="507"/>
      <c r="G5273" s="74"/>
      <c r="H5273" s="75"/>
    </row>
    <row r="5274" spans="1:8" x14ac:dyDescent="0.3">
      <c r="A5274" s="508" t="s">
        <v>1005</v>
      </c>
      <c r="B5274" s="509"/>
      <c r="C5274" s="509"/>
      <c r="D5274" s="509"/>
      <c r="E5274" s="453"/>
      <c r="F5274" s="453"/>
      <c r="G5274" s="453"/>
      <c r="H5274" s="454"/>
    </row>
    <row r="5275" spans="1:8" ht="15.6" x14ac:dyDescent="0.3">
      <c r="A5275" s="455" t="s">
        <v>53</v>
      </c>
      <c r="B5275" s="456"/>
      <c r="C5275" s="456"/>
      <c r="D5275" s="457"/>
      <c r="E5275" s="458" t="s">
        <v>54</v>
      </c>
      <c r="F5275" s="459"/>
      <c r="G5275" s="459"/>
      <c r="H5275" s="460"/>
    </row>
    <row r="5276" spans="1:8" x14ac:dyDescent="0.3">
      <c r="A5276" s="461" t="s">
        <v>55</v>
      </c>
      <c r="B5276" s="462"/>
      <c r="C5276" s="462"/>
      <c r="D5276" s="463"/>
      <c r="E5276" s="39"/>
      <c r="F5276" s="28"/>
      <c r="G5276" s="28"/>
      <c r="H5276" s="32"/>
    </row>
    <row r="5277" spans="1:8" x14ac:dyDescent="0.3">
      <c r="A5277" s="461" t="s">
        <v>56</v>
      </c>
      <c r="B5277" s="462"/>
      <c r="C5277" s="462"/>
      <c r="D5277" s="463"/>
      <c r="E5277" s="39"/>
      <c r="F5277" s="28"/>
      <c r="G5277" s="28"/>
      <c r="H5277" s="32"/>
    </row>
    <row r="5278" spans="1:8" x14ac:dyDescent="0.3">
      <c r="A5278" s="461" t="s">
        <v>57</v>
      </c>
      <c r="B5278" s="462"/>
      <c r="C5278" s="462"/>
      <c r="D5278" s="463"/>
      <c r="E5278" s="39"/>
      <c r="F5278" s="28"/>
      <c r="G5278" s="28"/>
      <c r="H5278" s="32"/>
    </row>
    <row r="5279" spans="1:8" ht="15.6" x14ac:dyDescent="0.3">
      <c r="A5279" s="464" t="s">
        <v>58</v>
      </c>
      <c r="B5279" s="465"/>
      <c r="C5279" s="465"/>
      <c r="D5279" s="510"/>
      <c r="E5279" s="466" t="s">
        <v>59</v>
      </c>
      <c r="F5279" s="467"/>
      <c r="G5279" s="467"/>
      <c r="H5279" s="468"/>
    </row>
    <row r="5281" spans="1:8" ht="44.4" x14ac:dyDescent="0.7">
      <c r="A5281" s="469" t="s">
        <v>0</v>
      </c>
      <c r="B5281" s="470"/>
      <c r="C5281" s="470"/>
      <c r="D5281" s="470"/>
      <c r="E5281" s="531" t="s">
        <v>1</v>
      </c>
      <c r="F5281" s="544"/>
      <c r="G5281" s="544"/>
      <c r="H5281" s="545"/>
    </row>
    <row r="5282" spans="1:8" ht="20.399999999999999" x14ac:dyDescent="0.35">
      <c r="A5282" s="156"/>
      <c r="B5282" s="476" t="s">
        <v>2</v>
      </c>
      <c r="C5282" s="476"/>
      <c r="D5282" s="476"/>
      <c r="E5282" s="546"/>
      <c r="F5282" s="546"/>
      <c r="G5282" s="546"/>
      <c r="H5282" s="547"/>
    </row>
    <row r="5283" spans="1:8" x14ac:dyDescent="0.3">
      <c r="A5283" s="477" t="s">
        <v>3</v>
      </c>
      <c r="B5283" s="478"/>
      <c r="C5283" s="479" t="s">
        <v>4</v>
      </c>
      <c r="D5283" s="479"/>
      <c r="E5283" s="654" t="s">
        <v>5</v>
      </c>
      <c r="F5283" s="654"/>
      <c r="G5283" s="654"/>
      <c r="H5283" s="654"/>
    </row>
    <row r="5284" spans="1:8" ht="15.6" x14ac:dyDescent="0.3">
      <c r="A5284" s="158" t="s">
        <v>6</v>
      </c>
      <c r="B5284" s="5"/>
      <c r="C5284" s="481" t="s">
        <v>7</v>
      </c>
      <c r="D5284" s="481"/>
      <c r="E5284" s="482">
        <v>115</v>
      </c>
      <c r="F5284" s="482"/>
      <c r="G5284" s="7" t="s">
        <v>8</v>
      </c>
      <c r="H5284" s="8" t="s">
        <v>998</v>
      </c>
    </row>
    <row r="5285" spans="1:8" ht="15.6" x14ac:dyDescent="0.3">
      <c r="A5285" s="551" t="s">
        <v>1006</v>
      </c>
      <c r="B5285" s="552"/>
      <c r="C5285" s="481" t="s">
        <v>10</v>
      </c>
      <c r="D5285" s="481"/>
      <c r="E5285" s="482"/>
      <c r="F5285" s="482"/>
      <c r="G5285" s="7" t="s">
        <v>8</v>
      </c>
      <c r="H5285" s="9"/>
    </row>
    <row r="5286" spans="1:8" ht="15.6" x14ac:dyDescent="0.3">
      <c r="A5286" s="517" t="s">
        <v>1007</v>
      </c>
      <c r="B5286" s="553"/>
      <c r="C5286" s="483" t="s">
        <v>12</v>
      </c>
      <c r="D5286" s="484"/>
      <c r="E5286" s="482"/>
      <c r="F5286" s="482"/>
      <c r="G5286" s="10" t="s">
        <v>8</v>
      </c>
      <c r="H5286" s="82"/>
    </row>
    <row r="5287" spans="1:8" ht="15.6" x14ac:dyDescent="0.3">
      <c r="A5287" s="556" t="s">
        <v>1008</v>
      </c>
      <c r="B5287" s="557"/>
      <c r="C5287" s="481" t="s">
        <v>15</v>
      </c>
      <c r="D5287" s="481"/>
      <c r="E5287" s="502" t="s">
        <v>1009</v>
      </c>
      <c r="F5287" s="503"/>
      <c r="G5287" s="503"/>
      <c r="H5287" s="504"/>
    </row>
    <row r="5288" spans="1:8" ht="15.6" x14ac:dyDescent="0.3">
      <c r="A5288" s="558" t="s">
        <v>1010</v>
      </c>
      <c r="B5288" s="559"/>
      <c r="C5288" s="489"/>
      <c r="D5288" s="490"/>
      <c r="E5288" s="490"/>
      <c r="F5288" s="490"/>
      <c r="G5288" s="490"/>
      <c r="H5288" s="491"/>
    </row>
    <row r="5289" spans="1:8" ht="15" x14ac:dyDescent="0.3">
      <c r="A5289" s="492" t="s">
        <v>17</v>
      </c>
      <c r="B5289" s="494" t="s">
        <v>18</v>
      </c>
      <c r="C5289" s="494" t="s">
        <v>19</v>
      </c>
      <c r="D5289" s="494" t="s">
        <v>20</v>
      </c>
      <c r="E5289" s="494" t="s">
        <v>21</v>
      </c>
      <c r="F5289" s="494" t="s">
        <v>22</v>
      </c>
      <c r="G5289" s="494"/>
      <c r="H5289" s="493" t="s">
        <v>23</v>
      </c>
    </row>
    <row r="5290" spans="1:8" ht="27.6" x14ac:dyDescent="0.3">
      <c r="A5290" s="492"/>
      <c r="B5290" s="494"/>
      <c r="C5290" s="494"/>
      <c r="D5290" s="494"/>
      <c r="E5290" s="494"/>
      <c r="F5290" s="53" t="s">
        <v>24</v>
      </c>
      <c r="G5290" s="53" t="s">
        <v>25</v>
      </c>
      <c r="H5290" s="527"/>
    </row>
    <row r="5291" spans="1:8" x14ac:dyDescent="0.3">
      <c r="A5291" s="57">
        <v>1</v>
      </c>
      <c r="B5291" s="60" t="s">
        <v>1028</v>
      </c>
      <c r="C5291" s="57">
        <v>2</v>
      </c>
      <c r="D5291" s="83">
        <v>998719</v>
      </c>
      <c r="E5291" s="57">
        <v>2000</v>
      </c>
      <c r="F5291" s="58">
        <f t="shared" ref="F5291" si="68">E5291*C5291*9%</f>
        <v>360</v>
      </c>
      <c r="G5291" s="58">
        <f t="shared" ref="G5291" si="69">F5291</f>
        <v>360</v>
      </c>
      <c r="H5291" s="59">
        <f t="shared" ref="H5291" si="70">G5291+F5291+E5291*C5291</f>
        <v>4720</v>
      </c>
    </row>
    <row r="5292" spans="1:8" x14ac:dyDescent="0.3">
      <c r="A5292" s="57">
        <v>2</v>
      </c>
      <c r="B5292" s="60" t="s">
        <v>1029</v>
      </c>
      <c r="C5292" s="57">
        <v>1</v>
      </c>
      <c r="D5292" s="83">
        <v>998719</v>
      </c>
      <c r="E5292" s="57">
        <v>500</v>
      </c>
      <c r="F5292" s="58">
        <f t="shared" ref="F5292" si="71">E5292*C5292*9%</f>
        <v>45</v>
      </c>
      <c r="G5292" s="58">
        <f t="shared" ref="G5292" si="72">F5292</f>
        <v>45</v>
      </c>
      <c r="H5292" s="59">
        <f t="shared" ref="H5292" si="73">G5292+F5292+E5292*C5292</f>
        <v>590</v>
      </c>
    </row>
    <row r="5293" spans="1:8" x14ac:dyDescent="0.3">
      <c r="A5293" s="57"/>
      <c r="B5293" s="60"/>
      <c r="C5293" s="57"/>
      <c r="D5293" s="83"/>
      <c r="E5293" s="57"/>
      <c r="F5293" s="58"/>
      <c r="G5293" s="58"/>
      <c r="H5293" s="59"/>
    </row>
    <row r="5294" spans="1:8" x14ac:dyDescent="0.3">
      <c r="A5294" s="57"/>
      <c r="B5294" s="60"/>
      <c r="C5294" s="57"/>
      <c r="D5294" s="83"/>
      <c r="E5294" s="57"/>
      <c r="F5294" s="58"/>
      <c r="G5294" s="58"/>
      <c r="H5294" s="59"/>
    </row>
    <row r="5295" spans="1:8" x14ac:dyDescent="0.3">
      <c r="A5295" s="57"/>
      <c r="B5295" s="84"/>
      <c r="C5295" s="55"/>
      <c r="D5295" s="83"/>
      <c r="E5295" s="55"/>
      <c r="F5295" s="58"/>
      <c r="G5295" s="58"/>
      <c r="H5295" s="59"/>
    </row>
    <row r="5296" spans="1:8" x14ac:dyDescent="0.3">
      <c r="A5296" s="57"/>
      <c r="B5296" s="84"/>
      <c r="C5296" s="55"/>
      <c r="D5296" s="83"/>
      <c r="E5296" s="55"/>
      <c r="F5296" s="93"/>
      <c r="G5296" s="93"/>
      <c r="H5296" s="62"/>
    </row>
    <row r="5297" spans="1:8" x14ac:dyDescent="0.3">
      <c r="A5297" s="57"/>
      <c r="B5297" s="84"/>
      <c r="C5297" s="55"/>
      <c r="D5297" s="83"/>
      <c r="E5297" s="55"/>
      <c r="F5297" s="93"/>
      <c r="G5297" s="93"/>
      <c r="H5297" s="62"/>
    </row>
    <row r="5298" spans="1:8" x14ac:dyDescent="0.3">
      <c r="A5298" s="57"/>
      <c r="B5298" s="84"/>
      <c r="C5298" s="55"/>
      <c r="D5298" s="83"/>
      <c r="E5298" s="55"/>
      <c r="F5298" s="93"/>
      <c r="G5298" s="93"/>
      <c r="H5298" s="62"/>
    </row>
    <row r="5299" spans="1:8" x14ac:dyDescent="0.3">
      <c r="A5299" s="55"/>
      <c r="B5299" s="94"/>
      <c r="C5299" s="55"/>
      <c r="D5299" s="83"/>
      <c r="E5299" s="47"/>
      <c r="F5299" s="47"/>
      <c r="G5299" s="47"/>
      <c r="H5299" s="47"/>
    </row>
    <row r="5300" spans="1:8" x14ac:dyDescent="0.3">
      <c r="A5300" s="55"/>
      <c r="B5300" s="94"/>
      <c r="C5300" s="55"/>
      <c r="D5300" s="83"/>
      <c r="E5300" s="47"/>
      <c r="F5300" s="47"/>
      <c r="G5300" s="47"/>
      <c r="H5300" s="47"/>
    </row>
    <row r="5301" spans="1:8" x14ac:dyDescent="0.3">
      <c r="A5301" s="27"/>
      <c r="B5301" s="28"/>
      <c r="C5301" s="24"/>
      <c r="D5301" s="89"/>
      <c r="E5301" s="25"/>
      <c r="F5301" s="25"/>
      <c r="G5301" s="25"/>
      <c r="H5301" s="32"/>
    </row>
    <row r="5302" spans="1:8" x14ac:dyDescent="0.3">
      <c r="A5302" s="27"/>
      <c r="B5302" s="28"/>
      <c r="C5302" s="24"/>
      <c r="D5302" s="89"/>
      <c r="E5302" s="25"/>
      <c r="F5302" s="25"/>
      <c r="G5302" s="25"/>
      <c r="H5302" s="32"/>
    </row>
    <row r="5303" spans="1:8" x14ac:dyDescent="0.3">
      <c r="A5303" s="27"/>
      <c r="B5303" s="28"/>
      <c r="C5303" s="24"/>
      <c r="D5303" s="89"/>
      <c r="E5303" s="25"/>
      <c r="F5303" s="25"/>
      <c r="G5303" s="25"/>
      <c r="H5303" s="32"/>
    </row>
    <row r="5304" spans="1:8" x14ac:dyDescent="0.3">
      <c r="A5304" s="27"/>
      <c r="B5304" s="28"/>
      <c r="C5304" s="24"/>
      <c r="D5304" s="89"/>
      <c r="E5304" s="25"/>
      <c r="F5304" s="25"/>
      <c r="G5304" s="25"/>
      <c r="H5304" s="32"/>
    </row>
    <row r="5305" spans="1:8" x14ac:dyDescent="0.3">
      <c r="A5305" s="27"/>
      <c r="B5305" s="28"/>
      <c r="C5305" s="24"/>
      <c r="D5305" s="89"/>
      <c r="E5305" s="25"/>
      <c r="F5305" s="25"/>
      <c r="G5305" s="25"/>
      <c r="H5305" s="32"/>
    </row>
    <row r="5306" spans="1:8" x14ac:dyDescent="0.3">
      <c r="A5306" s="159"/>
      <c r="B5306" s="28"/>
      <c r="C5306" s="24"/>
      <c r="D5306" s="25"/>
      <c r="E5306" s="25"/>
      <c r="F5306" s="28"/>
      <c r="G5306" s="28"/>
      <c r="H5306" s="32"/>
    </row>
    <row r="5307" spans="1:8" x14ac:dyDescent="0.3">
      <c r="A5307" s="159"/>
      <c r="B5307" s="28"/>
      <c r="C5307" s="24"/>
      <c r="D5307" s="25"/>
      <c r="E5307" s="25"/>
      <c r="F5307" s="28"/>
      <c r="G5307" s="28"/>
      <c r="H5307" s="32"/>
    </row>
    <row r="5308" spans="1:8" x14ac:dyDescent="0.3">
      <c r="A5308" s="159"/>
      <c r="B5308" s="28"/>
      <c r="C5308" s="24"/>
      <c r="D5308" s="25"/>
      <c r="E5308" s="25"/>
      <c r="F5308" s="28"/>
      <c r="G5308" s="28"/>
      <c r="H5308" s="32"/>
    </row>
    <row r="5309" spans="1:8" ht="15.6" x14ac:dyDescent="0.3">
      <c r="A5309" s="64" t="s">
        <v>45</v>
      </c>
      <c r="B5309" s="28"/>
      <c r="C5309" s="24"/>
      <c r="D5309" s="25"/>
      <c r="E5309" s="25"/>
      <c r="F5309" s="447" t="s">
        <v>46</v>
      </c>
      <c r="G5309" s="447"/>
      <c r="H5309" s="66">
        <v>4500</v>
      </c>
    </row>
    <row r="5310" spans="1:8" ht="15.6" x14ac:dyDescent="0.3">
      <c r="A5310" s="497" t="s">
        <v>1031</v>
      </c>
      <c r="B5310" s="498"/>
      <c r="C5310" s="498"/>
      <c r="D5310" s="498"/>
      <c r="E5310" s="498"/>
      <c r="F5310" s="447" t="s">
        <v>47</v>
      </c>
      <c r="G5310" s="447"/>
      <c r="H5310" s="66">
        <f>H5309*9%</f>
        <v>405</v>
      </c>
    </row>
    <row r="5311" spans="1:8" ht="15.6" x14ac:dyDescent="0.3">
      <c r="A5311" s="159"/>
      <c r="B5311" s="28"/>
      <c r="C5311" s="24"/>
      <c r="D5311" s="25"/>
      <c r="E5311" s="25"/>
      <c r="F5311" s="447" t="s">
        <v>48</v>
      </c>
      <c r="G5311" s="447"/>
      <c r="H5311" s="66">
        <f>H5309*9%</f>
        <v>405</v>
      </c>
    </row>
    <row r="5312" spans="1:8" ht="15.6" x14ac:dyDescent="0.3">
      <c r="A5312" s="64" t="s">
        <v>49</v>
      </c>
      <c r="B5312" s="28"/>
      <c r="C5312" s="24"/>
      <c r="D5312" s="25"/>
      <c r="E5312" s="25"/>
      <c r="F5312" s="447" t="s">
        <v>50</v>
      </c>
      <c r="G5312" s="447"/>
      <c r="H5312" s="66">
        <f>H5309+H5310+H5311</f>
        <v>5310</v>
      </c>
    </row>
    <row r="5313" spans="1:8" ht="26.4" x14ac:dyDescent="0.3">
      <c r="A5313" s="160" t="s">
        <v>22</v>
      </c>
      <c r="B5313" s="71" t="s">
        <v>51</v>
      </c>
      <c r="C5313" s="161" t="s">
        <v>24</v>
      </c>
      <c r="D5313" s="161" t="s">
        <v>25</v>
      </c>
      <c r="E5313" s="528" t="s">
        <v>52</v>
      </c>
      <c r="F5313" s="528"/>
      <c r="G5313" s="162"/>
      <c r="H5313" s="154"/>
    </row>
    <row r="5314" spans="1:8" x14ac:dyDescent="0.3">
      <c r="A5314" s="72">
        <v>0.18</v>
      </c>
      <c r="B5314" s="73">
        <f>H5309</f>
        <v>4500</v>
      </c>
      <c r="C5314" s="74">
        <f>H5310</f>
        <v>405</v>
      </c>
      <c r="D5314" s="74">
        <f>H5310</f>
        <v>405</v>
      </c>
      <c r="E5314" s="507">
        <f>C5314+D5314</f>
        <v>810</v>
      </c>
      <c r="F5314" s="507"/>
      <c r="G5314" s="74"/>
      <c r="H5314" s="75"/>
    </row>
    <row r="5315" spans="1:8" x14ac:dyDescent="0.3">
      <c r="A5315" s="508" t="s">
        <v>1030</v>
      </c>
      <c r="B5315" s="509"/>
      <c r="C5315" s="509"/>
      <c r="D5315" s="509"/>
      <c r="E5315" s="453"/>
      <c r="F5315" s="453"/>
      <c r="G5315" s="453"/>
      <c r="H5315" s="454"/>
    </row>
    <row r="5316" spans="1:8" ht="15.6" x14ac:dyDescent="0.3">
      <c r="A5316" s="455" t="s">
        <v>53</v>
      </c>
      <c r="B5316" s="456"/>
      <c r="C5316" s="456"/>
      <c r="D5316" s="457"/>
      <c r="E5316" s="458" t="s">
        <v>54</v>
      </c>
      <c r="F5316" s="459"/>
      <c r="G5316" s="459"/>
      <c r="H5316" s="460"/>
    </row>
    <row r="5317" spans="1:8" x14ac:dyDescent="0.3">
      <c r="A5317" s="461" t="s">
        <v>55</v>
      </c>
      <c r="B5317" s="462"/>
      <c r="C5317" s="462"/>
      <c r="D5317" s="463"/>
      <c r="E5317" s="39"/>
      <c r="F5317" s="25"/>
      <c r="G5317" s="28"/>
      <c r="H5317" s="32"/>
    </row>
    <row r="5318" spans="1:8" x14ac:dyDescent="0.3">
      <c r="A5318" s="461" t="s">
        <v>56</v>
      </c>
      <c r="B5318" s="462"/>
      <c r="C5318" s="462"/>
      <c r="D5318" s="463"/>
      <c r="E5318" s="39"/>
      <c r="F5318" s="25"/>
      <c r="G5318" s="28"/>
      <c r="H5318" s="32"/>
    </row>
    <row r="5319" spans="1:8" x14ac:dyDescent="0.3">
      <c r="A5319" s="461" t="s">
        <v>57</v>
      </c>
      <c r="B5319" s="462"/>
      <c r="C5319" s="462"/>
      <c r="D5319" s="463"/>
      <c r="E5319" s="25"/>
      <c r="F5319" s="25"/>
      <c r="G5319" s="28"/>
      <c r="H5319" s="32"/>
    </row>
    <row r="5320" spans="1:8" ht="15.6" x14ac:dyDescent="0.3">
      <c r="A5320" s="464" t="s">
        <v>58</v>
      </c>
      <c r="B5320" s="465"/>
      <c r="C5320" s="465"/>
      <c r="D5320" s="510"/>
      <c r="E5320" s="466" t="s">
        <v>59</v>
      </c>
      <c r="F5320" s="467"/>
      <c r="G5320" s="467"/>
      <c r="H5320" s="468"/>
    </row>
    <row r="5324" spans="1:8" ht="44.4" x14ac:dyDescent="0.7">
      <c r="A5324" s="469" t="s">
        <v>0</v>
      </c>
      <c r="B5324" s="470"/>
      <c r="C5324" s="470"/>
      <c r="D5324" s="470"/>
      <c r="E5324" s="531" t="s">
        <v>1</v>
      </c>
      <c r="F5324" s="544"/>
      <c r="G5324" s="544"/>
      <c r="H5324" s="545"/>
    </row>
    <row r="5325" spans="1:8" ht="20.399999999999999" x14ac:dyDescent="0.35">
      <c r="A5325" s="1"/>
      <c r="B5325" s="476" t="s">
        <v>2</v>
      </c>
      <c r="C5325" s="476"/>
      <c r="D5325" s="476"/>
      <c r="E5325" s="546"/>
      <c r="F5325" s="546"/>
      <c r="G5325" s="546"/>
      <c r="H5325" s="547"/>
    </row>
    <row r="5326" spans="1:8" x14ac:dyDescent="0.3">
      <c r="A5326" s="477" t="s">
        <v>3</v>
      </c>
      <c r="B5326" s="478"/>
      <c r="C5326" s="479" t="s">
        <v>4</v>
      </c>
      <c r="D5326" s="479"/>
      <c r="E5326" s="548" t="s">
        <v>5</v>
      </c>
      <c r="F5326" s="549"/>
      <c r="G5326" s="549"/>
      <c r="H5326" s="550"/>
    </row>
    <row r="5327" spans="1:8" ht="15.6" x14ac:dyDescent="0.3">
      <c r="A5327" s="4" t="s">
        <v>6</v>
      </c>
      <c r="B5327" s="5"/>
      <c r="C5327" s="481" t="s">
        <v>7</v>
      </c>
      <c r="D5327" s="481"/>
      <c r="E5327" s="482">
        <v>116</v>
      </c>
      <c r="F5327" s="482"/>
      <c r="G5327" s="7" t="s">
        <v>8</v>
      </c>
      <c r="H5327" s="8" t="s">
        <v>1014</v>
      </c>
    </row>
    <row r="5328" spans="1:8" ht="15.6" x14ac:dyDescent="0.3">
      <c r="A5328" s="551" t="s">
        <v>287</v>
      </c>
      <c r="B5328" s="552"/>
      <c r="C5328" s="481" t="s">
        <v>10</v>
      </c>
      <c r="D5328" s="481"/>
      <c r="E5328" s="482">
        <v>175</v>
      </c>
      <c r="F5328" s="482"/>
      <c r="G5328" s="7" t="s">
        <v>8</v>
      </c>
      <c r="H5328" s="9">
        <v>45785</v>
      </c>
    </row>
    <row r="5329" spans="1:9" ht="24.75" customHeight="1" x14ac:dyDescent="0.3">
      <c r="A5329" s="517" t="s">
        <v>288</v>
      </c>
      <c r="B5329" s="553"/>
      <c r="C5329" s="483" t="s">
        <v>12</v>
      </c>
      <c r="D5329" s="484"/>
      <c r="E5329" s="554" t="s">
        <v>1015</v>
      </c>
      <c r="F5329" s="555"/>
      <c r="G5329" s="10" t="s">
        <v>8</v>
      </c>
      <c r="H5329" s="11">
        <v>45755</v>
      </c>
    </row>
    <row r="5330" spans="1:9" ht="15.6" x14ac:dyDescent="0.3">
      <c r="A5330" s="556"/>
      <c r="B5330" s="557"/>
      <c r="C5330" s="481" t="s">
        <v>15</v>
      </c>
      <c r="D5330" s="481"/>
      <c r="E5330" s="502" t="s">
        <v>289</v>
      </c>
      <c r="F5330" s="503"/>
      <c r="G5330" s="503"/>
      <c r="H5330" s="504"/>
    </row>
    <row r="5331" spans="1:9" ht="15.6" x14ac:dyDescent="0.3">
      <c r="A5331" s="558" t="s">
        <v>290</v>
      </c>
      <c r="B5331" s="559"/>
      <c r="C5331" s="489"/>
      <c r="D5331" s="490"/>
      <c r="E5331" s="490"/>
      <c r="F5331" s="490"/>
      <c r="G5331" s="490"/>
      <c r="H5331" s="491"/>
    </row>
    <row r="5332" spans="1:9" ht="15" x14ac:dyDescent="0.3">
      <c r="A5332" s="492" t="s">
        <v>17</v>
      </c>
      <c r="B5332" s="494" t="s">
        <v>18</v>
      </c>
      <c r="C5332" s="494" t="s">
        <v>19</v>
      </c>
      <c r="D5332" s="494" t="s">
        <v>20</v>
      </c>
      <c r="E5332" s="494" t="s">
        <v>21</v>
      </c>
      <c r="F5332" s="494" t="s">
        <v>22</v>
      </c>
      <c r="G5332" s="494"/>
      <c r="H5332" s="492" t="s">
        <v>23</v>
      </c>
    </row>
    <row r="5333" spans="1:9" ht="27.6" x14ac:dyDescent="0.3">
      <c r="A5333" s="492"/>
      <c r="B5333" s="494"/>
      <c r="C5333" s="494"/>
      <c r="D5333" s="494"/>
      <c r="E5333" s="494"/>
      <c r="F5333" s="53" t="s">
        <v>24</v>
      </c>
      <c r="G5333" s="53" t="s">
        <v>25</v>
      </c>
      <c r="H5333" s="492"/>
    </row>
    <row r="5334" spans="1:9" x14ac:dyDescent="0.3">
      <c r="A5334" s="57">
        <v>1</v>
      </c>
      <c r="B5334" s="60" t="s">
        <v>1016</v>
      </c>
      <c r="C5334" s="57">
        <v>80</v>
      </c>
      <c r="D5334" s="349">
        <v>85446020</v>
      </c>
      <c r="E5334" s="57">
        <v>401</v>
      </c>
      <c r="F5334" s="57">
        <f>E5334*C5334*9%</f>
        <v>2887.2</v>
      </c>
      <c r="G5334" s="57">
        <f>F5334</f>
        <v>2887.2</v>
      </c>
      <c r="H5334" s="57">
        <f>G5334+F5334+E5334*C5334</f>
        <v>37854.400000000001</v>
      </c>
      <c r="I5334" s="362">
        <f>E5334*C5334</f>
        <v>32080</v>
      </c>
    </row>
    <row r="5335" spans="1:9" x14ac:dyDescent="0.3">
      <c r="A5335" s="55">
        <v>2</v>
      </c>
      <c r="B5335" s="60" t="s">
        <v>1017</v>
      </c>
      <c r="C5335" s="57">
        <v>80</v>
      </c>
      <c r="D5335" s="209">
        <v>998719</v>
      </c>
      <c r="E5335" s="57">
        <v>50</v>
      </c>
      <c r="F5335" s="57">
        <f>E5335*C5335*9%</f>
        <v>360</v>
      </c>
      <c r="G5335" s="57">
        <f>F5335</f>
        <v>360</v>
      </c>
      <c r="H5335" s="57">
        <f>G5335+F5335+E5335*C5335</f>
        <v>4720</v>
      </c>
      <c r="I5335" s="362">
        <f t="shared" ref="I5335:I5339" si="74">E5335*C5335</f>
        <v>4000</v>
      </c>
    </row>
    <row r="5336" spans="1:9" x14ac:dyDescent="0.3">
      <c r="A5336" s="55">
        <v>3</v>
      </c>
      <c r="B5336" s="130" t="s">
        <v>1018</v>
      </c>
      <c r="C5336" s="55">
        <v>2</v>
      </c>
      <c r="D5336" s="349">
        <v>85362020</v>
      </c>
      <c r="E5336" s="55">
        <v>7562</v>
      </c>
      <c r="F5336" s="55">
        <f>E5336*C5336*9%</f>
        <v>1361.1599999999999</v>
      </c>
      <c r="G5336" s="55">
        <f>F5336</f>
        <v>1361.1599999999999</v>
      </c>
      <c r="H5336" s="55">
        <f>G5336+F5336+E5336*C5336</f>
        <v>17846.32</v>
      </c>
      <c r="I5336" s="362">
        <f t="shared" si="74"/>
        <v>15124</v>
      </c>
    </row>
    <row r="5337" spans="1:9" x14ac:dyDescent="0.3">
      <c r="A5337" s="55">
        <v>4</v>
      </c>
      <c r="B5337" s="130" t="s">
        <v>1019</v>
      </c>
      <c r="C5337" s="55">
        <v>4</v>
      </c>
      <c r="D5337" s="83">
        <v>998719</v>
      </c>
      <c r="E5337" s="57">
        <v>750</v>
      </c>
      <c r="F5337" s="55">
        <f>E5337*C5337*9%</f>
        <v>270</v>
      </c>
      <c r="G5337" s="55">
        <f>F5337</f>
        <v>270</v>
      </c>
      <c r="H5337" s="55">
        <f>G5337+F5337+E5337*C5337</f>
        <v>3540</v>
      </c>
      <c r="I5337" s="362">
        <f t="shared" si="74"/>
        <v>3000</v>
      </c>
    </row>
    <row r="5338" spans="1:9" x14ac:dyDescent="0.3">
      <c r="A5338" s="55">
        <v>5</v>
      </c>
      <c r="B5338" s="130" t="s">
        <v>1020</v>
      </c>
      <c r="C5338" s="83">
        <v>1</v>
      </c>
      <c r="D5338" s="83">
        <v>998719</v>
      </c>
      <c r="E5338" s="57">
        <v>500</v>
      </c>
      <c r="F5338" s="55">
        <f t="shared" ref="F5338:F5339" si="75">E5338*C5338*9%</f>
        <v>45</v>
      </c>
      <c r="G5338" s="55">
        <f t="shared" ref="G5338:G5339" si="76">F5338</f>
        <v>45</v>
      </c>
      <c r="H5338" s="55">
        <f t="shared" ref="H5338:H5339" si="77">G5338+F5338+E5338*C5338</f>
        <v>590</v>
      </c>
      <c r="I5338" s="362">
        <f t="shared" si="74"/>
        <v>500</v>
      </c>
    </row>
    <row r="5339" spans="1:9" x14ac:dyDescent="0.3">
      <c r="A5339" s="55">
        <v>6</v>
      </c>
      <c r="B5339" s="130" t="s">
        <v>1021</v>
      </c>
      <c r="C5339" s="83">
        <v>1</v>
      </c>
      <c r="D5339" s="83">
        <v>99719</v>
      </c>
      <c r="E5339" s="57">
        <v>1200</v>
      </c>
      <c r="F5339" s="55">
        <f t="shared" si="75"/>
        <v>108</v>
      </c>
      <c r="G5339" s="55">
        <f t="shared" si="76"/>
        <v>108</v>
      </c>
      <c r="H5339" s="55">
        <f t="shared" si="77"/>
        <v>1416</v>
      </c>
      <c r="I5339" s="362">
        <f t="shared" si="74"/>
        <v>1200</v>
      </c>
    </row>
    <row r="5340" spans="1:9" x14ac:dyDescent="0.3">
      <c r="A5340" s="55"/>
      <c r="B5340" s="130"/>
      <c r="C5340" s="83"/>
      <c r="D5340" s="83"/>
      <c r="E5340" s="57"/>
      <c r="F5340" s="57"/>
      <c r="G5340" s="57"/>
      <c r="H5340" s="57"/>
    </row>
    <row r="5341" spans="1:9" x14ac:dyDescent="0.3">
      <c r="A5341" s="55"/>
      <c r="B5341" s="130"/>
      <c r="C5341" s="83"/>
      <c r="D5341" s="57"/>
      <c r="E5341" s="57"/>
      <c r="F5341" s="57"/>
      <c r="G5341" s="57"/>
      <c r="H5341" s="57"/>
    </row>
    <row r="5342" spans="1:9" x14ac:dyDescent="0.3">
      <c r="A5342" s="194"/>
      <c r="B5342" s="195"/>
      <c r="C5342" s="196"/>
      <c r="D5342" s="194"/>
      <c r="E5342" s="194"/>
      <c r="F5342" s="145"/>
      <c r="G5342" s="197"/>
      <c r="H5342" s="198"/>
    </row>
    <row r="5343" spans="1:9" x14ac:dyDescent="0.3">
      <c r="A5343" s="199"/>
      <c r="B5343" s="200"/>
      <c r="C5343" s="201"/>
      <c r="D5343" s="202"/>
      <c r="E5343" s="203"/>
      <c r="F5343" s="204"/>
      <c r="G5343" s="204"/>
      <c r="H5343" s="205"/>
    </row>
    <row r="5344" spans="1:9" x14ac:dyDescent="0.3">
      <c r="A5344" s="173"/>
      <c r="B5344" s="88"/>
      <c r="C5344" s="206"/>
      <c r="D5344" s="89"/>
      <c r="E5344" s="207"/>
      <c r="F5344" s="25"/>
      <c r="G5344" s="25"/>
      <c r="H5344" s="32"/>
    </row>
    <row r="5345" spans="1:8" x14ac:dyDescent="0.3">
      <c r="A5345" s="173"/>
      <c r="B5345" s="88"/>
      <c r="C5345" s="206"/>
      <c r="D5345" s="89"/>
      <c r="E5345" s="207"/>
      <c r="F5345" s="25"/>
      <c r="G5345" s="25"/>
      <c r="H5345" s="32"/>
    </row>
    <row r="5346" spans="1:8" x14ac:dyDescent="0.3">
      <c r="A5346" s="173"/>
      <c r="B5346" s="88"/>
      <c r="C5346" s="206"/>
      <c r="D5346" s="89"/>
      <c r="E5346" s="207"/>
      <c r="F5346" s="25"/>
      <c r="G5346" s="25"/>
      <c r="H5346" s="32"/>
    </row>
    <row r="5347" spans="1:8" x14ac:dyDescent="0.3">
      <c r="A5347" s="173"/>
      <c r="B5347" s="88"/>
      <c r="C5347" s="206"/>
      <c r="D5347" s="89"/>
      <c r="E5347" s="207"/>
      <c r="F5347" s="25"/>
      <c r="G5347" s="25"/>
      <c r="H5347" s="32"/>
    </row>
    <row r="5348" spans="1:8" x14ac:dyDescent="0.3">
      <c r="A5348" s="173"/>
      <c r="B5348" s="88"/>
      <c r="C5348" s="206"/>
      <c r="D5348" s="89"/>
      <c r="E5348" s="207"/>
      <c r="F5348" s="25"/>
      <c r="G5348" s="25"/>
      <c r="H5348" s="32"/>
    </row>
    <row r="5349" spans="1:8" x14ac:dyDescent="0.3">
      <c r="A5349" s="173"/>
      <c r="B5349" s="88"/>
      <c r="C5349" s="206"/>
      <c r="D5349" s="89"/>
      <c r="E5349" s="207"/>
      <c r="F5349" s="25"/>
      <c r="G5349" s="25"/>
      <c r="H5349" s="32"/>
    </row>
    <row r="5350" spans="1:8" x14ac:dyDescent="0.3">
      <c r="A5350" s="173"/>
      <c r="B5350" s="88"/>
      <c r="C5350" s="206"/>
      <c r="D5350" s="89"/>
      <c r="E5350" s="207"/>
      <c r="F5350" s="25"/>
      <c r="G5350" s="25"/>
      <c r="H5350" s="32"/>
    </row>
    <row r="5351" spans="1:8" x14ac:dyDescent="0.3">
      <c r="A5351" s="173"/>
      <c r="B5351" s="88"/>
      <c r="C5351" s="206"/>
      <c r="D5351" s="89"/>
      <c r="E5351" s="207"/>
      <c r="F5351" s="25"/>
      <c r="G5351" s="25"/>
      <c r="H5351" s="32"/>
    </row>
    <row r="5352" spans="1:8" x14ac:dyDescent="0.3">
      <c r="A5352" s="173"/>
      <c r="B5352" s="88"/>
      <c r="C5352" s="206"/>
      <c r="D5352" s="89"/>
      <c r="E5352" s="207"/>
      <c r="F5352" s="25"/>
      <c r="G5352" s="25"/>
      <c r="H5352" s="32"/>
    </row>
    <row r="5353" spans="1:8" x14ac:dyDescent="0.3">
      <c r="A5353" s="173"/>
      <c r="B5353" s="88"/>
      <c r="C5353" s="206"/>
      <c r="D5353" s="89"/>
      <c r="E5353" s="25"/>
      <c r="F5353" s="25"/>
      <c r="G5353" s="25"/>
      <c r="H5353" s="32"/>
    </row>
    <row r="5354" spans="1:8" x14ac:dyDescent="0.3">
      <c r="A5354" s="27"/>
      <c r="B5354" s="88"/>
      <c r="C5354" s="24"/>
      <c r="D5354" s="89"/>
      <c r="E5354" s="25"/>
      <c r="F5354" s="25"/>
      <c r="G5354" s="25"/>
      <c r="H5354" s="32"/>
    </row>
    <row r="5355" spans="1:8" x14ac:dyDescent="0.3">
      <c r="A5355" s="27"/>
      <c r="B5355" s="28"/>
      <c r="C5355" s="24"/>
      <c r="D5355" s="25"/>
      <c r="E5355" s="25"/>
      <c r="F5355" s="28"/>
      <c r="G5355" s="28"/>
      <c r="H5355" s="32"/>
    </row>
    <row r="5356" spans="1:8" ht="15.6" x14ac:dyDescent="0.3">
      <c r="A5356" s="448" t="s">
        <v>45</v>
      </c>
      <c r="B5356" s="449"/>
      <c r="C5356" s="24"/>
      <c r="D5356" s="25"/>
      <c r="E5356" s="25"/>
      <c r="F5356" s="447" t="s">
        <v>46</v>
      </c>
      <c r="G5356" s="447"/>
      <c r="H5356" s="66">
        <v>55904</v>
      </c>
    </row>
    <row r="5357" spans="1:8" ht="15.6" x14ac:dyDescent="0.3">
      <c r="A5357" s="497" t="s">
        <v>1022</v>
      </c>
      <c r="B5357" s="498"/>
      <c r="C5357" s="498"/>
      <c r="D5357" s="498"/>
      <c r="E5357" s="498"/>
      <c r="F5357" s="447" t="s">
        <v>47</v>
      </c>
      <c r="G5357" s="447"/>
      <c r="H5357" s="66">
        <f>H5356*9%</f>
        <v>5031.3599999999997</v>
      </c>
    </row>
    <row r="5358" spans="1:8" ht="15.6" x14ac:dyDescent="0.3">
      <c r="A5358" s="27"/>
      <c r="B5358" s="28"/>
      <c r="C5358" s="24"/>
      <c r="D5358" s="25"/>
      <c r="E5358" s="25"/>
      <c r="F5358" s="447" t="s">
        <v>48</v>
      </c>
      <c r="G5358" s="447"/>
      <c r="H5358" s="66">
        <f>H5357</f>
        <v>5031.3599999999997</v>
      </c>
    </row>
    <row r="5359" spans="1:8" ht="15.6" x14ac:dyDescent="0.3">
      <c r="A5359" s="448" t="s">
        <v>49</v>
      </c>
      <c r="B5359" s="449"/>
      <c r="C5359" s="24"/>
      <c r="D5359" s="25"/>
      <c r="E5359" s="25"/>
      <c r="F5359" s="447" t="s">
        <v>50</v>
      </c>
      <c r="G5359" s="447"/>
      <c r="H5359" s="66">
        <v>65967</v>
      </c>
    </row>
    <row r="5360" spans="1:8" ht="26.4" x14ac:dyDescent="0.3">
      <c r="A5360" s="68" t="s">
        <v>22</v>
      </c>
      <c r="B5360" s="30" t="s">
        <v>51</v>
      </c>
      <c r="C5360" s="70" t="s">
        <v>24</v>
      </c>
      <c r="D5360" s="70" t="s">
        <v>25</v>
      </c>
      <c r="E5360" s="543" t="s">
        <v>52</v>
      </c>
      <c r="F5360" s="543"/>
      <c r="G5360" s="28"/>
      <c r="H5360" s="32"/>
    </row>
    <row r="5361" spans="1:8" x14ac:dyDescent="0.3">
      <c r="A5361" s="72">
        <v>0.18</v>
      </c>
      <c r="B5361" s="73">
        <f>H5356</f>
        <v>55904</v>
      </c>
      <c r="C5361" s="91">
        <f>H5357</f>
        <v>5031.3599999999997</v>
      </c>
      <c r="D5361" s="91">
        <f>H5357</f>
        <v>5031.3599999999997</v>
      </c>
      <c r="E5361" s="506">
        <f>C5361+D5361</f>
        <v>10062.719999999999</v>
      </c>
      <c r="F5361" s="507"/>
      <c r="G5361" s="74"/>
      <c r="H5361" s="75"/>
    </row>
    <row r="5362" spans="1:8" x14ac:dyDescent="0.3">
      <c r="A5362" s="508" t="s">
        <v>1023</v>
      </c>
      <c r="B5362" s="509"/>
      <c r="C5362" s="509"/>
      <c r="D5362" s="509"/>
      <c r="E5362" s="453"/>
      <c r="F5362" s="453"/>
      <c r="G5362" s="453"/>
      <c r="H5362" s="454"/>
    </row>
    <row r="5363" spans="1:8" ht="15.6" x14ac:dyDescent="0.3">
      <c r="A5363" s="455" t="s">
        <v>53</v>
      </c>
      <c r="B5363" s="456"/>
      <c r="C5363" s="456"/>
      <c r="D5363" s="457"/>
      <c r="E5363" s="458" t="s">
        <v>54</v>
      </c>
      <c r="F5363" s="459"/>
      <c r="G5363" s="459"/>
      <c r="H5363" s="460"/>
    </row>
    <row r="5364" spans="1:8" x14ac:dyDescent="0.3">
      <c r="A5364" s="461" t="s">
        <v>55</v>
      </c>
      <c r="B5364" s="462"/>
      <c r="C5364" s="462"/>
      <c r="D5364" s="463"/>
      <c r="E5364" s="39"/>
      <c r="F5364" s="28"/>
      <c r="G5364" s="28"/>
      <c r="H5364" s="32"/>
    </row>
    <row r="5365" spans="1:8" x14ac:dyDescent="0.3">
      <c r="A5365" s="461" t="s">
        <v>56</v>
      </c>
      <c r="B5365" s="462"/>
      <c r="C5365" s="462"/>
      <c r="D5365" s="463"/>
      <c r="E5365" s="39"/>
      <c r="F5365" s="28"/>
      <c r="G5365" s="28"/>
      <c r="H5365" s="32"/>
    </row>
    <row r="5366" spans="1:8" x14ac:dyDescent="0.3">
      <c r="A5366" s="461" t="s">
        <v>57</v>
      </c>
      <c r="B5366" s="462"/>
      <c r="C5366" s="462"/>
      <c r="D5366" s="463"/>
      <c r="E5366" s="39"/>
      <c r="F5366" s="28"/>
      <c r="G5366" s="28"/>
      <c r="H5366" s="32"/>
    </row>
    <row r="5367" spans="1:8" ht="15.6" x14ac:dyDescent="0.3">
      <c r="A5367" s="464" t="s">
        <v>58</v>
      </c>
      <c r="B5367" s="465"/>
      <c r="C5367" s="465"/>
      <c r="D5367" s="465"/>
      <c r="E5367" s="466" t="s">
        <v>59</v>
      </c>
      <c r="F5367" s="467"/>
      <c r="G5367" s="467"/>
      <c r="H5367" s="468"/>
    </row>
    <row r="5371" spans="1:8" ht="45" customHeight="1" x14ac:dyDescent="0.7">
      <c r="A5371" s="469" t="s">
        <v>0</v>
      </c>
      <c r="B5371" s="470"/>
      <c r="C5371" s="470"/>
      <c r="D5371" s="470"/>
      <c r="E5371" s="531" t="s">
        <v>1</v>
      </c>
      <c r="F5371" s="531"/>
      <c r="G5371" s="531"/>
      <c r="H5371" s="532"/>
    </row>
    <row r="5372" spans="1:8" ht="20.399999999999999" x14ac:dyDescent="0.35">
      <c r="A5372" s="1"/>
      <c r="B5372" s="535" t="s">
        <v>2</v>
      </c>
      <c r="C5372" s="535"/>
      <c r="D5372" s="535"/>
      <c r="E5372" s="533"/>
      <c r="F5372" s="533"/>
      <c r="G5372" s="533"/>
      <c r="H5372" s="534"/>
    </row>
    <row r="5373" spans="1:8" x14ac:dyDescent="0.3">
      <c r="A5373" s="477" t="s">
        <v>3</v>
      </c>
      <c r="B5373" s="511"/>
      <c r="C5373" s="588" t="s">
        <v>4</v>
      </c>
      <c r="D5373" s="589"/>
      <c r="E5373" s="590" t="s">
        <v>5</v>
      </c>
      <c r="F5373" s="591"/>
      <c r="G5373" s="591"/>
      <c r="H5373" s="592"/>
    </row>
    <row r="5374" spans="1:8" ht="15.6" x14ac:dyDescent="0.3">
      <c r="A5374" s="4" t="s">
        <v>6</v>
      </c>
      <c r="B5374" s="5"/>
      <c r="C5374" s="536" t="s">
        <v>7</v>
      </c>
      <c r="D5374" s="516"/>
      <c r="E5374" s="489">
        <v>117</v>
      </c>
      <c r="F5374" s="491"/>
      <c r="G5374" s="7" t="s">
        <v>8</v>
      </c>
      <c r="H5374" s="250" t="s">
        <v>1014</v>
      </c>
    </row>
    <row r="5375" spans="1:8" ht="15.6" x14ac:dyDescent="0.3">
      <c r="A5375" s="551" t="s">
        <v>496</v>
      </c>
      <c r="B5375" s="552"/>
      <c r="C5375" s="536" t="s">
        <v>10</v>
      </c>
      <c r="D5375" s="516"/>
      <c r="E5375" s="489"/>
      <c r="F5375" s="491"/>
      <c r="G5375" s="7" t="s">
        <v>8</v>
      </c>
      <c r="H5375" s="251"/>
    </row>
    <row r="5376" spans="1:8" ht="15" x14ac:dyDescent="0.3">
      <c r="A5376" s="560" t="s">
        <v>497</v>
      </c>
      <c r="B5376" s="561"/>
      <c r="C5376" s="483" t="s">
        <v>12</v>
      </c>
      <c r="D5376" s="484"/>
      <c r="E5376" s="564"/>
      <c r="F5376" s="593"/>
      <c r="G5376" s="10" t="s">
        <v>8</v>
      </c>
      <c r="H5376" s="252"/>
    </row>
    <row r="5377" spans="1:8" ht="15.6" x14ac:dyDescent="0.3">
      <c r="A5377" s="253" t="s">
        <v>498</v>
      </c>
      <c r="B5377" s="254"/>
      <c r="C5377" s="536" t="s">
        <v>15</v>
      </c>
      <c r="D5377" s="516"/>
      <c r="E5377" s="489" t="s">
        <v>500</v>
      </c>
      <c r="F5377" s="490"/>
      <c r="G5377" s="490"/>
      <c r="H5377" s="491"/>
    </row>
    <row r="5378" spans="1:8" ht="15.6" x14ac:dyDescent="0.3">
      <c r="A5378" s="255" t="s">
        <v>182</v>
      </c>
      <c r="B5378" s="256"/>
      <c r="C5378" s="489"/>
      <c r="D5378" s="490"/>
      <c r="E5378" s="490"/>
      <c r="F5378" s="490"/>
      <c r="G5378" s="490"/>
      <c r="H5378" s="491"/>
    </row>
    <row r="5379" spans="1:8" ht="15.75" customHeight="1" x14ac:dyDescent="0.3">
      <c r="A5379" s="493" t="s">
        <v>17</v>
      </c>
      <c r="B5379" s="495" t="s">
        <v>18</v>
      </c>
      <c r="C5379" s="495" t="s">
        <v>19</v>
      </c>
      <c r="D5379" s="495" t="s">
        <v>20</v>
      </c>
      <c r="E5379" s="495" t="s">
        <v>21</v>
      </c>
      <c r="F5379" s="541" t="s">
        <v>22</v>
      </c>
      <c r="G5379" s="542"/>
      <c r="H5379" s="493" t="s">
        <v>23</v>
      </c>
    </row>
    <row r="5380" spans="1:8" ht="27.6" x14ac:dyDescent="0.3">
      <c r="A5380" s="527"/>
      <c r="B5380" s="505"/>
      <c r="C5380" s="505"/>
      <c r="D5380" s="505"/>
      <c r="E5380" s="505"/>
      <c r="F5380" s="53" t="s">
        <v>24</v>
      </c>
      <c r="G5380" s="53" t="s">
        <v>25</v>
      </c>
      <c r="H5380" s="527"/>
    </row>
    <row r="5381" spans="1:8" x14ac:dyDescent="0.3">
      <c r="A5381" s="55">
        <v>1</v>
      </c>
      <c r="B5381" s="257" t="s">
        <v>1024</v>
      </c>
      <c r="C5381" s="55">
        <v>1</v>
      </c>
      <c r="D5381" s="86">
        <v>998719</v>
      </c>
      <c r="E5381" s="55">
        <v>2500</v>
      </c>
      <c r="F5381" s="55">
        <f>E5381*C5381*9%</f>
        <v>225</v>
      </c>
      <c r="G5381" s="55">
        <f>F5381</f>
        <v>225</v>
      </c>
      <c r="H5381" s="55">
        <f>G5381+F5381+E5381*C5381</f>
        <v>2950</v>
      </c>
    </row>
    <row r="5382" spans="1:8" ht="27.6" x14ac:dyDescent="0.3">
      <c r="A5382" s="55">
        <v>2</v>
      </c>
      <c r="B5382" s="257" t="s">
        <v>1025</v>
      </c>
      <c r="C5382" s="55">
        <v>1</v>
      </c>
      <c r="D5382" s="86">
        <v>998719</v>
      </c>
      <c r="E5382" s="55">
        <v>2000</v>
      </c>
      <c r="F5382" s="55">
        <f>E5382*C5382*9%</f>
        <v>180</v>
      </c>
      <c r="G5382" s="55">
        <f>F5382</f>
        <v>180</v>
      </c>
      <c r="H5382" s="55">
        <f>G5382+F5382+E5382*C5382</f>
        <v>2360</v>
      </c>
    </row>
    <row r="5383" spans="1:8" x14ac:dyDescent="0.3">
      <c r="A5383" s="55">
        <v>3</v>
      </c>
      <c r="B5383" s="257" t="s">
        <v>1026</v>
      </c>
      <c r="C5383" s="55">
        <v>1</v>
      </c>
      <c r="D5383" s="86">
        <v>998719</v>
      </c>
      <c r="E5383" s="55">
        <v>1000</v>
      </c>
      <c r="F5383" s="55">
        <f>E5383*C5383*9%</f>
        <v>90</v>
      </c>
      <c r="G5383" s="55">
        <f>F5383</f>
        <v>90</v>
      </c>
      <c r="H5383" s="55">
        <f>G5383+F5383+E5383*C5383</f>
        <v>1180</v>
      </c>
    </row>
    <row r="5384" spans="1:8" x14ac:dyDescent="0.3">
      <c r="A5384" s="55"/>
      <c r="B5384" s="257"/>
      <c r="C5384" s="20"/>
      <c r="D5384" s="86"/>
      <c r="E5384" s="55"/>
      <c r="F5384" s="55"/>
      <c r="G5384" s="55"/>
      <c r="H5384" s="55"/>
    </row>
    <row r="5385" spans="1:8" x14ac:dyDescent="0.3">
      <c r="A5385" s="55"/>
      <c r="B5385" s="257"/>
      <c r="C5385" s="20"/>
      <c r="D5385" s="86"/>
      <c r="E5385" s="55"/>
      <c r="F5385" s="55"/>
      <c r="G5385" s="55"/>
      <c r="H5385" s="55"/>
    </row>
    <row r="5386" spans="1:8" x14ac:dyDescent="0.3">
      <c r="A5386" s="55"/>
      <c r="B5386" s="257"/>
      <c r="C5386" s="20"/>
      <c r="D5386" s="86"/>
      <c r="E5386" s="55"/>
      <c r="F5386" s="55"/>
      <c r="G5386" s="55"/>
      <c r="H5386" s="55"/>
    </row>
    <row r="5387" spans="1:8" x14ac:dyDescent="0.3">
      <c r="A5387" s="55"/>
      <c r="B5387" s="257"/>
      <c r="C5387" s="20"/>
      <c r="D5387" s="86"/>
      <c r="E5387" s="55"/>
      <c r="F5387" s="55"/>
      <c r="G5387" s="55"/>
      <c r="H5387" s="55"/>
    </row>
    <row r="5388" spans="1:8" x14ac:dyDescent="0.3">
      <c r="A5388" s="55"/>
      <c r="B5388" s="257"/>
      <c r="C5388" s="178"/>
      <c r="D5388" s="163"/>
      <c r="E5388" s="163"/>
      <c r="F5388" s="163"/>
      <c r="G5388" s="163"/>
      <c r="H5388" s="163"/>
    </row>
    <row r="5389" spans="1:8" x14ac:dyDescent="0.3">
      <c r="A5389" s="55"/>
      <c r="B5389" s="257"/>
      <c r="C5389" s="258"/>
      <c r="D5389" s="86"/>
      <c r="E5389" s="55"/>
      <c r="F5389" s="259"/>
      <c r="G5389" s="259"/>
      <c r="H5389" s="258"/>
    </row>
    <row r="5390" spans="1:8" x14ac:dyDescent="0.3">
      <c r="A5390" s="55"/>
      <c r="B5390" s="84"/>
      <c r="C5390" s="55"/>
      <c r="D5390" s="55"/>
      <c r="E5390" s="55"/>
      <c r="F5390" s="55"/>
      <c r="G5390" s="55"/>
      <c r="H5390" s="55"/>
    </row>
    <row r="5391" spans="1:8" x14ac:dyDescent="0.3">
      <c r="A5391" s="55"/>
      <c r="B5391" s="163"/>
      <c r="C5391" s="178"/>
      <c r="D5391" s="163"/>
      <c r="E5391" s="163"/>
      <c r="F5391" s="163"/>
      <c r="G5391" s="163"/>
      <c r="H5391" s="163"/>
    </row>
    <row r="5392" spans="1:8" x14ac:dyDescent="0.3">
      <c r="A5392" s="55"/>
      <c r="B5392" s="163"/>
      <c r="C5392" s="55"/>
      <c r="D5392" s="55"/>
      <c r="E5392" s="55"/>
      <c r="F5392" s="55"/>
      <c r="G5392" s="55"/>
      <c r="H5392" s="55"/>
    </row>
    <row r="5393" spans="1:8" x14ac:dyDescent="0.3">
      <c r="A5393" s="57"/>
      <c r="B5393" s="84"/>
      <c r="C5393" s="85"/>
      <c r="D5393" s="86"/>
      <c r="E5393" s="87"/>
      <c r="F5393" s="47"/>
      <c r="G5393" s="47"/>
      <c r="H5393" s="47"/>
    </row>
    <row r="5394" spans="1:8" x14ac:dyDescent="0.3">
      <c r="A5394" s="57"/>
      <c r="B5394" s="84"/>
      <c r="C5394" s="85"/>
      <c r="D5394" s="86"/>
      <c r="E5394" s="47"/>
      <c r="F5394" s="47"/>
      <c r="G5394" s="47"/>
      <c r="H5394" s="47"/>
    </row>
    <row r="5395" spans="1:8" x14ac:dyDescent="0.3">
      <c r="A5395" s="55"/>
      <c r="B5395" s="84"/>
      <c r="C5395" s="55"/>
      <c r="D5395" s="86"/>
      <c r="E5395" s="47"/>
      <c r="F5395" s="47"/>
      <c r="G5395" s="47"/>
      <c r="H5395" s="47"/>
    </row>
    <row r="5396" spans="1:8" x14ac:dyDescent="0.3">
      <c r="A5396" s="27"/>
      <c r="B5396" s="88"/>
      <c r="C5396" s="24"/>
      <c r="D5396" s="89"/>
      <c r="E5396" s="25"/>
      <c r="F5396" s="25"/>
      <c r="G5396" s="25"/>
      <c r="H5396" s="32"/>
    </row>
    <row r="5397" spans="1:8" x14ac:dyDescent="0.3">
      <c r="A5397" s="27"/>
      <c r="B5397" s="88"/>
      <c r="C5397" s="24"/>
      <c r="D5397" s="89"/>
      <c r="E5397" s="25"/>
      <c r="F5397" s="25"/>
      <c r="G5397" s="25"/>
      <c r="H5397" s="32"/>
    </row>
    <row r="5398" spans="1:8" x14ac:dyDescent="0.3">
      <c r="A5398" s="27"/>
      <c r="B5398" s="88"/>
      <c r="C5398" s="24"/>
      <c r="D5398" s="89"/>
      <c r="E5398" s="25"/>
      <c r="F5398" s="25"/>
      <c r="G5398" s="25"/>
      <c r="H5398" s="32"/>
    </row>
    <row r="5399" spans="1:8" x14ac:dyDescent="0.3">
      <c r="A5399" s="27"/>
      <c r="B5399" s="88"/>
      <c r="C5399" s="24"/>
      <c r="D5399" s="89"/>
      <c r="E5399" s="25"/>
      <c r="F5399" s="25"/>
      <c r="G5399" s="25"/>
      <c r="H5399" s="32"/>
    </row>
    <row r="5400" spans="1:8" x14ac:dyDescent="0.3">
      <c r="A5400" s="27"/>
      <c r="B5400" s="88"/>
      <c r="C5400" s="24"/>
      <c r="D5400" s="89"/>
      <c r="E5400" s="25"/>
      <c r="F5400" s="25"/>
      <c r="G5400" s="25"/>
      <c r="H5400" s="32"/>
    </row>
    <row r="5401" spans="1:8" x14ac:dyDescent="0.3">
      <c r="A5401" s="27"/>
      <c r="B5401" s="88"/>
      <c r="C5401" s="24"/>
      <c r="D5401" s="89"/>
      <c r="E5401" s="25"/>
      <c r="F5401" s="25"/>
      <c r="G5401" s="25"/>
      <c r="H5401" s="32"/>
    </row>
    <row r="5402" spans="1:8" x14ac:dyDescent="0.3">
      <c r="A5402" s="27"/>
      <c r="B5402" s="28"/>
      <c r="C5402" s="24"/>
      <c r="D5402" s="25"/>
      <c r="E5402" s="25"/>
      <c r="F5402" s="28"/>
      <c r="G5402" s="28"/>
      <c r="H5402" s="32"/>
    </row>
    <row r="5403" spans="1:8" ht="15.6" x14ac:dyDescent="0.3">
      <c r="A5403" s="448" t="s">
        <v>45</v>
      </c>
      <c r="B5403" s="449"/>
      <c r="C5403" s="24"/>
      <c r="D5403" s="25"/>
      <c r="E5403" s="25"/>
      <c r="F5403" s="447" t="s">
        <v>46</v>
      </c>
      <c r="G5403" s="447"/>
      <c r="H5403" s="66">
        <v>5500</v>
      </c>
    </row>
    <row r="5404" spans="1:8" ht="15.6" x14ac:dyDescent="0.3">
      <c r="A5404" s="497" t="s">
        <v>1027</v>
      </c>
      <c r="B5404" s="498"/>
      <c r="C5404" s="498"/>
      <c r="D5404" s="498"/>
      <c r="E5404" s="498"/>
      <c r="F5404" s="447" t="s">
        <v>47</v>
      </c>
      <c r="G5404" s="447"/>
      <c r="H5404" s="66">
        <f>H5403*9%</f>
        <v>495</v>
      </c>
    </row>
    <row r="5405" spans="1:8" ht="15.6" x14ac:dyDescent="0.3">
      <c r="A5405" s="27"/>
      <c r="B5405" s="28"/>
      <c r="C5405" s="24"/>
      <c r="D5405" s="25"/>
      <c r="E5405" s="25"/>
      <c r="F5405" s="447" t="s">
        <v>48</v>
      </c>
      <c r="G5405" s="447"/>
      <c r="H5405" s="66">
        <f>H5404</f>
        <v>495</v>
      </c>
    </row>
    <row r="5406" spans="1:8" ht="15.6" x14ac:dyDescent="0.3">
      <c r="A5406" s="64" t="s">
        <v>49</v>
      </c>
      <c r="B5406" s="65"/>
      <c r="C5406" s="24"/>
      <c r="D5406" s="25"/>
      <c r="E5406" s="25"/>
      <c r="F5406" s="447" t="s">
        <v>50</v>
      </c>
      <c r="G5406" s="447"/>
      <c r="H5406" s="66">
        <f>H5403+H5404+H5405</f>
        <v>6490</v>
      </c>
    </row>
    <row r="5407" spans="1:8" ht="27" x14ac:dyDescent="0.3">
      <c r="A5407" s="68" t="s">
        <v>22</v>
      </c>
      <c r="B5407" s="30" t="s">
        <v>51</v>
      </c>
      <c r="C5407" s="70" t="s">
        <v>24</v>
      </c>
      <c r="D5407" s="31" t="s">
        <v>25</v>
      </c>
      <c r="E5407" s="450" t="s">
        <v>52</v>
      </c>
      <c r="F5407" s="450"/>
      <c r="G5407" s="28"/>
      <c r="H5407" s="32"/>
    </row>
    <row r="5408" spans="1:8" x14ac:dyDescent="0.3">
      <c r="A5408" s="72">
        <v>0.18</v>
      </c>
      <c r="B5408" s="73">
        <f>H5403</f>
        <v>5500</v>
      </c>
      <c r="C5408" s="91">
        <f>H5404</f>
        <v>495</v>
      </c>
      <c r="D5408" s="91">
        <f>H5404</f>
        <v>495</v>
      </c>
      <c r="E5408" s="506">
        <f>C5408+D5408</f>
        <v>990</v>
      </c>
      <c r="F5408" s="506"/>
      <c r="G5408" s="74"/>
      <c r="H5408" s="75"/>
    </row>
    <row r="5409" spans="1:8" x14ac:dyDescent="0.3">
      <c r="A5409" s="452" t="s">
        <v>1032</v>
      </c>
      <c r="B5409" s="453"/>
      <c r="C5409" s="453"/>
      <c r="D5409" s="453"/>
      <c r="E5409" s="453"/>
      <c r="F5409" s="453"/>
      <c r="G5409" s="453"/>
      <c r="H5409" s="454"/>
    </row>
    <row r="5410" spans="1:8" ht="15.6" x14ac:dyDescent="0.3">
      <c r="A5410" s="455" t="s">
        <v>53</v>
      </c>
      <c r="B5410" s="456"/>
      <c r="C5410" s="456"/>
      <c r="D5410" s="457"/>
      <c r="E5410" s="458" t="s">
        <v>54</v>
      </c>
      <c r="F5410" s="459"/>
      <c r="G5410" s="459"/>
      <c r="H5410" s="460"/>
    </row>
    <row r="5411" spans="1:8" x14ac:dyDescent="0.3">
      <c r="A5411" s="461" t="s">
        <v>55</v>
      </c>
      <c r="B5411" s="462"/>
      <c r="C5411" s="462"/>
      <c r="D5411" s="463"/>
      <c r="E5411" s="39"/>
      <c r="F5411" s="28"/>
      <c r="G5411" s="28"/>
      <c r="H5411" s="32"/>
    </row>
    <row r="5412" spans="1:8" x14ac:dyDescent="0.3">
      <c r="A5412" s="461" t="s">
        <v>56</v>
      </c>
      <c r="B5412" s="462"/>
      <c r="C5412" s="462"/>
      <c r="D5412" s="463"/>
      <c r="E5412" s="39"/>
      <c r="F5412" s="28"/>
      <c r="G5412" s="28"/>
      <c r="H5412" s="32"/>
    </row>
    <row r="5413" spans="1:8" x14ac:dyDescent="0.3">
      <c r="A5413" s="461" t="s">
        <v>57</v>
      </c>
      <c r="B5413" s="462"/>
      <c r="C5413" s="462"/>
      <c r="D5413" s="463"/>
      <c r="E5413" s="39"/>
      <c r="F5413" s="28"/>
      <c r="G5413" s="28"/>
      <c r="H5413" s="32"/>
    </row>
    <row r="5414" spans="1:8" ht="15.6" x14ac:dyDescent="0.3">
      <c r="A5414" s="464" t="s">
        <v>58</v>
      </c>
      <c r="B5414" s="465"/>
      <c r="C5414" s="465"/>
      <c r="D5414" s="510"/>
      <c r="E5414" s="466" t="s">
        <v>59</v>
      </c>
      <c r="F5414" s="467"/>
      <c r="G5414" s="467"/>
      <c r="H5414" s="468"/>
    </row>
    <row r="5418" spans="1:8" ht="44.4" x14ac:dyDescent="0.7">
      <c r="A5418" s="469" t="s">
        <v>0</v>
      </c>
      <c r="B5418" s="470"/>
      <c r="C5418" s="470"/>
      <c r="D5418" s="470"/>
      <c r="E5418" s="531" t="s">
        <v>1</v>
      </c>
      <c r="F5418" s="544"/>
      <c r="G5418" s="544"/>
      <c r="H5418" s="545"/>
    </row>
    <row r="5419" spans="1:8" ht="20.399999999999999" x14ac:dyDescent="0.35">
      <c r="A5419" s="1"/>
      <c r="B5419" s="535" t="s">
        <v>2</v>
      </c>
      <c r="C5419" s="535"/>
      <c r="D5419" s="535"/>
      <c r="E5419" s="546"/>
      <c r="F5419" s="546"/>
      <c r="G5419" s="546"/>
      <c r="H5419" s="547"/>
    </row>
    <row r="5420" spans="1:8" x14ac:dyDescent="0.3">
      <c r="A5420" s="477" t="s">
        <v>3</v>
      </c>
      <c r="B5420" s="478"/>
      <c r="C5420" s="136"/>
      <c r="D5420" s="499" t="s">
        <v>4</v>
      </c>
      <c r="E5420" s="499"/>
      <c r="F5420" s="137"/>
      <c r="G5420" s="137" t="s">
        <v>134</v>
      </c>
      <c r="H5420" s="120"/>
    </row>
    <row r="5421" spans="1:8" ht="15.6" x14ac:dyDescent="0.3">
      <c r="A5421" s="138" t="s">
        <v>6</v>
      </c>
      <c r="B5421" s="5"/>
      <c r="C5421" s="536" t="s">
        <v>7</v>
      </c>
      <c r="D5421" s="516"/>
      <c r="E5421" s="489">
        <v>118</v>
      </c>
      <c r="F5421" s="491"/>
      <c r="G5421" s="7" t="s">
        <v>8</v>
      </c>
      <c r="H5421" s="9" t="s">
        <v>1033</v>
      </c>
    </row>
    <row r="5422" spans="1:8" ht="16.2" thickBot="1" x14ac:dyDescent="0.35">
      <c r="A5422" s="241" t="s">
        <v>275</v>
      </c>
      <c r="B5422" s="242"/>
      <c r="C5422" s="536" t="s">
        <v>276</v>
      </c>
      <c r="D5422" s="516"/>
      <c r="E5422" s="624">
        <v>4300577714</v>
      </c>
      <c r="F5422" s="625"/>
      <c r="G5422" s="7"/>
      <c r="H5422" s="178"/>
    </row>
    <row r="5423" spans="1:8" ht="15.6" x14ac:dyDescent="0.3">
      <c r="A5423" s="626" t="s">
        <v>277</v>
      </c>
      <c r="B5423" s="627"/>
      <c r="C5423" s="628" t="s">
        <v>265</v>
      </c>
      <c r="D5423" s="484"/>
      <c r="E5423" s="489" t="s">
        <v>266</v>
      </c>
      <c r="F5423" s="491"/>
      <c r="G5423" s="10"/>
      <c r="H5423" s="82"/>
    </row>
    <row r="5424" spans="1:8" ht="15.6" x14ac:dyDescent="0.3">
      <c r="A5424" s="629" t="s">
        <v>278</v>
      </c>
      <c r="B5424" s="630"/>
      <c r="C5424" s="536" t="s">
        <v>15</v>
      </c>
      <c r="D5424" s="516"/>
      <c r="E5424" s="631" t="s">
        <v>279</v>
      </c>
      <c r="F5424" s="632"/>
      <c r="G5424" s="633"/>
      <c r="H5424" s="126"/>
    </row>
    <row r="5425" spans="1:8" ht="15.6" x14ac:dyDescent="0.3">
      <c r="A5425" s="558"/>
      <c r="B5425" s="559"/>
      <c r="C5425" s="489"/>
      <c r="D5425" s="490"/>
      <c r="E5425" s="490"/>
      <c r="F5425" s="490"/>
      <c r="G5425" s="490"/>
      <c r="H5425" s="491"/>
    </row>
    <row r="5426" spans="1:8" ht="15" x14ac:dyDescent="0.3">
      <c r="A5426" s="493" t="s">
        <v>17</v>
      </c>
      <c r="B5426" s="495" t="s">
        <v>18</v>
      </c>
      <c r="C5426" s="495" t="s">
        <v>19</v>
      </c>
      <c r="D5426" s="495" t="s">
        <v>20</v>
      </c>
      <c r="E5426" s="495" t="s">
        <v>21</v>
      </c>
      <c r="F5426" s="541" t="s">
        <v>22</v>
      </c>
      <c r="G5426" s="542"/>
      <c r="H5426" s="493" t="s">
        <v>23</v>
      </c>
    </row>
    <row r="5427" spans="1:8" ht="27.6" x14ac:dyDescent="0.3">
      <c r="A5427" s="527"/>
      <c r="B5427" s="505"/>
      <c r="C5427" s="505"/>
      <c r="D5427" s="505"/>
      <c r="E5427" s="505"/>
      <c r="F5427" s="53" t="s">
        <v>24</v>
      </c>
      <c r="G5427" s="53" t="s">
        <v>25</v>
      </c>
      <c r="H5427" s="527"/>
    </row>
    <row r="5428" spans="1:8" x14ac:dyDescent="0.3">
      <c r="A5428" s="15">
        <v>1</v>
      </c>
      <c r="B5428" s="190" t="s">
        <v>1034</v>
      </c>
      <c r="C5428" s="191">
        <v>1</v>
      </c>
      <c r="D5428" s="192">
        <v>998715</v>
      </c>
      <c r="E5428" s="299">
        <v>13895</v>
      </c>
      <c r="F5428" s="193">
        <f>E5428*C5428*9%</f>
        <v>1250.55</v>
      </c>
      <c r="G5428" s="58">
        <f>F5428</f>
        <v>1250.55</v>
      </c>
      <c r="H5428" s="59">
        <f>G5428+F5428+E5428</f>
        <v>16396.099999999999</v>
      </c>
    </row>
    <row r="5429" spans="1:8" x14ac:dyDescent="0.3">
      <c r="A5429" s="20"/>
      <c r="B5429" s="60"/>
      <c r="C5429" s="55"/>
      <c r="D5429" s="55"/>
      <c r="E5429" s="55"/>
      <c r="F5429" s="93"/>
      <c r="G5429" s="93"/>
      <c r="H5429" s="62"/>
    </row>
    <row r="5430" spans="1:8" x14ac:dyDescent="0.3">
      <c r="A5430" s="20"/>
      <c r="B5430" s="60"/>
      <c r="C5430" s="55"/>
      <c r="D5430" s="55"/>
      <c r="E5430" s="55"/>
      <c r="F5430" s="93"/>
      <c r="G5430" s="93"/>
      <c r="H5430" s="62"/>
    </row>
    <row r="5431" spans="1:8" x14ac:dyDescent="0.3">
      <c r="A5431" s="20"/>
      <c r="B5431" s="63"/>
      <c r="C5431" s="129"/>
      <c r="D5431" s="55"/>
      <c r="E5431" s="55"/>
      <c r="F5431" s="93"/>
      <c r="G5431" s="93"/>
      <c r="H5431" s="62"/>
    </row>
    <row r="5432" spans="1:8" x14ac:dyDescent="0.3">
      <c r="A5432" s="20"/>
      <c r="B5432" s="63"/>
      <c r="C5432" s="129"/>
      <c r="D5432" s="55"/>
      <c r="E5432" s="55"/>
      <c r="F5432" s="93"/>
      <c r="G5432" s="93"/>
      <c r="H5432" s="62"/>
    </row>
    <row r="5433" spans="1:8" x14ac:dyDescent="0.3">
      <c r="A5433" s="20"/>
      <c r="B5433" s="130"/>
      <c r="C5433" s="129"/>
      <c r="D5433" s="55"/>
      <c r="E5433" s="55"/>
      <c r="F5433" s="93"/>
      <c r="G5433" s="93"/>
      <c r="H5433" s="62"/>
    </row>
    <row r="5434" spans="1:8" x14ac:dyDescent="0.3">
      <c r="A5434" s="20"/>
      <c r="B5434" s="63"/>
      <c r="C5434" s="129"/>
      <c r="D5434" s="55"/>
      <c r="E5434" s="55"/>
      <c r="F5434" s="93"/>
      <c r="G5434" s="93"/>
      <c r="H5434" s="62"/>
    </row>
    <row r="5435" spans="1:8" x14ac:dyDescent="0.3">
      <c r="A5435" s="20"/>
      <c r="B5435" s="63"/>
      <c r="C5435" s="55"/>
      <c r="D5435" s="55"/>
      <c r="E5435" s="55"/>
      <c r="F5435" s="93"/>
      <c r="G5435" s="93"/>
      <c r="H5435" s="62"/>
    </row>
    <row r="5436" spans="1:8" x14ac:dyDescent="0.3">
      <c r="A5436" s="27"/>
      <c r="B5436" s="28"/>
      <c r="C5436" s="24"/>
      <c r="D5436" s="25"/>
      <c r="E5436" s="25"/>
      <c r="F5436" s="28"/>
      <c r="G5436" s="28"/>
      <c r="H5436" s="32"/>
    </row>
    <row r="5437" spans="1:8" x14ac:dyDescent="0.3">
      <c r="A5437" s="618" t="s">
        <v>267</v>
      </c>
      <c r="B5437" s="619"/>
      <c r="C5437" s="618" t="s">
        <v>268</v>
      </c>
      <c r="D5437" s="620"/>
      <c r="E5437" s="619"/>
      <c r="F5437" s="28"/>
      <c r="G5437" s="28"/>
      <c r="H5437" s="32"/>
    </row>
    <row r="5438" spans="1:8" x14ac:dyDescent="0.3">
      <c r="A5438" s="178" t="s">
        <v>269</v>
      </c>
      <c r="B5438" s="163"/>
      <c r="C5438" s="621">
        <v>10142001000604</v>
      </c>
      <c r="D5438" s="622"/>
      <c r="E5438" s="623"/>
      <c r="F5438" s="28"/>
      <c r="G5438" s="28"/>
      <c r="H5438" s="32"/>
    </row>
    <row r="5439" spans="1:8" x14ac:dyDescent="0.3">
      <c r="A5439" s="178" t="s">
        <v>270</v>
      </c>
      <c r="B5439" s="163"/>
      <c r="C5439" s="618" t="s">
        <v>271</v>
      </c>
      <c r="D5439" s="620"/>
      <c r="E5439" s="619"/>
      <c r="F5439" s="28"/>
      <c r="G5439" s="28"/>
      <c r="H5439" s="32"/>
    </row>
    <row r="5440" spans="1:8" x14ac:dyDescent="0.3">
      <c r="A5440" s="618" t="s">
        <v>272</v>
      </c>
      <c r="B5440" s="619"/>
      <c r="C5440" s="618" t="s">
        <v>273</v>
      </c>
      <c r="D5440" s="620"/>
      <c r="E5440" s="619"/>
      <c r="F5440" s="28"/>
      <c r="G5440" s="28"/>
      <c r="H5440" s="32"/>
    </row>
    <row r="5441" spans="1:73" x14ac:dyDescent="0.3">
      <c r="A5441" s="27"/>
      <c r="B5441" s="28"/>
      <c r="C5441" s="24"/>
      <c r="D5441" s="25"/>
      <c r="E5441" s="25"/>
      <c r="F5441" s="28"/>
      <c r="G5441" s="28"/>
      <c r="H5441" s="32"/>
    </row>
    <row r="5442" spans="1:73" x14ac:dyDescent="0.3">
      <c r="A5442" s="27"/>
      <c r="B5442" s="28"/>
      <c r="C5442" s="24"/>
      <c r="D5442" s="25"/>
      <c r="E5442" s="25"/>
      <c r="F5442" s="28"/>
      <c r="G5442" s="28"/>
      <c r="H5442" s="32"/>
    </row>
    <row r="5443" spans="1:73" x14ac:dyDescent="0.3">
      <c r="A5443" s="27"/>
      <c r="B5443" s="28"/>
      <c r="C5443" s="24"/>
      <c r="D5443" s="25"/>
      <c r="E5443" s="25"/>
      <c r="F5443" s="28"/>
      <c r="G5443" s="28"/>
      <c r="H5443" s="32"/>
    </row>
    <row r="5444" spans="1:73" ht="15.6" x14ac:dyDescent="0.3">
      <c r="A5444" s="448" t="s">
        <v>45</v>
      </c>
      <c r="B5444" s="449"/>
      <c r="C5444" s="24"/>
      <c r="D5444" s="25"/>
      <c r="E5444" s="25"/>
      <c r="F5444" s="447" t="s">
        <v>46</v>
      </c>
      <c r="G5444" s="447"/>
      <c r="H5444" s="66">
        <v>13895</v>
      </c>
    </row>
    <row r="5445" spans="1:73" ht="15.6" x14ac:dyDescent="0.3">
      <c r="A5445" s="497" t="s">
        <v>1035</v>
      </c>
      <c r="B5445" s="498"/>
      <c r="C5445" s="498"/>
      <c r="D5445" s="498"/>
      <c r="E5445" s="498"/>
      <c r="F5445" s="447" t="s">
        <v>47</v>
      </c>
      <c r="G5445" s="447"/>
      <c r="H5445" s="66">
        <v>1251</v>
      </c>
      <c r="K5445" t="s">
        <v>1394</v>
      </c>
    </row>
    <row r="5446" spans="1:73" ht="15.6" x14ac:dyDescent="0.3">
      <c r="A5446" s="27"/>
      <c r="B5446" s="28"/>
      <c r="C5446" s="24"/>
      <c r="D5446" s="25"/>
      <c r="E5446" s="25"/>
      <c r="F5446" s="447" t="s">
        <v>48</v>
      </c>
      <c r="G5446" s="447"/>
      <c r="H5446" s="66">
        <v>1251</v>
      </c>
    </row>
    <row r="5447" spans="1:73" ht="15.6" x14ac:dyDescent="0.3">
      <c r="A5447" s="90" t="s">
        <v>49</v>
      </c>
      <c r="B5447" s="28"/>
      <c r="C5447" s="24"/>
      <c r="D5447" s="25"/>
      <c r="E5447" s="25"/>
      <c r="F5447" s="447" t="s">
        <v>50</v>
      </c>
      <c r="G5447" s="447"/>
      <c r="H5447" s="66">
        <v>16396</v>
      </c>
    </row>
    <row r="5448" spans="1:73" ht="27" x14ac:dyDescent="0.3">
      <c r="A5448" s="68" t="s">
        <v>22</v>
      </c>
      <c r="B5448" s="30" t="s">
        <v>51</v>
      </c>
      <c r="C5448" s="70" t="s">
        <v>24</v>
      </c>
      <c r="D5448" s="31" t="s">
        <v>25</v>
      </c>
      <c r="E5448" s="543" t="s">
        <v>52</v>
      </c>
      <c r="F5448" s="543"/>
      <c r="G5448" s="28"/>
      <c r="H5448" s="32"/>
    </row>
    <row r="5449" spans="1:73" x14ac:dyDescent="0.3">
      <c r="A5449" s="72">
        <v>0.18</v>
      </c>
      <c r="B5449" s="73">
        <f>H5444</f>
        <v>13895</v>
      </c>
      <c r="C5449" s="74">
        <f>H5445</f>
        <v>1251</v>
      </c>
      <c r="D5449" s="74">
        <f>H5445</f>
        <v>1251</v>
      </c>
      <c r="E5449" s="507">
        <f>C5449+D5449</f>
        <v>2502</v>
      </c>
      <c r="F5449" s="507"/>
      <c r="G5449" s="74"/>
      <c r="H5449" s="75"/>
    </row>
    <row r="5450" spans="1:73" x14ac:dyDescent="0.3">
      <c r="A5450" s="508">
        <v>0</v>
      </c>
      <c r="B5450" s="509"/>
      <c r="C5450" s="509"/>
      <c r="D5450" s="509"/>
      <c r="E5450" s="453"/>
      <c r="F5450" s="453"/>
      <c r="G5450" s="453"/>
      <c r="H5450" s="454"/>
      <c r="BN5450" t="s">
        <v>687</v>
      </c>
      <c r="BU5450" t="s">
        <v>1036</v>
      </c>
    </row>
    <row r="5451" spans="1:73" ht="15.6" x14ac:dyDescent="0.3">
      <c r="A5451" s="455" t="s">
        <v>53</v>
      </c>
      <c r="B5451" s="456"/>
      <c r="C5451" s="456"/>
      <c r="D5451" s="457"/>
      <c r="E5451" s="458" t="s">
        <v>54</v>
      </c>
      <c r="F5451" s="459"/>
      <c r="G5451" s="459"/>
      <c r="H5451" s="460"/>
    </row>
    <row r="5452" spans="1:73" x14ac:dyDescent="0.3">
      <c r="A5452" s="461" t="s">
        <v>55</v>
      </c>
      <c r="B5452" s="462"/>
      <c r="C5452" s="462"/>
      <c r="D5452" s="463"/>
      <c r="E5452" s="39"/>
      <c r="F5452" s="28"/>
      <c r="G5452" s="28"/>
      <c r="H5452" s="32"/>
    </row>
    <row r="5453" spans="1:73" x14ac:dyDescent="0.3">
      <c r="A5453" s="461" t="s">
        <v>56</v>
      </c>
      <c r="B5453" s="462"/>
      <c r="C5453" s="462"/>
      <c r="D5453" s="463"/>
      <c r="E5453" s="39"/>
      <c r="F5453" s="28"/>
      <c r="G5453" s="28"/>
      <c r="H5453" s="32"/>
    </row>
    <row r="5454" spans="1:73" x14ac:dyDescent="0.3">
      <c r="A5454" s="461" t="s">
        <v>57</v>
      </c>
      <c r="B5454" s="462"/>
      <c r="C5454" s="462"/>
      <c r="D5454" s="463"/>
      <c r="E5454" s="39"/>
      <c r="F5454" s="28"/>
      <c r="G5454" s="28"/>
      <c r="H5454" s="32"/>
    </row>
    <row r="5455" spans="1:73" ht="15.6" x14ac:dyDescent="0.3">
      <c r="A5455" s="464" t="s">
        <v>58</v>
      </c>
      <c r="B5455" s="465"/>
      <c r="C5455" s="465"/>
      <c r="D5455" s="465"/>
      <c r="E5455" s="466" t="s">
        <v>59</v>
      </c>
      <c r="F5455" s="467"/>
      <c r="G5455" s="467"/>
      <c r="H5455" s="468"/>
    </row>
    <row r="5459" spans="1:9" ht="44.4" x14ac:dyDescent="0.7">
      <c r="A5459" s="469" t="s">
        <v>0</v>
      </c>
      <c r="B5459" s="470"/>
      <c r="C5459" s="470"/>
      <c r="D5459" s="470"/>
      <c r="E5459" s="531" t="s">
        <v>1</v>
      </c>
      <c r="F5459" s="544"/>
      <c r="G5459" s="544"/>
      <c r="H5459" s="545"/>
    </row>
    <row r="5460" spans="1:9" ht="20.399999999999999" x14ac:dyDescent="0.35">
      <c r="A5460" s="1"/>
      <c r="B5460" s="476" t="s">
        <v>2</v>
      </c>
      <c r="C5460" s="476"/>
      <c r="D5460" s="476"/>
      <c r="E5460" s="546"/>
      <c r="F5460" s="546"/>
      <c r="G5460" s="546"/>
      <c r="H5460" s="547"/>
    </row>
    <row r="5461" spans="1:9" x14ac:dyDescent="0.3">
      <c r="A5461" s="477" t="s">
        <v>3</v>
      </c>
      <c r="B5461" s="478"/>
      <c r="C5461" s="479" t="s">
        <v>4</v>
      </c>
      <c r="D5461" s="479"/>
      <c r="E5461" s="654" t="s">
        <v>5</v>
      </c>
      <c r="F5461" s="654"/>
      <c r="G5461" s="654"/>
      <c r="H5461" s="654"/>
    </row>
    <row r="5462" spans="1:9" ht="15.6" x14ac:dyDescent="0.3">
      <c r="A5462" s="4" t="s">
        <v>6</v>
      </c>
      <c r="B5462" s="5"/>
      <c r="C5462" s="481" t="s">
        <v>7</v>
      </c>
      <c r="D5462" s="481"/>
      <c r="E5462" s="482">
        <v>119</v>
      </c>
      <c r="F5462" s="482"/>
      <c r="G5462" s="7" t="s">
        <v>8</v>
      </c>
      <c r="H5462" s="250">
        <v>45698</v>
      </c>
    </row>
    <row r="5463" spans="1:9" ht="15.6" x14ac:dyDescent="0.3">
      <c r="A5463" s="551" t="s">
        <v>488</v>
      </c>
      <c r="B5463" s="552"/>
      <c r="C5463" s="481" t="s">
        <v>10</v>
      </c>
      <c r="D5463" s="481"/>
      <c r="E5463" s="482"/>
      <c r="F5463" s="482"/>
      <c r="G5463" s="7" t="s">
        <v>8</v>
      </c>
      <c r="H5463" s="251"/>
    </row>
    <row r="5464" spans="1:9" ht="29.25" customHeight="1" x14ac:dyDescent="0.3">
      <c r="A5464" s="560" t="s">
        <v>489</v>
      </c>
      <c r="B5464" s="561"/>
      <c r="C5464" s="483" t="s">
        <v>12</v>
      </c>
      <c r="D5464" s="484"/>
      <c r="E5464" s="564" t="s">
        <v>1037</v>
      </c>
      <c r="F5464" s="593"/>
      <c r="G5464" s="10" t="s">
        <v>8</v>
      </c>
      <c r="H5464" s="252" t="s">
        <v>1038</v>
      </c>
    </row>
    <row r="5465" spans="1:9" ht="15.6" x14ac:dyDescent="0.3">
      <c r="A5465" s="253" t="s">
        <v>490</v>
      </c>
      <c r="B5465" s="254"/>
      <c r="C5465" s="481" t="s">
        <v>15</v>
      </c>
      <c r="D5465" s="481"/>
      <c r="E5465" s="489" t="s">
        <v>495</v>
      </c>
      <c r="F5465" s="490"/>
      <c r="G5465" s="490"/>
      <c r="H5465" s="491"/>
    </row>
    <row r="5466" spans="1:9" ht="15.6" x14ac:dyDescent="0.3">
      <c r="A5466" s="255" t="s">
        <v>182</v>
      </c>
      <c r="B5466" s="256"/>
      <c r="C5466" s="489"/>
      <c r="D5466" s="490"/>
      <c r="E5466" s="490"/>
      <c r="F5466" s="490"/>
      <c r="G5466" s="490"/>
      <c r="H5466" s="491"/>
    </row>
    <row r="5467" spans="1:9" ht="15" x14ac:dyDescent="0.3">
      <c r="A5467" s="492" t="s">
        <v>17</v>
      </c>
      <c r="B5467" s="494" t="s">
        <v>18</v>
      </c>
      <c r="C5467" s="494" t="s">
        <v>19</v>
      </c>
      <c r="D5467" s="495" t="s">
        <v>20</v>
      </c>
      <c r="E5467" s="494" t="s">
        <v>21</v>
      </c>
      <c r="F5467" s="494" t="s">
        <v>22</v>
      </c>
      <c r="G5467" s="494"/>
      <c r="H5467" s="492" t="s">
        <v>23</v>
      </c>
    </row>
    <row r="5468" spans="1:9" ht="27.6" x14ac:dyDescent="0.3">
      <c r="A5468" s="492"/>
      <c r="B5468" s="494"/>
      <c r="C5468" s="494"/>
      <c r="D5468" s="505"/>
      <c r="E5468" s="494"/>
      <c r="F5468" s="53" t="s">
        <v>24</v>
      </c>
      <c r="G5468" s="53" t="s">
        <v>25</v>
      </c>
      <c r="H5468" s="492"/>
    </row>
    <row r="5469" spans="1:9" x14ac:dyDescent="0.3">
      <c r="A5469" s="55">
        <v>1</v>
      </c>
      <c r="B5469" s="257" t="s">
        <v>1039</v>
      </c>
      <c r="C5469" s="55">
        <v>12</v>
      </c>
      <c r="D5469" s="86">
        <v>998719</v>
      </c>
      <c r="E5469" s="55">
        <v>5000</v>
      </c>
      <c r="F5469" s="55">
        <f>E5469*C5469*9%</f>
        <v>5400</v>
      </c>
      <c r="G5469" s="55">
        <f>F5469</f>
        <v>5400</v>
      </c>
      <c r="H5469" s="55">
        <f>G5469+F5469+E5469*C5469</f>
        <v>70800</v>
      </c>
      <c r="I5469" s="362">
        <f>E5469*C5469</f>
        <v>60000</v>
      </c>
    </row>
    <row r="5470" spans="1:9" x14ac:dyDescent="0.3">
      <c r="A5470" s="55">
        <v>2</v>
      </c>
      <c r="B5470" s="257" t="s">
        <v>1040</v>
      </c>
      <c r="C5470" s="55">
        <v>7</v>
      </c>
      <c r="D5470" s="86">
        <v>998719</v>
      </c>
      <c r="E5470" s="55">
        <v>3500</v>
      </c>
      <c r="F5470" s="55">
        <f t="shared" ref="F5470:F5472" si="78">E5470*C5470*9%</f>
        <v>2205</v>
      </c>
      <c r="G5470" s="55">
        <f t="shared" ref="G5470:G5472" si="79">F5470</f>
        <v>2205</v>
      </c>
      <c r="H5470" s="55">
        <f t="shared" ref="H5470:H5472" si="80">G5470+F5470+E5470*C5470</f>
        <v>28910</v>
      </c>
      <c r="I5470" s="362">
        <f t="shared" ref="I5470:I5472" si="81">E5470*C5470</f>
        <v>24500</v>
      </c>
    </row>
    <row r="5471" spans="1:9" x14ac:dyDescent="0.3">
      <c r="A5471" s="55">
        <v>3</v>
      </c>
      <c r="B5471" s="257" t="s">
        <v>1041</v>
      </c>
      <c r="C5471" s="55">
        <v>130</v>
      </c>
      <c r="D5471" s="86">
        <v>998719</v>
      </c>
      <c r="E5471" s="55">
        <v>1000</v>
      </c>
      <c r="F5471" s="55">
        <f t="shared" si="78"/>
        <v>11700</v>
      </c>
      <c r="G5471" s="55">
        <f t="shared" si="79"/>
        <v>11700</v>
      </c>
      <c r="H5471" s="55">
        <f t="shared" si="80"/>
        <v>153400</v>
      </c>
      <c r="I5471" s="362">
        <f t="shared" si="81"/>
        <v>130000</v>
      </c>
    </row>
    <row r="5472" spans="1:9" x14ac:dyDescent="0.3">
      <c r="A5472" s="55">
        <v>4</v>
      </c>
      <c r="B5472" s="257" t="s">
        <v>1042</v>
      </c>
      <c r="C5472" s="55">
        <v>136</v>
      </c>
      <c r="D5472" s="86">
        <v>998719</v>
      </c>
      <c r="E5472" s="55">
        <v>265</v>
      </c>
      <c r="F5472" s="55">
        <f t="shared" si="78"/>
        <v>3243.6</v>
      </c>
      <c r="G5472" s="55">
        <f t="shared" si="79"/>
        <v>3243.6</v>
      </c>
      <c r="H5472" s="55">
        <f t="shared" si="80"/>
        <v>42527.199999999997</v>
      </c>
      <c r="I5472" s="362">
        <f t="shared" si="81"/>
        <v>36040</v>
      </c>
    </row>
    <row r="5473" spans="1:8" x14ac:dyDescent="0.3">
      <c r="A5473" s="55"/>
      <c r="B5473" s="257"/>
      <c r="C5473" s="20"/>
      <c r="D5473" s="86"/>
      <c r="E5473" s="55"/>
      <c r="F5473" s="55"/>
      <c r="G5473" s="55"/>
      <c r="H5473" s="55"/>
    </row>
    <row r="5474" spans="1:8" x14ac:dyDescent="0.3">
      <c r="A5474" s="55"/>
      <c r="B5474" s="257"/>
      <c r="C5474" s="20"/>
      <c r="D5474" s="86"/>
      <c r="E5474" s="55"/>
      <c r="F5474" s="55"/>
      <c r="G5474" s="55"/>
      <c r="H5474" s="55"/>
    </row>
    <row r="5475" spans="1:8" x14ac:dyDescent="0.3">
      <c r="A5475" s="55"/>
      <c r="B5475" s="257"/>
      <c r="C5475" s="20"/>
      <c r="D5475" s="86"/>
      <c r="E5475" s="55"/>
      <c r="F5475" s="55"/>
      <c r="G5475" s="55"/>
      <c r="H5475" s="55"/>
    </row>
    <row r="5476" spans="1:8" x14ac:dyDescent="0.3">
      <c r="A5476" s="55"/>
      <c r="B5476" s="257"/>
      <c r="C5476" s="178"/>
      <c r="D5476" s="163"/>
      <c r="E5476" s="163"/>
      <c r="F5476" s="163"/>
      <c r="G5476" s="163"/>
      <c r="H5476" s="163"/>
    </row>
    <row r="5477" spans="1:8" x14ac:dyDescent="0.3">
      <c r="A5477" s="55"/>
      <c r="B5477" s="257"/>
      <c r="C5477" s="258"/>
      <c r="D5477" s="86"/>
      <c r="E5477" s="55"/>
      <c r="F5477" s="259"/>
      <c r="G5477" s="259"/>
      <c r="H5477" s="258"/>
    </row>
    <row r="5478" spans="1:8" x14ac:dyDescent="0.3">
      <c r="A5478" s="55"/>
      <c r="B5478" s="84"/>
      <c r="C5478" s="55"/>
      <c r="D5478" s="55"/>
      <c r="E5478" s="55"/>
      <c r="F5478" s="55"/>
      <c r="G5478" s="55"/>
      <c r="H5478" s="55"/>
    </row>
    <row r="5479" spans="1:8" x14ac:dyDescent="0.3">
      <c r="A5479" s="55"/>
      <c r="B5479" s="163"/>
      <c r="C5479" s="178"/>
      <c r="D5479" s="163"/>
      <c r="E5479" s="163"/>
      <c r="F5479" s="163"/>
      <c r="G5479" s="163"/>
      <c r="H5479" s="163"/>
    </row>
    <row r="5480" spans="1:8" x14ac:dyDescent="0.3">
      <c r="A5480" s="27"/>
      <c r="B5480" s="88"/>
      <c r="C5480" s="24"/>
      <c r="D5480" s="89"/>
      <c r="E5480" s="25"/>
      <c r="F5480" s="25"/>
      <c r="G5480" s="25"/>
      <c r="H5480" s="32"/>
    </row>
    <row r="5481" spans="1:8" x14ac:dyDescent="0.3">
      <c r="A5481" s="27"/>
      <c r="B5481" s="88"/>
      <c r="C5481" s="24"/>
      <c r="D5481" s="89"/>
      <c r="E5481" s="25"/>
      <c r="F5481" s="25"/>
      <c r="G5481" s="25"/>
      <c r="H5481" s="32"/>
    </row>
    <row r="5482" spans="1:8" x14ac:dyDescent="0.3">
      <c r="A5482" s="27"/>
      <c r="B5482" s="88"/>
      <c r="C5482" s="24"/>
      <c r="D5482" s="89"/>
      <c r="E5482" s="25"/>
      <c r="F5482" s="25"/>
      <c r="G5482" s="25"/>
      <c r="H5482" s="32"/>
    </row>
    <row r="5483" spans="1:8" x14ac:dyDescent="0.3">
      <c r="A5483" s="27"/>
      <c r="B5483" s="88"/>
      <c r="C5483" s="24"/>
      <c r="D5483" s="89"/>
      <c r="E5483" s="25"/>
      <c r="F5483" s="25"/>
      <c r="G5483" s="25"/>
      <c r="H5483" s="32"/>
    </row>
    <row r="5484" spans="1:8" x14ac:dyDescent="0.3">
      <c r="A5484" s="27"/>
      <c r="B5484" s="88"/>
      <c r="C5484" s="24"/>
      <c r="D5484" s="89"/>
      <c r="E5484" s="25"/>
      <c r="F5484" s="25"/>
      <c r="G5484" s="25"/>
      <c r="H5484" s="32"/>
    </row>
    <row r="5485" spans="1:8" x14ac:dyDescent="0.3">
      <c r="A5485" s="27"/>
      <c r="B5485" s="88"/>
      <c r="C5485" s="24"/>
      <c r="D5485" s="89"/>
      <c r="E5485" s="25"/>
      <c r="F5485" s="25"/>
      <c r="G5485" s="25"/>
      <c r="H5485" s="32"/>
    </row>
    <row r="5486" spans="1:8" x14ac:dyDescent="0.3">
      <c r="A5486" s="27"/>
      <c r="B5486" s="88"/>
      <c r="C5486" s="24"/>
      <c r="D5486" s="89"/>
      <c r="E5486" s="25"/>
      <c r="F5486" s="25"/>
      <c r="G5486" s="25"/>
      <c r="H5486" s="32"/>
    </row>
    <row r="5487" spans="1:8" x14ac:dyDescent="0.3">
      <c r="A5487" s="27"/>
      <c r="B5487" s="88"/>
      <c r="C5487" s="24"/>
      <c r="D5487" s="89"/>
      <c r="E5487" s="25"/>
      <c r="F5487" s="25"/>
      <c r="G5487" s="25"/>
      <c r="H5487" s="32"/>
    </row>
    <row r="5488" spans="1:8" x14ac:dyDescent="0.3">
      <c r="A5488" s="27"/>
      <c r="B5488" s="88"/>
      <c r="C5488" s="24"/>
      <c r="D5488" s="89"/>
      <c r="E5488" s="25"/>
      <c r="F5488" s="25"/>
      <c r="G5488" s="25"/>
      <c r="H5488" s="32"/>
    </row>
    <row r="5489" spans="1:8" x14ac:dyDescent="0.3">
      <c r="A5489" s="27"/>
      <c r="B5489" s="88"/>
      <c r="C5489" s="24"/>
      <c r="D5489" s="89"/>
      <c r="E5489" s="25"/>
      <c r="F5489" s="25"/>
      <c r="G5489" s="25"/>
      <c r="H5489" s="32"/>
    </row>
    <row r="5490" spans="1:8" x14ac:dyDescent="0.3">
      <c r="A5490" s="27"/>
      <c r="B5490" s="28"/>
      <c r="C5490" s="24"/>
      <c r="D5490" s="25"/>
      <c r="E5490" s="25"/>
      <c r="F5490" s="28"/>
      <c r="G5490" s="28"/>
      <c r="H5490" s="32"/>
    </row>
    <row r="5491" spans="1:8" ht="15.6" x14ac:dyDescent="0.3">
      <c r="A5491" s="448" t="s">
        <v>45</v>
      </c>
      <c r="B5491" s="449"/>
      <c r="C5491" s="24"/>
      <c r="D5491" s="25"/>
      <c r="E5491" s="25"/>
      <c r="F5491" s="447" t="s">
        <v>46</v>
      </c>
      <c r="G5491" s="447"/>
      <c r="H5491" s="66">
        <v>250540</v>
      </c>
    </row>
    <row r="5492" spans="1:8" ht="15.6" x14ac:dyDescent="0.3">
      <c r="A5492" s="497" t="s">
        <v>1043</v>
      </c>
      <c r="B5492" s="498"/>
      <c r="C5492" s="498"/>
      <c r="D5492" s="498"/>
      <c r="E5492" s="498"/>
      <c r="F5492" s="447" t="s">
        <v>47</v>
      </c>
      <c r="G5492" s="447"/>
      <c r="H5492" s="66">
        <f>H5491*9%</f>
        <v>22548.6</v>
      </c>
    </row>
    <row r="5493" spans="1:8" ht="15.6" x14ac:dyDescent="0.3">
      <c r="A5493" s="27"/>
      <c r="B5493" s="28"/>
      <c r="C5493" s="24"/>
      <c r="D5493" s="25"/>
      <c r="E5493" s="25"/>
      <c r="F5493" s="447" t="s">
        <v>48</v>
      </c>
      <c r="G5493" s="447"/>
      <c r="H5493" s="66">
        <f>H5492</f>
        <v>22548.6</v>
      </c>
    </row>
    <row r="5494" spans="1:8" ht="15.6" x14ac:dyDescent="0.3">
      <c r="A5494" s="64" t="s">
        <v>49</v>
      </c>
      <c r="B5494" s="65"/>
      <c r="C5494" s="24"/>
      <c r="D5494" s="25"/>
      <c r="E5494" s="25"/>
      <c r="F5494" s="447" t="s">
        <v>50</v>
      </c>
      <c r="G5494" s="447"/>
      <c r="H5494" s="66">
        <f>H5491+H5492+H5493</f>
        <v>295637.19999999995</v>
      </c>
    </row>
    <row r="5495" spans="1:8" ht="27" x14ac:dyDescent="0.3">
      <c r="A5495" s="68" t="s">
        <v>22</v>
      </c>
      <c r="B5495" s="30" t="s">
        <v>51</v>
      </c>
      <c r="C5495" s="70" t="s">
        <v>24</v>
      </c>
      <c r="D5495" s="31" t="s">
        <v>25</v>
      </c>
      <c r="E5495" s="450" t="s">
        <v>52</v>
      </c>
      <c r="F5495" s="450"/>
      <c r="G5495" s="28"/>
      <c r="H5495" s="32"/>
    </row>
    <row r="5496" spans="1:8" x14ac:dyDescent="0.3">
      <c r="A5496" s="72">
        <v>0.18</v>
      </c>
      <c r="B5496" s="73">
        <f>H5491</f>
        <v>250540</v>
      </c>
      <c r="C5496" s="91">
        <f>H5492</f>
        <v>22548.6</v>
      </c>
      <c r="D5496" s="91">
        <f>H5492</f>
        <v>22548.6</v>
      </c>
      <c r="E5496" s="506">
        <v>45097</v>
      </c>
      <c r="F5496" s="507"/>
      <c r="G5496" s="74"/>
      <c r="H5496" s="75"/>
    </row>
    <row r="5497" spans="1:8" x14ac:dyDescent="0.3">
      <c r="A5497" s="508" t="s">
        <v>1044</v>
      </c>
      <c r="B5497" s="509"/>
      <c r="C5497" s="509"/>
      <c r="D5497" s="509"/>
      <c r="E5497" s="453"/>
      <c r="F5497" s="453"/>
      <c r="G5497" s="453"/>
      <c r="H5497" s="454"/>
    </row>
    <row r="5498" spans="1:8" ht="15.6" x14ac:dyDescent="0.3">
      <c r="A5498" s="455" t="s">
        <v>53</v>
      </c>
      <c r="B5498" s="456"/>
      <c r="C5498" s="456"/>
      <c r="D5498" s="457"/>
      <c r="E5498" s="458" t="s">
        <v>54</v>
      </c>
      <c r="F5498" s="459"/>
      <c r="G5498" s="459"/>
      <c r="H5498" s="460"/>
    </row>
    <row r="5499" spans="1:8" x14ac:dyDescent="0.3">
      <c r="A5499" s="461" t="s">
        <v>55</v>
      </c>
      <c r="B5499" s="462"/>
      <c r="C5499" s="462"/>
      <c r="D5499" s="463"/>
      <c r="E5499" s="39"/>
      <c r="F5499" s="28"/>
      <c r="G5499" s="28"/>
      <c r="H5499" s="32"/>
    </row>
    <row r="5500" spans="1:8" x14ac:dyDescent="0.3">
      <c r="A5500" s="461" t="s">
        <v>56</v>
      </c>
      <c r="B5500" s="462"/>
      <c r="C5500" s="462"/>
      <c r="D5500" s="463"/>
      <c r="E5500" s="39"/>
      <c r="F5500" s="28"/>
      <c r="G5500" s="28"/>
      <c r="H5500" s="32"/>
    </row>
    <row r="5501" spans="1:8" x14ac:dyDescent="0.3">
      <c r="A5501" s="461" t="s">
        <v>57</v>
      </c>
      <c r="B5501" s="462"/>
      <c r="C5501" s="462"/>
      <c r="D5501" s="463"/>
      <c r="E5501" s="39"/>
      <c r="F5501" s="28"/>
      <c r="G5501" s="28"/>
      <c r="H5501" s="32"/>
    </row>
    <row r="5502" spans="1:8" ht="15.6" x14ac:dyDescent="0.3">
      <c r="A5502" s="464" t="s">
        <v>58</v>
      </c>
      <c r="B5502" s="465"/>
      <c r="C5502" s="465"/>
      <c r="D5502" s="465"/>
      <c r="E5502" s="466" t="s">
        <v>59</v>
      </c>
      <c r="F5502" s="467"/>
      <c r="G5502" s="467"/>
      <c r="H5502" s="468"/>
    </row>
    <row r="5503" spans="1:8" ht="15.6" x14ac:dyDescent="0.3">
      <c r="A5503" s="104"/>
      <c r="B5503" s="104"/>
      <c r="C5503" s="104"/>
      <c r="D5503" s="104"/>
      <c r="E5503" s="105"/>
      <c r="F5503" s="105"/>
      <c r="G5503" s="105"/>
      <c r="H5503" s="105"/>
    </row>
    <row r="5504" spans="1:8" ht="15.6" x14ac:dyDescent="0.3">
      <c r="A5504" s="104"/>
      <c r="B5504" s="104"/>
      <c r="C5504" s="104"/>
      <c r="D5504" s="104"/>
      <c r="E5504" s="105"/>
      <c r="F5504" s="105"/>
      <c r="G5504" s="105"/>
      <c r="H5504" s="105"/>
    </row>
    <row r="5505" spans="1:9" ht="15.6" x14ac:dyDescent="0.3">
      <c r="A5505" s="104"/>
      <c r="B5505" s="104"/>
      <c r="C5505" s="104"/>
      <c r="D5505" s="104"/>
      <c r="E5505" s="105"/>
      <c r="F5505" s="105"/>
      <c r="G5505" s="105"/>
      <c r="H5505" s="105"/>
    </row>
    <row r="5510" spans="1:9" ht="44.4" x14ac:dyDescent="0.7">
      <c r="A5510" s="469" t="s">
        <v>0</v>
      </c>
      <c r="B5510" s="470"/>
      <c r="C5510" s="470"/>
      <c r="D5510" s="470"/>
      <c r="E5510" s="531" t="s">
        <v>1</v>
      </c>
      <c r="F5510" s="544"/>
      <c r="G5510" s="544"/>
      <c r="H5510" s="545"/>
    </row>
    <row r="5511" spans="1:9" ht="20.399999999999999" x14ac:dyDescent="0.35">
      <c r="A5511" s="1"/>
      <c r="B5511" s="476" t="s">
        <v>2</v>
      </c>
      <c r="C5511" s="476"/>
      <c r="D5511" s="476"/>
      <c r="E5511" s="546"/>
      <c r="F5511" s="546"/>
      <c r="G5511" s="546"/>
      <c r="H5511" s="547"/>
    </row>
    <row r="5512" spans="1:9" x14ac:dyDescent="0.3">
      <c r="A5512" s="477" t="s">
        <v>3</v>
      </c>
      <c r="B5512" s="478"/>
      <c r="C5512" s="479" t="s">
        <v>4</v>
      </c>
      <c r="D5512" s="479"/>
      <c r="E5512" s="654" t="s">
        <v>5</v>
      </c>
      <c r="F5512" s="654"/>
      <c r="G5512" s="654"/>
      <c r="H5512" s="654"/>
    </row>
    <row r="5513" spans="1:9" ht="15.6" x14ac:dyDescent="0.3">
      <c r="A5513" s="4" t="s">
        <v>6</v>
      </c>
      <c r="B5513" s="5"/>
      <c r="C5513" s="481" t="s">
        <v>7</v>
      </c>
      <c r="D5513" s="481"/>
      <c r="E5513" s="482">
        <v>120</v>
      </c>
      <c r="F5513" s="482"/>
      <c r="G5513" s="7" t="s">
        <v>8</v>
      </c>
      <c r="H5513" s="8">
        <v>45698</v>
      </c>
    </row>
    <row r="5514" spans="1:9" ht="15.6" x14ac:dyDescent="0.3">
      <c r="A5514" s="556" t="s">
        <v>79</v>
      </c>
      <c r="B5514" s="557"/>
      <c r="C5514" s="481" t="s">
        <v>10</v>
      </c>
      <c r="D5514" s="481"/>
      <c r="E5514" s="482"/>
      <c r="F5514" s="482"/>
      <c r="G5514" s="7" t="s">
        <v>8</v>
      </c>
      <c r="H5514" s="8"/>
    </row>
    <row r="5515" spans="1:9" ht="15.6" x14ac:dyDescent="0.3">
      <c r="A5515" s="556" t="s">
        <v>80</v>
      </c>
      <c r="B5515" s="557"/>
      <c r="C5515" s="481" t="s">
        <v>12</v>
      </c>
      <c r="D5515" s="481"/>
      <c r="E5515" s="482"/>
      <c r="F5515" s="482"/>
      <c r="G5515" s="7" t="s">
        <v>8</v>
      </c>
      <c r="H5515" s="6"/>
    </row>
    <row r="5516" spans="1:9" ht="15.6" x14ac:dyDescent="0.3">
      <c r="A5516" s="556" t="s">
        <v>81</v>
      </c>
      <c r="B5516" s="557"/>
      <c r="C5516" s="481" t="s">
        <v>15</v>
      </c>
      <c r="D5516" s="481"/>
      <c r="E5516" s="702" t="s">
        <v>82</v>
      </c>
      <c r="F5516" s="703"/>
      <c r="G5516" s="703"/>
      <c r="H5516" s="704"/>
    </row>
    <row r="5517" spans="1:9" ht="15.6" x14ac:dyDescent="0.3">
      <c r="A5517" s="558" t="s">
        <v>83</v>
      </c>
      <c r="B5517" s="559"/>
      <c r="C5517" s="569"/>
      <c r="D5517" s="570"/>
      <c r="E5517" s="570"/>
      <c r="F5517" s="570"/>
      <c r="G5517" s="570"/>
      <c r="H5517" s="571"/>
    </row>
    <row r="5518" spans="1:9" ht="15" x14ac:dyDescent="0.3">
      <c r="A5518" s="492" t="s">
        <v>17</v>
      </c>
      <c r="B5518" s="494" t="s">
        <v>18</v>
      </c>
      <c r="C5518" s="494" t="s">
        <v>19</v>
      </c>
      <c r="D5518" s="494" t="s">
        <v>20</v>
      </c>
      <c r="E5518" s="494" t="s">
        <v>21</v>
      </c>
      <c r="F5518" s="494" t="s">
        <v>22</v>
      </c>
      <c r="G5518" s="494"/>
      <c r="H5518" s="492" t="s">
        <v>23</v>
      </c>
    </row>
    <row r="5519" spans="1:9" ht="27.6" x14ac:dyDescent="0.3">
      <c r="A5519" s="492"/>
      <c r="B5519" s="494"/>
      <c r="C5519" s="494"/>
      <c r="D5519" s="494"/>
      <c r="E5519" s="494"/>
      <c r="F5519" s="53" t="s">
        <v>24</v>
      </c>
      <c r="G5519" s="53" t="s">
        <v>25</v>
      </c>
      <c r="H5519" s="492"/>
    </row>
    <row r="5520" spans="1:9" x14ac:dyDescent="0.3">
      <c r="A5520" s="55">
        <v>1</v>
      </c>
      <c r="B5520" s="60" t="s">
        <v>1045</v>
      </c>
      <c r="C5520" s="55">
        <v>1</v>
      </c>
      <c r="D5520" s="350">
        <v>85364900</v>
      </c>
      <c r="E5520" s="47">
        <v>13200</v>
      </c>
      <c r="F5520" s="93">
        <f t="shared" ref="F5520:F5526" si="82">E5520*C5520*9%</f>
        <v>1188</v>
      </c>
      <c r="G5520" s="93">
        <f>F5520</f>
        <v>1188</v>
      </c>
      <c r="H5520" s="62">
        <f>G5520+F5520+E5520*C5520</f>
        <v>15576</v>
      </c>
      <c r="I5520" s="362">
        <f>E5520*C5520</f>
        <v>13200</v>
      </c>
    </row>
    <row r="5521" spans="1:9" x14ac:dyDescent="0.3">
      <c r="A5521" s="55">
        <v>2</v>
      </c>
      <c r="B5521" s="94" t="s">
        <v>84</v>
      </c>
      <c r="C5521" s="55">
        <v>2</v>
      </c>
      <c r="D5521" s="351">
        <v>85369090</v>
      </c>
      <c r="E5521" s="47">
        <v>3626</v>
      </c>
      <c r="F5521" s="93">
        <f t="shared" si="82"/>
        <v>652.67999999999995</v>
      </c>
      <c r="G5521" s="93">
        <f t="shared" ref="G5521:G5526" si="83">F5521</f>
        <v>652.67999999999995</v>
      </c>
      <c r="H5521" s="62">
        <f t="shared" ref="H5521:H5526" si="84">G5521+F5521+E5521*C5521</f>
        <v>8557.36</v>
      </c>
      <c r="I5521" s="362">
        <f t="shared" ref="I5521:I5526" si="85">E5521*C5521</f>
        <v>7252</v>
      </c>
    </row>
    <row r="5522" spans="1:9" x14ac:dyDescent="0.3">
      <c r="A5522" s="55">
        <v>3</v>
      </c>
      <c r="B5522" s="94" t="s">
        <v>1050</v>
      </c>
      <c r="C5522" s="55">
        <v>3</v>
      </c>
      <c r="D5522" s="350">
        <v>8536</v>
      </c>
      <c r="E5522" s="47">
        <v>450</v>
      </c>
      <c r="F5522" s="93">
        <f t="shared" ref="F5522" si="86">E5522*C5522*9%</f>
        <v>121.5</v>
      </c>
      <c r="G5522" s="93">
        <f t="shared" ref="G5522" si="87">F5522</f>
        <v>121.5</v>
      </c>
      <c r="H5522" s="62">
        <f t="shared" ref="H5522" si="88">G5522+F5522+E5522*C5522</f>
        <v>1593</v>
      </c>
      <c r="I5522" s="362">
        <f t="shared" si="85"/>
        <v>1350</v>
      </c>
    </row>
    <row r="5523" spans="1:9" x14ac:dyDescent="0.3">
      <c r="A5523" s="55">
        <v>4</v>
      </c>
      <c r="B5523" s="94" t="s">
        <v>1046</v>
      </c>
      <c r="C5523" s="57">
        <v>25</v>
      </c>
      <c r="D5523" s="350">
        <v>85321000</v>
      </c>
      <c r="E5523" s="57">
        <v>280</v>
      </c>
      <c r="F5523" s="93">
        <f t="shared" si="82"/>
        <v>630</v>
      </c>
      <c r="G5523" s="93">
        <f t="shared" si="83"/>
        <v>630</v>
      </c>
      <c r="H5523" s="62">
        <f t="shared" si="84"/>
        <v>8260</v>
      </c>
      <c r="I5523" s="362">
        <f t="shared" si="85"/>
        <v>7000</v>
      </c>
    </row>
    <row r="5524" spans="1:9" x14ac:dyDescent="0.3">
      <c r="A5524" s="55">
        <v>5</v>
      </c>
      <c r="B5524" s="94" t="s">
        <v>1047</v>
      </c>
      <c r="C5524" s="55">
        <v>10</v>
      </c>
      <c r="D5524" s="350">
        <v>998719</v>
      </c>
      <c r="E5524" s="47">
        <v>184</v>
      </c>
      <c r="F5524" s="93">
        <f t="shared" si="82"/>
        <v>165.6</v>
      </c>
      <c r="G5524" s="93">
        <f t="shared" si="83"/>
        <v>165.6</v>
      </c>
      <c r="H5524" s="62">
        <f t="shared" si="84"/>
        <v>2171.1999999999998</v>
      </c>
      <c r="I5524" s="362">
        <f t="shared" si="85"/>
        <v>1840</v>
      </c>
    </row>
    <row r="5525" spans="1:9" x14ac:dyDescent="0.3">
      <c r="A5525" s="55">
        <v>6</v>
      </c>
      <c r="B5525" s="94" t="s">
        <v>1049</v>
      </c>
      <c r="C5525" s="55">
        <v>1</v>
      </c>
      <c r="D5525" s="350">
        <v>85364900</v>
      </c>
      <c r="E5525" s="47">
        <v>1500</v>
      </c>
      <c r="F5525" s="93">
        <f t="shared" si="82"/>
        <v>135</v>
      </c>
      <c r="G5525" s="93">
        <f t="shared" si="83"/>
        <v>135</v>
      </c>
      <c r="H5525" s="62">
        <f t="shared" si="84"/>
        <v>1770</v>
      </c>
      <c r="I5525" s="362">
        <f t="shared" si="85"/>
        <v>1500</v>
      </c>
    </row>
    <row r="5526" spans="1:9" x14ac:dyDescent="0.3">
      <c r="A5526" s="55">
        <v>7</v>
      </c>
      <c r="B5526" s="60" t="s">
        <v>1048</v>
      </c>
      <c r="C5526" s="57">
        <v>1</v>
      </c>
      <c r="D5526" s="85">
        <v>998719</v>
      </c>
      <c r="E5526" s="57">
        <v>2500</v>
      </c>
      <c r="F5526" s="58">
        <f t="shared" si="82"/>
        <v>225</v>
      </c>
      <c r="G5526" s="58">
        <f t="shared" si="83"/>
        <v>225</v>
      </c>
      <c r="H5526" s="59">
        <f t="shared" si="84"/>
        <v>2950</v>
      </c>
      <c r="I5526" s="362">
        <f t="shared" si="85"/>
        <v>2500</v>
      </c>
    </row>
    <row r="5527" spans="1:9" x14ac:dyDescent="0.3">
      <c r="A5527" s="55"/>
      <c r="B5527" s="94"/>
      <c r="C5527" s="55"/>
      <c r="D5527" s="47"/>
      <c r="E5527" s="47"/>
      <c r="F5527" s="93"/>
      <c r="G5527" s="93"/>
      <c r="H5527" s="62"/>
    </row>
    <row r="5528" spans="1:9" x14ac:dyDescent="0.3">
      <c r="A5528" s="27"/>
      <c r="B5528" s="28"/>
      <c r="C5528" s="24"/>
      <c r="D5528" s="25"/>
      <c r="E5528" s="25"/>
      <c r="F5528" s="28"/>
      <c r="G5528" s="28"/>
      <c r="H5528" s="32"/>
    </row>
    <row r="5529" spans="1:9" x14ac:dyDescent="0.3">
      <c r="A5529" s="27"/>
      <c r="B5529" s="28"/>
      <c r="C5529" s="24"/>
      <c r="D5529" s="25"/>
      <c r="E5529" s="25"/>
      <c r="F5529" s="28"/>
      <c r="G5529" s="28"/>
      <c r="H5529" s="32"/>
    </row>
    <row r="5530" spans="1:9" x14ac:dyDescent="0.3">
      <c r="A5530" s="27"/>
      <c r="B5530" s="28"/>
      <c r="C5530" s="24"/>
      <c r="D5530" s="25"/>
      <c r="E5530" s="25"/>
      <c r="F5530" s="28"/>
      <c r="G5530" s="28"/>
      <c r="H5530" s="32"/>
    </row>
    <row r="5531" spans="1:9" x14ac:dyDescent="0.3">
      <c r="A5531" s="27"/>
      <c r="B5531" s="28"/>
      <c r="C5531" s="24"/>
      <c r="D5531" s="25"/>
      <c r="E5531" s="25"/>
      <c r="F5531" s="28"/>
      <c r="G5531" s="28"/>
      <c r="H5531" s="32"/>
    </row>
    <row r="5532" spans="1:9" x14ac:dyDescent="0.3">
      <c r="A5532" s="27"/>
      <c r="B5532" s="28"/>
      <c r="C5532" s="24"/>
      <c r="D5532" s="25"/>
      <c r="E5532" s="25"/>
      <c r="F5532" s="28"/>
      <c r="G5532" s="28"/>
      <c r="H5532" s="32"/>
    </row>
    <row r="5533" spans="1:9" x14ac:dyDescent="0.3">
      <c r="A5533" s="27"/>
      <c r="B5533" s="28"/>
      <c r="C5533" s="24"/>
      <c r="D5533" s="25"/>
      <c r="E5533" s="25"/>
      <c r="F5533" s="28"/>
      <c r="G5533" s="28"/>
      <c r="H5533" s="32"/>
    </row>
    <row r="5534" spans="1:9" x14ac:dyDescent="0.3">
      <c r="A5534" s="27"/>
      <c r="B5534" s="28"/>
      <c r="C5534" s="24"/>
      <c r="D5534" s="25"/>
      <c r="E5534" s="25"/>
      <c r="F5534" s="28"/>
      <c r="G5534" s="28"/>
      <c r="H5534" s="32"/>
    </row>
    <row r="5535" spans="1:9" x14ac:dyDescent="0.3">
      <c r="A5535" s="27"/>
      <c r="B5535" s="28"/>
      <c r="C5535" s="24"/>
      <c r="D5535" s="25"/>
      <c r="E5535" s="25"/>
      <c r="F5535" s="28"/>
      <c r="G5535" s="28"/>
      <c r="H5535" s="32"/>
    </row>
    <row r="5536" spans="1:9" x14ac:dyDescent="0.3">
      <c r="A5536" s="27"/>
      <c r="B5536" s="28"/>
      <c r="C5536" s="24"/>
      <c r="D5536" s="25"/>
      <c r="E5536" s="25"/>
      <c r="F5536" s="28"/>
      <c r="G5536" s="28"/>
      <c r="H5536" s="32"/>
    </row>
    <row r="5537" spans="1:8" x14ac:dyDescent="0.3">
      <c r="A5537" s="27"/>
      <c r="B5537" s="28"/>
      <c r="C5537" s="24"/>
      <c r="D5537" s="25"/>
      <c r="E5537" s="25"/>
      <c r="F5537" s="28"/>
      <c r="G5537" s="28"/>
      <c r="H5537" s="32"/>
    </row>
    <row r="5538" spans="1:8" x14ac:dyDescent="0.3">
      <c r="A5538" s="27"/>
      <c r="B5538" s="28"/>
      <c r="C5538" s="24"/>
      <c r="D5538" s="25"/>
      <c r="E5538" s="25"/>
      <c r="F5538" s="28"/>
      <c r="G5538" s="28"/>
      <c r="H5538" s="32"/>
    </row>
    <row r="5539" spans="1:8" x14ac:dyDescent="0.3">
      <c r="A5539" s="27"/>
      <c r="B5539" s="28"/>
      <c r="C5539" s="24"/>
      <c r="D5539" s="25"/>
      <c r="E5539" s="25"/>
      <c r="F5539" s="28"/>
      <c r="G5539" s="28"/>
      <c r="H5539" s="32"/>
    </row>
    <row r="5540" spans="1:8" x14ac:dyDescent="0.3">
      <c r="A5540" s="27"/>
      <c r="B5540" s="28"/>
      <c r="C5540" s="24"/>
      <c r="D5540" s="25"/>
      <c r="E5540" s="25"/>
      <c r="F5540" s="28"/>
      <c r="G5540" s="28"/>
      <c r="H5540" s="32"/>
    </row>
    <row r="5541" spans="1:8" x14ac:dyDescent="0.3">
      <c r="A5541" s="27"/>
      <c r="B5541" s="28"/>
      <c r="C5541" s="24"/>
      <c r="D5541" s="25"/>
      <c r="E5541" s="25"/>
      <c r="F5541" s="28"/>
      <c r="G5541" s="28"/>
      <c r="H5541" s="32"/>
    </row>
    <row r="5542" spans="1:8" x14ac:dyDescent="0.3">
      <c r="A5542" s="27"/>
      <c r="B5542" s="28"/>
      <c r="C5542" s="24"/>
      <c r="D5542" s="25"/>
      <c r="E5542" s="25"/>
      <c r="F5542" s="28"/>
      <c r="G5542" s="28"/>
      <c r="H5542" s="32"/>
    </row>
    <row r="5543" spans="1:8" x14ac:dyDescent="0.3">
      <c r="A5543" s="27"/>
      <c r="B5543" s="28"/>
      <c r="C5543" s="24"/>
      <c r="D5543" s="25"/>
      <c r="E5543" s="25"/>
      <c r="F5543" s="28"/>
      <c r="G5543" s="28"/>
      <c r="H5543" s="32"/>
    </row>
    <row r="5544" spans="1:8" ht="15.6" x14ac:dyDescent="0.3">
      <c r="A5544" s="448" t="s">
        <v>45</v>
      </c>
      <c r="B5544" s="449"/>
      <c r="C5544" s="449"/>
      <c r="D5544" s="25"/>
      <c r="E5544" s="25"/>
      <c r="F5544" s="447" t="s">
        <v>46</v>
      </c>
      <c r="G5544" s="447"/>
      <c r="H5544" s="66">
        <v>34642</v>
      </c>
    </row>
    <row r="5545" spans="1:8" ht="15.6" x14ac:dyDescent="0.3">
      <c r="A5545" s="497" t="s">
        <v>1051</v>
      </c>
      <c r="B5545" s="498"/>
      <c r="C5545" s="498"/>
      <c r="D5545" s="498"/>
      <c r="E5545" s="498"/>
      <c r="F5545" s="447" t="s">
        <v>47</v>
      </c>
      <c r="G5545" s="447"/>
      <c r="H5545" s="66">
        <f>H5544*9%</f>
        <v>3117.7799999999997</v>
      </c>
    </row>
    <row r="5546" spans="1:8" ht="15.6" x14ac:dyDescent="0.3">
      <c r="A5546" s="27"/>
      <c r="B5546" s="28"/>
      <c r="C5546" s="24"/>
      <c r="D5546" s="25"/>
      <c r="E5546" s="25"/>
      <c r="F5546" s="447" t="s">
        <v>48</v>
      </c>
      <c r="G5546" s="447"/>
      <c r="H5546" s="66">
        <f>H5544*9%</f>
        <v>3117.7799999999997</v>
      </c>
    </row>
    <row r="5547" spans="1:8" ht="15.6" x14ac:dyDescent="0.3">
      <c r="A5547" s="448" t="s">
        <v>49</v>
      </c>
      <c r="B5547" s="449"/>
      <c r="C5547" s="449"/>
      <c r="D5547" s="449"/>
      <c r="E5547" s="25"/>
      <c r="F5547" s="447" t="s">
        <v>50</v>
      </c>
      <c r="G5547" s="447"/>
      <c r="H5547" s="66">
        <v>40878</v>
      </c>
    </row>
    <row r="5548" spans="1:8" ht="27" x14ac:dyDescent="0.3">
      <c r="A5548" s="68" t="s">
        <v>22</v>
      </c>
      <c r="B5548" s="69" t="s">
        <v>51</v>
      </c>
      <c r="C5548" s="70" t="s">
        <v>24</v>
      </c>
      <c r="D5548" s="31" t="s">
        <v>25</v>
      </c>
      <c r="E5548" s="450" t="s">
        <v>52</v>
      </c>
      <c r="F5548" s="450"/>
      <c r="G5548" s="28"/>
      <c r="H5548" s="32"/>
    </row>
    <row r="5549" spans="1:8" x14ac:dyDescent="0.3">
      <c r="A5549" s="72">
        <v>0.18</v>
      </c>
      <c r="B5549" s="73">
        <f>H5544</f>
        <v>34642</v>
      </c>
      <c r="C5549" s="74">
        <f>H5545</f>
        <v>3117.7799999999997</v>
      </c>
      <c r="D5549" s="74">
        <f>H5546</f>
        <v>3117.7799999999997</v>
      </c>
      <c r="E5549" s="507">
        <f>C5549+D5549</f>
        <v>6235.5599999999995</v>
      </c>
      <c r="F5549" s="507"/>
      <c r="G5549" s="74"/>
      <c r="H5549" s="75"/>
    </row>
    <row r="5550" spans="1:8" x14ac:dyDescent="0.3">
      <c r="A5550" s="452" t="s">
        <v>1052</v>
      </c>
      <c r="B5550" s="453"/>
      <c r="C5550" s="453"/>
      <c r="D5550" s="453"/>
      <c r="E5550" s="453"/>
      <c r="F5550" s="453"/>
      <c r="G5550" s="453"/>
      <c r="H5550" s="454"/>
    </row>
    <row r="5551" spans="1:8" ht="15.6" x14ac:dyDescent="0.3">
      <c r="A5551" s="455" t="s">
        <v>53</v>
      </c>
      <c r="B5551" s="456"/>
      <c r="C5551" s="456"/>
      <c r="D5551" s="457"/>
      <c r="E5551" s="458" t="s">
        <v>54</v>
      </c>
      <c r="F5551" s="459"/>
      <c r="G5551" s="459"/>
      <c r="H5551" s="460"/>
    </row>
    <row r="5552" spans="1:8" x14ac:dyDescent="0.3">
      <c r="A5552" s="461" t="s">
        <v>55</v>
      </c>
      <c r="B5552" s="462"/>
      <c r="C5552" s="462"/>
      <c r="D5552" s="463"/>
      <c r="E5552" s="39"/>
      <c r="F5552" s="28"/>
      <c r="G5552" s="28"/>
      <c r="H5552" s="32"/>
    </row>
    <row r="5553" spans="1:9" x14ac:dyDescent="0.3">
      <c r="A5553" s="461" t="s">
        <v>56</v>
      </c>
      <c r="B5553" s="462"/>
      <c r="C5553" s="462"/>
      <c r="D5553" s="463"/>
      <c r="E5553" s="39"/>
      <c r="F5553" s="28"/>
      <c r="G5553" s="28"/>
      <c r="H5553" s="32"/>
    </row>
    <row r="5554" spans="1:9" ht="15.6" x14ac:dyDescent="0.3">
      <c r="A5554" s="461" t="s">
        <v>57</v>
      </c>
      <c r="B5554" s="462"/>
      <c r="C5554" s="462"/>
      <c r="D5554" s="463"/>
      <c r="E5554" s="572"/>
      <c r="F5554" s="573"/>
      <c r="G5554" s="573"/>
      <c r="H5554" s="574"/>
    </row>
    <row r="5555" spans="1:9" ht="15.6" x14ac:dyDescent="0.3">
      <c r="A5555" s="464" t="s">
        <v>58</v>
      </c>
      <c r="B5555" s="465"/>
      <c r="C5555" s="465"/>
      <c r="D5555" s="510"/>
      <c r="E5555" s="466" t="s">
        <v>59</v>
      </c>
      <c r="F5555" s="467"/>
      <c r="G5555" s="467"/>
      <c r="H5555" s="468"/>
    </row>
    <row r="5558" spans="1:9" ht="44.4" x14ac:dyDescent="0.7">
      <c r="A5558" s="469" t="s">
        <v>0</v>
      </c>
      <c r="B5558" s="470"/>
      <c r="C5558" s="470"/>
      <c r="D5558" s="470"/>
      <c r="E5558" s="531" t="s">
        <v>1</v>
      </c>
      <c r="F5558" s="544"/>
      <c r="G5558" s="544"/>
      <c r="H5558" s="545"/>
    </row>
    <row r="5559" spans="1:9" ht="20.399999999999999" x14ac:dyDescent="0.35">
      <c r="A5559" s="1"/>
      <c r="B5559" s="476" t="s">
        <v>2</v>
      </c>
      <c r="C5559" s="476"/>
      <c r="D5559" s="476"/>
      <c r="E5559" s="546"/>
      <c r="F5559" s="546"/>
      <c r="G5559" s="546"/>
      <c r="H5559" s="547"/>
    </row>
    <row r="5560" spans="1:9" x14ac:dyDescent="0.3">
      <c r="A5560" s="477" t="s">
        <v>3</v>
      </c>
      <c r="B5560" s="478"/>
      <c r="C5560" s="479" t="s">
        <v>4</v>
      </c>
      <c r="D5560" s="479"/>
      <c r="E5560" s="654" t="s">
        <v>5</v>
      </c>
      <c r="F5560" s="654"/>
      <c r="G5560" s="654"/>
      <c r="H5560" s="654"/>
    </row>
    <row r="5561" spans="1:9" ht="15.6" x14ac:dyDescent="0.3">
      <c r="A5561" s="4" t="s">
        <v>6</v>
      </c>
      <c r="B5561" s="5"/>
      <c r="C5561" s="481" t="s">
        <v>7</v>
      </c>
      <c r="D5561" s="481"/>
      <c r="E5561" s="482">
        <v>121</v>
      </c>
      <c r="F5561" s="482"/>
      <c r="G5561" s="7" t="s">
        <v>8</v>
      </c>
      <c r="H5561" s="250">
        <v>45726</v>
      </c>
    </row>
    <row r="5562" spans="1:9" ht="15.6" x14ac:dyDescent="0.3">
      <c r="A5562" s="551" t="s">
        <v>458</v>
      </c>
      <c r="B5562" s="552"/>
      <c r="C5562" s="481" t="s">
        <v>10</v>
      </c>
      <c r="D5562" s="481"/>
      <c r="E5562" s="482" t="s">
        <v>1062</v>
      </c>
      <c r="F5562" s="482"/>
      <c r="G5562" s="7" t="s">
        <v>8</v>
      </c>
      <c r="H5562" s="250">
        <v>45877</v>
      </c>
    </row>
    <row r="5563" spans="1:9" ht="27" customHeight="1" x14ac:dyDescent="0.3">
      <c r="A5563" s="560" t="s">
        <v>459</v>
      </c>
      <c r="B5563" s="561"/>
      <c r="C5563" s="483" t="s">
        <v>12</v>
      </c>
      <c r="D5563" s="484"/>
      <c r="E5563" s="652" t="s">
        <v>466</v>
      </c>
      <c r="F5563" s="653"/>
      <c r="G5563" s="10" t="s">
        <v>8</v>
      </c>
      <c r="H5563" s="252" t="s">
        <v>465</v>
      </c>
    </row>
    <row r="5564" spans="1:9" ht="15.6" x14ac:dyDescent="0.3">
      <c r="A5564" s="253" t="s">
        <v>460</v>
      </c>
      <c r="B5564" s="254"/>
      <c r="C5564" s="481" t="s">
        <v>15</v>
      </c>
      <c r="D5564" s="481"/>
      <c r="E5564" s="489" t="s">
        <v>461</v>
      </c>
      <c r="F5564" s="490"/>
      <c r="G5564" s="490"/>
      <c r="H5564" s="491"/>
    </row>
    <row r="5565" spans="1:9" ht="15.6" x14ac:dyDescent="0.3">
      <c r="A5565" s="255" t="s">
        <v>1053</v>
      </c>
      <c r="B5565" s="256"/>
      <c r="C5565" s="489"/>
      <c r="D5565" s="490"/>
      <c r="E5565" s="490"/>
      <c r="F5565" s="490"/>
      <c r="G5565" s="490"/>
      <c r="H5565" s="491"/>
    </row>
    <row r="5566" spans="1:9" ht="15" x14ac:dyDescent="0.3">
      <c r="A5566" s="492" t="s">
        <v>17</v>
      </c>
      <c r="B5566" s="494" t="s">
        <v>18</v>
      </c>
      <c r="C5566" s="494" t="s">
        <v>19</v>
      </c>
      <c r="D5566" s="495" t="s">
        <v>20</v>
      </c>
      <c r="E5566" s="494" t="s">
        <v>21</v>
      </c>
      <c r="F5566" s="494" t="s">
        <v>22</v>
      </c>
      <c r="G5566" s="494"/>
      <c r="H5566" s="492" t="s">
        <v>23</v>
      </c>
    </row>
    <row r="5567" spans="1:9" ht="27.6" x14ac:dyDescent="0.3">
      <c r="A5567" s="492"/>
      <c r="B5567" s="494"/>
      <c r="C5567" s="494"/>
      <c r="D5567" s="505"/>
      <c r="E5567" s="494"/>
      <c r="F5567" s="53" t="s">
        <v>24</v>
      </c>
      <c r="G5567" s="53" t="s">
        <v>25</v>
      </c>
      <c r="H5567" s="492"/>
    </row>
    <row r="5568" spans="1:9" ht="15" x14ac:dyDescent="0.3">
      <c r="A5568" s="353">
        <v>1</v>
      </c>
      <c r="B5568" s="84" t="s">
        <v>1054</v>
      </c>
      <c r="C5568" s="352">
        <v>10</v>
      </c>
      <c r="D5568" s="86">
        <v>998719</v>
      </c>
      <c r="E5568" s="352">
        <v>2500</v>
      </c>
      <c r="F5568" s="55">
        <f t="shared" ref="F5568" si="89">E5568*C5568*9%</f>
        <v>2250</v>
      </c>
      <c r="G5568" s="55">
        <f t="shared" ref="G5568" si="90">F5568</f>
        <v>2250</v>
      </c>
      <c r="H5568" s="55">
        <f t="shared" ref="H5568" si="91">G5568+F5568+E5568*C5568</f>
        <v>29500</v>
      </c>
      <c r="I5568" s="362">
        <f t="shared" ref="I5568" si="92">E5568*C5568</f>
        <v>25000</v>
      </c>
    </row>
    <row r="5569" spans="1:9" x14ac:dyDescent="0.3">
      <c r="A5569" s="55">
        <v>2</v>
      </c>
      <c r="B5569" s="84" t="s">
        <v>1055</v>
      </c>
      <c r="C5569" s="55">
        <v>7</v>
      </c>
      <c r="D5569" s="86">
        <v>998719</v>
      </c>
      <c r="E5569" s="55">
        <v>2500</v>
      </c>
      <c r="F5569" s="55">
        <f t="shared" ref="F5569:F5579" si="93">E5569*C5569*9%</f>
        <v>1575</v>
      </c>
      <c r="G5569" s="55">
        <f t="shared" ref="G5569:G5579" si="94">F5569</f>
        <v>1575</v>
      </c>
      <c r="H5569" s="55">
        <f t="shared" ref="H5569:H5579" si="95">G5569+F5569+E5569*C5569</f>
        <v>20650</v>
      </c>
      <c r="I5569" s="362">
        <f t="shared" ref="I5569:I5579" si="96">E5569*C5569</f>
        <v>17500</v>
      </c>
    </row>
    <row r="5570" spans="1:9" x14ac:dyDescent="0.3">
      <c r="A5570" s="55">
        <v>3</v>
      </c>
      <c r="B5570" s="84" t="s">
        <v>1056</v>
      </c>
      <c r="C5570" s="55">
        <v>2</v>
      </c>
      <c r="D5570" s="86">
        <v>998719</v>
      </c>
      <c r="E5570" s="55">
        <v>2500</v>
      </c>
      <c r="F5570" s="55">
        <f t="shared" ref="F5570" si="97">E5570*C5570*9%</f>
        <v>450</v>
      </c>
      <c r="G5570" s="55">
        <f t="shared" ref="G5570" si="98">F5570</f>
        <v>450</v>
      </c>
      <c r="H5570" s="55">
        <f t="shared" ref="H5570" si="99">G5570+F5570+E5570*C5570</f>
        <v>5900</v>
      </c>
      <c r="I5570" s="362">
        <f t="shared" ref="I5570" si="100">E5570*C5570</f>
        <v>5000</v>
      </c>
    </row>
    <row r="5571" spans="1:9" ht="15" x14ac:dyDescent="0.3">
      <c r="A5571" s="353">
        <v>4</v>
      </c>
      <c r="B5571" s="84" t="s">
        <v>1057</v>
      </c>
      <c r="C5571" s="55">
        <v>4</v>
      </c>
      <c r="D5571" s="86">
        <v>998719</v>
      </c>
      <c r="E5571" s="55">
        <v>2500</v>
      </c>
      <c r="F5571" s="55">
        <f t="shared" ref="F5571:F5572" si="101">E5571*C5571*9%</f>
        <v>900</v>
      </c>
      <c r="G5571" s="55">
        <f t="shared" ref="G5571:G5572" si="102">F5571</f>
        <v>900</v>
      </c>
      <c r="H5571" s="55">
        <f t="shared" ref="H5571:H5572" si="103">G5571+F5571+E5571*C5571</f>
        <v>11800</v>
      </c>
      <c r="I5571" s="362">
        <f t="shared" ref="I5571:I5572" si="104">E5571*C5571</f>
        <v>10000</v>
      </c>
    </row>
    <row r="5572" spans="1:9" x14ac:dyDescent="0.3">
      <c r="A5572" s="55">
        <v>5</v>
      </c>
      <c r="B5572" s="84" t="s">
        <v>689</v>
      </c>
      <c r="C5572" s="55">
        <v>5</v>
      </c>
      <c r="D5572" s="86">
        <v>998719</v>
      </c>
      <c r="E5572" s="55">
        <v>3000</v>
      </c>
      <c r="F5572" s="55">
        <f t="shared" si="101"/>
        <v>1350</v>
      </c>
      <c r="G5572" s="55">
        <f t="shared" si="102"/>
        <v>1350</v>
      </c>
      <c r="H5572" s="55">
        <f t="shared" si="103"/>
        <v>17700</v>
      </c>
      <c r="I5572" s="362">
        <f t="shared" si="104"/>
        <v>15000</v>
      </c>
    </row>
    <row r="5573" spans="1:9" x14ac:dyDescent="0.3">
      <c r="A5573" s="55">
        <v>6</v>
      </c>
      <c r="B5573" s="84" t="s">
        <v>690</v>
      </c>
      <c r="C5573" s="55">
        <v>2</v>
      </c>
      <c r="D5573" s="86">
        <v>998719</v>
      </c>
      <c r="E5573" s="55">
        <v>3000</v>
      </c>
      <c r="F5573" s="55">
        <f t="shared" si="93"/>
        <v>540</v>
      </c>
      <c r="G5573" s="55">
        <f t="shared" si="94"/>
        <v>540</v>
      </c>
      <c r="H5573" s="55">
        <f t="shared" si="95"/>
        <v>7080</v>
      </c>
      <c r="I5573" s="362">
        <f t="shared" si="96"/>
        <v>6000</v>
      </c>
    </row>
    <row r="5574" spans="1:9" ht="15" x14ac:dyDescent="0.3">
      <c r="A5574" s="353">
        <v>7</v>
      </c>
      <c r="B5574" s="84" t="s">
        <v>691</v>
      </c>
      <c r="C5574" s="55">
        <v>8</v>
      </c>
      <c r="D5574" s="86">
        <v>998719</v>
      </c>
      <c r="E5574" s="55">
        <v>3000</v>
      </c>
      <c r="F5574" s="55">
        <f t="shared" si="93"/>
        <v>2160</v>
      </c>
      <c r="G5574" s="55">
        <f t="shared" si="94"/>
        <v>2160</v>
      </c>
      <c r="H5574" s="55">
        <f t="shared" si="95"/>
        <v>28320</v>
      </c>
      <c r="I5574" s="362">
        <f t="shared" si="96"/>
        <v>24000</v>
      </c>
    </row>
    <row r="5575" spans="1:9" x14ac:dyDescent="0.3">
      <c r="A5575" s="55">
        <v>8</v>
      </c>
      <c r="B5575" s="84" t="s">
        <v>1058</v>
      </c>
      <c r="C5575" s="55">
        <v>3</v>
      </c>
      <c r="D5575" s="86">
        <v>998719</v>
      </c>
      <c r="E5575" s="55">
        <v>4000</v>
      </c>
      <c r="F5575" s="55">
        <f t="shared" si="93"/>
        <v>1080</v>
      </c>
      <c r="G5575" s="55">
        <f t="shared" si="94"/>
        <v>1080</v>
      </c>
      <c r="H5575" s="55">
        <f t="shared" si="95"/>
        <v>14160</v>
      </c>
      <c r="I5575" s="362">
        <f t="shared" si="96"/>
        <v>12000</v>
      </c>
    </row>
    <row r="5576" spans="1:9" x14ac:dyDescent="0.3">
      <c r="A5576" s="55">
        <v>9</v>
      </c>
      <c r="B5576" s="84" t="s">
        <v>692</v>
      </c>
      <c r="C5576" s="20">
        <v>7</v>
      </c>
      <c r="D5576" s="86">
        <v>998719</v>
      </c>
      <c r="E5576" s="55">
        <v>4300</v>
      </c>
      <c r="F5576" s="55">
        <f t="shared" si="93"/>
        <v>2709</v>
      </c>
      <c r="G5576" s="55">
        <f t="shared" si="94"/>
        <v>2709</v>
      </c>
      <c r="H5576" s="55">
        <f t="shared" si="95"/>
        <v>35518</v>
      </c>
      <c r="I5576" s="362">
        <f t="shared" si="96"/>
        <v>30100</v>
      </c>
    </row>
    <row r="5577" spans="1:9" ht="15" x14ac:dyDescent="0.3">
      <c r="A5577" s="353">
        <v>10</v>
      </c>
      <c r="B5577" s="257" t="s">
        <v>1059</v>
      </c>
      <c r="C5577" s="20">
        <v>140</v>
      </c>
      <c r="D5577" s="86">
        <v>998719</v>
      </c>
      <c r="E5577" s="55">
        <v>750</v>
      </c>
      <c r="F5577" s="55">
        <f t="shared" si="93"/>
        <v>9450</v>
      </c>
      <c r="G5577" s="55">
        <f t="shared" si="94"/>
        <v>9450</v>
      </c>
      <c r="H5577" s="55">
        <f t="shared" si="95"/>
        <v>123900</v>
      </c>
      <c r="I5577" s="362">
        <f t="shared" si="96"/>
        <v>105000</v>
      </c>
    </row>
    <row r="5578" spans="1:9" x14ac:dyDescent="0.3">
      <c r="A5578" s="55">
        <v>11</v>
      </c>
      <c r="B5578" s="257" t="s">
        <v>1060</v>
      </c>
      <c r="C5578" s="20">
        <v>2</v>
      </c>
      <c r="D5578" s="86">
        <v>998719</v>
      </c>
      <c r="E5578" s="55">
        <v>4500</v>
      </c>
      <c r="F5578" s="55">
        <f t="shared" si="93"/>
        <v>810</v>
      </c>
      <c r="G5578" s="55">
        <f t="shared" si="94"/>
        <v>810</v>
      </c>
      <c r="H5578" s="55">
        <f t="shared" si="95"/>
        <v>10620</v>
      </c>
      <c r="I5578" s="362">
        <f t="shared" si="96"/>
        <v>9000</v>
      </c>
    </row>
    <row r="5579" spans="1:9" x14ac:dyDescent="0.3">
      <c r="A5579" s="55">
        <v>12</v>
      </c>
      <c r="B5579" s="257" t="s">
        <v>1061</v>
      </c>
      <c r="C5579" s="20">
        <v>2</v>
      </c>
      <c r="D5579" s="86">
        <v>998719</v>
      </c>
      <c r="E5579" s="55">
        <v>6000</v>
      </c>
      <c r="F5579" s="55">
        <f t="shared" si="93"/>
        <v>1080</v>
      </c>
      <c r="G5579" s="55">
        <f t="shared" si="94"/>
        <v>1080</v>
      </c>
      <c r="H5579" s="55">
        <f t="shared" si="95"/>
        <v>14160</v>
      </c>
      <c r="I5579" s="362">
        <f t="shared" si="96"/>
        <v>12000</v>
      </c>
    </row>
    <row r="5580" spans="1:9" x14ac:dyDescent="0.3">
      <c r="A5580" s="55"/>
      <c r="B5580" s="257"/>
      <c r="C5580" s="20"/>
      <c r="D5580" s="86"/>
      <c r="E5580" s="55"/>
      <c r="F5580" s="55"/>
      <c r="G5580" s="55"/>
      <c r="H5580" s="55"/>
    </row>
    <row r="5581" spans="1:9" x14ac:dyDescent="0.3">
      <c r="A5581" s="55"/>
      <c r="B5581" s="257"/>
      <c r="C5581" s="20"/>
      <c r="D5581" s="86"/>
      <c r="E5581" s="55"/>
      <c r="F5581" s="55"/>
      <c r="G5581" s="55"/>
      <c r="H5581" s="55"/>
    </row>
    <row r="5582" spans="1:9" x14ac:dyDescent="0.3">
      <c r="A5582" s="55"/>
      <c r="B5582" s="257"/>
      <c r="C5582" s="20"/>
      <c r="D5582" s="86"/>
      <c r="E5582" s="55"/>
      <c r="F5582" s="55"/>
      <c r="G5582" s="55"/>
      <c r="H5582" s="55"/>
    </row>
    <row r="5583" spans="1:9" x14ac:dyDescent="0.3">
      <c r="A5583" s="55"/>
      <c r="B5583" s="257"/>
      <c r="C5583" s="20"/>
      <c r="D5583" s="86"/>
      <c r="E5583" s="55"/>
      <c r="F5583" s="55"/>
      <c r="G5583" s="55"/>
      <c r="H5583" s="55"/>
    </row>
    <row r="5584" spans="1:9" x14ac:dyDescent="0.3">
      <c r="A5584" s="163"/>
      <c r="B5584" s="163"/>
      <c r="C5584" s="163"/>
      <c r="D5584" s="163"/>
      <c r="E5584" s="163"/>
      <c r="F5584" s="163"/>
      <c r="G5584" s="163"/>
      <c r="H5584" s="163"/>
    </row>
    <row r="5585" spans="1:8" x14ac:dyDescent="0.3">
      <c r="A5585" s="55"/>
      <c r="B5585" s="257"/>
      <c r="C5585" s="55"/>
      <c r="D5585" s="55"/>
      <c r="E5585" s="55"/>
      <c r="F5585" s="55"/>
      <c r="G5585" s="55"/>
      <c r="H5585" s="55"/>
    </row>
    <row r="5586" spans="1:8" x14ac:dyDescent="0.3">
      <c r="A5586" s="57"/>
      <c r="B5586" s="84"/>
      <c r="C5586" s="85"/>
      <c r="D5586" s="86"/>
      <c r="E5586" s="87"/>
      <c r="F5586" s="47"/>
      <c r="G5586" s="47"/>
      <c r="H5586" s="47"/>
    </row>
    <row r="5587" spans="1:8" x14ac:dyDescent="0.3">
      <c r="A5587" s="57"/>
      <c r="B5587" s="84"/>
      <c r="C5587" s="85"/>
      <c r="D5587" s="86"/>
      <c r="E5587" s="47"/>
      <c r="F5587" s="47"/>
      <c r="G5587" s="47"/>
      <c r="H5587" s="47"/>
    </row>
    <row r="5588" spans="1:8" x14ac:dyDescent="0.3">
      <c r="A5588" s="55"/>
      <c r="B5588" s="84"/>
      <c r="C5588" s="55"/>
      <c r="D5588" s="86"/>
      <c r="E5588" s="47"/>
      <c r="F5588" s="47"/>
      <c r="G5588" s="47"/>
      <c r="H5588" s="47"/>
    </row>
    <row r="5589" spans="1:8" x14ac:dyDescent="0.3">
      <c r="A5589" s="27"/>
      <c r="B5589" s="28"/>
      <c r="C5589" s="24"/>
      <c r="D5589" s="25"/>
      <c r="E5589" s="25"/>
      <c r="F5589" s="28"/>
      <c r="G5589" s="28"/>
      <c r="H5589" s="32"/>
    </row>
    <row r="5590" spans="1:8" ht="15.6" x14ac:dyDescent="0.3">
      <c r="A5590" s="448" t="s">
        <v>45</v>
      </c>
      <c r="B5590" s="449"/>
      <c r="C5590" s="24"/>
      <c r="D5590" s="25"/>
      <c r="E5590" s="25"/>
      <c r="F5590" s="447" t="s">
        <v>46</v>
      </c>
      <c r="G5590" s="447"/>
      <c r="H5590" s="66">
        <v>270600</v>
      </c>
    </row>
    <row r="5591" spans="1:8" ht="15.6" x14ac:dyDescent="0.3">
      <c r="A5591" s="497" t="s">
        <v>1063</v>
      </c>
      <c r="B5591" s="498"/>
      <c r="C5591" s="498"/>
      <c r="D5591" s="498"/>
      <c r="E5591" s="498"/>
      <c r="F5591" s="447" t="s">
        <v>47</v>
      </c>
      <c r="G5591" s="447"/>
      <c r="H5591" s="66">
        <f>H5590*9%</f>
        <v>24354</v>
      </c>
    </row>
    <row r="5592" spans="1:8" ht="15.6" x14ac:dyDescent="0.3">
      <c r="A5592" s="27"/>
      <c r="B5592" s="28" t="s">
        <v>687</v>
      </c>
      <c r="C5592" s="24"/>
      <c r="D5592" s="25"/>
      <c r="E5592" s="25"/>
      <c r="F5592" s="447" t="s">
        <v>48</v>
      </c>
      <c r="G5592" s="447"/>
      <c r="H5592" s="66">
        <f>H5591</f>
        <v>24354</v>
      </c>
    </row>
    <row r="5593" spans="1:8" ht="15.6" x14ac:dyDescent="0.3">
      <c r="A5593" s="64" t="s">
        <v>49</v>
      </c>
      <c r="B5593" s="65"/>
      <c r="C5593" s="24"/>
      <c r="D5593" s="25"/>
      <c r="E5593" s="25"/>
      <c r="F5593" s="447" t="s">
        <v>50</v>
      </c>
      <c r="G5593" s="447"/>
      <c r="H5593" s="66">
        <f>H5590+H5591+H5592</f>
        <v>319308</v>
      </c>
    </row>
    <row r="5594" spans="1:8" ht="27" x14ac:dyDescent="0.3">
      <c r="A5594" s="68" t="s">
        <v>22</v>
      </c>
      <c r="B5594" s="30" t="s">
        <v>51</v>
      </c>
      <c r="C5594" s="70" t="s">
        <v>24</v>
      </c>
      <c r="D5594" s="31" t="s">
        <v>25</v>
      </c>
      <c r="E5594" s="450" t="s">
        <v>52</v>
      </c>
      <c r="F5594" s="450"/>
      <c r="G5594" s="28"/>
      <c r="H5594" s="32"/>
    </row>
    <row r="5595" spans="1:8" x14ac:dyDescent="0.3">
      <c r="A5595" s="72">
        <v>0.18</v>
      </c>
      <c r="B5595" s="73">
        <f>H5590</f>
        <v>270600</v>
      </c>
      <c r="C5595" s="91">
        <f>H5591</f>
        <v>24354</v>
      </c>
      <c r="D5595" s="91">
        <f>H5591</f>
        <v>24354</v>
      </c>
      <c r="E5595" s="506">
        <f>C5595+D5595</f>
        <v>48708</v>
      </c>
      <c r="F5595" s="507"/>
      <c r="G5595" s="74"/>
      <c r="H5595" s="75"/>
    </row>
    <row r="5596" spans="1:8" x14ac:dyDescent="0.3">
      <c r="A5596" s="508" t="s">
        <v>1064</v>
      </c>
      <c r="B5596" s="509"/>
      <c r="C5596" s="509"/>
      <c r="D5596" s="509"/>
      <c r="E5596" s="453"/>
      <c r="F5596" s="453"/>
      <c r="G5596" s="453"/>
      <c r="H5596" s="454"/>
    </row>
    <row r="5597" spans="1:8" ht="15.6" x14ac:dyDescent="0.3">
      <c r="A5597" s="455" t="s">
        <v>53</v>
      </c>
      <c r="B5597" s="456"/>
      <c r="C5597" s="456"/>
      <c r="D5597" s="457"/>
      <c r="E5597" s="458" t="s">
        <v>54</v>
      </c>
      <c r="F5597" s="459"/>
      <c r="G5597" s="459"/>
      <c r="H5597" s="460"/>
    </row>
    <row r="5598" spans="1:8" x14ac:dyDescent="0.3">
      <c r="A5598" s="461" t="s">
        <v>55</v>
      </c>
      <c r="B5598" s="462"/>
      <c r="C5598" s="462"/>
      <c r="D5598" s="463"/>
      <c r="E5598" s="39"/>
      <c r="F5598" s="28"/>
      <c r="G5598" s="28"/>
      <c r="H5598" s="32"/>
    </row>
    <row r="5599" spans="1:8" x14ac:dyDescent="0.3">
      <c r="A5599" s="461" t="s">
        <v>56</v>
      </c>
      <c r="B5599" s="462"/>
      <c r="C5599" s="462"/>
      <c r="D5599" s="463"/>
      <c r="E5599" s="39"/>
      <c r="F5599" s="28"/>
      <c r="G5599" s="28"/>
      <c r="H5599" s="32"/>
    </row>
    <row r="5600" spans="1:8" x14ac:dyDescent="0.3">
      <c r="A5600" s="461" t="s">
        <v>57</v>
      </c>
      <c r="B5600" s="462"/>
      <c r="C5600" s="462"/>
      <c r="D5600" s="463"/>
      <c r="E5600" s="39"/>
      <c r="F5600" s="28"/>
      <c r="G5600" s="28"/>
      <c r="H5600" s="32"/>
    </row>
    <row r="5601" spans="1:8" ht="15.6" x14ac:dyDescent="0.3">
      <c r="A5601" s="464" t="s">
        <v>58</v>
      </c>
      <c r="B5601" s="465"/>
      <c r="C5601" s="465"/>
      <c r="D5601" s="465"/>
      <c r="E5601" s="466" t="s">
        <v>59</v>
      </c>
      <c r="F5601" s="467"/>
      <c r="G5601" s="467"/>
      <c r="H5601" s="468"/>
    </row>
    <row r="5606" spans="1:8" ht="44.4" x14ac:dyDescent="0.7">
      <c r="A5606" s="469" t="s">
        <v>0</v>
      </c>
      <c r="B5606" s="470"/>
      <c r="C5606" s="470"/>
      <c r="D5606" s="470"/>
      <c r="E5606" s="531" t="s">
        <v>1</v>
      </c>
      <c r="F5606" s="544"/>
      <c r="G5606" s="544"/>
      <c r="H5606" s="545"/>
    </row>
    <row r="5607" spans="1:8" ht="20.399999999999999" x14ac:dyDescent="0.35">
      <c r="A5607" s="1"/>
      <c r="B5607" s="476" t="s">
        <v>2</v>
      </c>
      <c r="C5607" s="476"/>
      <c r="D5607" s="476"/>
      <c r="E5607" s="546"/>
      <c r="F5607" s="546"/>
      <c r="G5607" s="546"/>
      <c r="H5607" s="547"/>
    </row>
    <row r="5608" spans="1:8" x14ac:dyDescent="0.3">
      <c r="A5608" s="477" t="s">
        <v>3</v>
      </c>
      <c r="B5608" s="478"/>
      <c r="C5608" s="479" t="s">
        <v>4</v>
      </c>
      <c r="D5608" s="479"/>
      <c r="E5608" s="654" t="s">
        <v>5</v>
      </c>
      <c r="F5608" s="654"/>
      <c r="G5608" s="654"/>
      <c r="H5608" s="654"/>
    </row>
    <row r="5609" spans="1:8" ht="15.6" x14ac:dyDescent="0.3">
      <c r="A5609" s="4" t="s">
        <v>6</v>
      </c>
      <c r="B5609" s="5"/>
      <c r="C5609" s="481" t="s">
        <v>7</v>
      </c>
      <c r="D5609" s="481"/>
      <c r="E5609" s="482">
        <v>122</v>
      </c>
      <c r="F5609" s="482"/>
      <c r="G5609" s="7" t="s">
        <v>8</v>
      </c>
      <c r="H5609" s="250">
        <v>45818</v>
      </c>
    </row>
    <row r="5610" spans="1:8" ht="15.6" x14ac:dyDescent="0.3">
      <c r="A5610" s="551" t="s">
        <v>458</v>
      </c>
      <c r="B5610" s="552"/>
      <c r="C5610" s="481" t="s">
        <v>10</v>
      </c>
      <c r="D5610" s="481"/>
      <c r="E5610" s="482">
        <v>52</v>
      </c>
      <c r="F5610" s="482"/>
      <c r="G5610" s="7" t="s">
        <v>8</v>
      </c>
      <c r="H5610" s="250">
        <v>45815</v>
      </c>
    </row>
    <row r="5611" spans="1:8" ht="24.75" customHeight="1" x14ac:dyDescent="0.3">
      <c r="A5611" s="560" t="s">
        <v>459</v>
      </c>
      <c r="B5611" s="561"/>
      <c r="C5611" s="483" t="s">
        <v>12</v>
      </c>
      <c r="D5611" s="484"/>
      <c r="E5611" s="652" t="s">
        <v>466</v>
      </c>
      <c r="F5611" s="653"/>
      <c r="G5611" s="10" t="s">
        <v>8</v>
      </c>
      <c r="H5611" s="252" t="s">
        <v>465</v>
      </c>
    </row>
    <row r="5612" spans="1:8" ht="15.6" x14ac:dyDescent="0.3">
      <c r="A5612" s="253" t="s">
        <v>460</v>
      </c>
      <c r="B5612" s="254"/>
      <c r="C5612" s="481" t="s">
        <v>15</v>
      </c>
      <c r="D5612" s="481"/>
      <c r="E5612" s="489" t="s">
        <v>461</v>
      </c>
      <c r="F5612" s="490"/>
      <c r="G5612" s="490"/>
      <c r="H5612" s="491"/>
    </row>
    <row r="5613" spans="1:8" ht="15.6" x14ac:dyDescent="0.3">
      <c r="A5613" s="255" t="s">
        <v>1065</v>
      </c>
      <c r="B5613" s="256"/>
      <c r="C5613" s="489"/>
      <c r="D5613" s="490"/>
      <c r="E5613" s="490"/>
      <c r="F5613" s="490"/>
      <c r="G5613" s="490"/>
      <c r="H5613" s="491"/>
    </row>
    <row r="5614" spans="1:8" ht="15" x14ac:dyDescent="0.3">
      <c r="A5614" s="492" t="s">
        <v>17</v>
      </c>
      <c r="B5614" s="494" t="s">
        <v>18</v>
      </c>
      <c r="C5614" s="494" t="s">
        <v>19</v>
      </c>
      <c r="D5614" s="495" t="s">
        <v>20</v>
      </c>
      <c r="E5614" s="494" t="s">
        <v>21</v>
      </c>
      <c r="F5614" s="494" t="s">
        <v>22</v>
      </c>
      <c r="G5614" s="494"/>
      <c r="H5614" s="492" t="s">
        <v>23</v>
      </c>
    </row>
    <row r="5615" spans="1:8" ht="27.6" x14ac:dyDescent="0.3">
      <c r="A5615" s="492"/>
      <c r="B5615" s="494"/>
      <c r="C5615" s="494"/>
      <c r="D5615" s="505"/>
      <c r="E5615" s="494"/>
      <c r="F5615" s="53" t="s">
        <v>24</v>
      </c>
      <c r="G5615" s="53" t="s">
        <v>25</v>
      </c>
      <c r="H5615" s="492"/>
    </row>
    <row r="5616" spans="1:8" ht="15" x14ac:dyDescent="0.3">
      <c r="A5616" s="353">
        <v>1</v>
      </c>
      <c r="B5616" s="84" t="s">
        <v>1066</v>
      </c>
      <c r="C5616" s="352">
        <v>1</v>
      </c>
      <c r="D5616" s="86">
        <v>998719</v>
      </c>
      <c r="E5616" s="352">
        <v>500</v>
      </c>
      <c r="F5616" s="55">
        <f t="shared" ref="F5616" si="105">E5616*C5616*9%</f>
        <v>45</v>
      </c>
      <c r="G5616" s="55">
        <f t="shared" ref="G5616" si="106">F5616</f>
        <v>45</v>
      </c>
      <c r="H5616" s="55">
        <f t="shared" ref="H5616" si="107">G5616+F5616+E5616*C5616</f>
        <v>590</v>
      </c>
    </row>
    <row r="5617" spans="1:8" x14ac:dyDescent="0.3">
      <c r="A5617" s="55"/>
      <c r="B5617" s="84"/>
      <c r="C5617" s="55"/>
      <c r="D5617" s="86"/>
      <c r="E5617" s="55"/>
      <c r="F5617" s="55"/>
      <c r="G5617" s="55"/>
      <c r="H5617" s="55"/>
    </row>
    <row r="5618" spans="1:8" x14ac:dyDescent="0.3">
      <c r="A5618" s="55"/>
      <c r="B5618" s="84"/>
      <c r="C5618" s="55"/>
      <c r="D5618" s="86"/>
      <c r="E5618" s="55"/>
      <c r="F5618" s="55"/>
      <c r="G5618" s="55"/>
      <c r="H5618" s="55"/>
    </row>
    <row r="5619" spans="1:8" ht="15" x14ac:dyDescent="0.3">
      <c r="A5619" s="353"/>
      <c r="B5619" s="84"/>
      <c r="C5619" s="55"/>
      <c r="D5619" s="86"/>
      <c r="E5619" s="55"/>
      <c r="F5619" s="55"/>
      <c r="G5619" s="55"/>
      <c r="H5619" s="55"/>
    </row>
    <row r="5620" spans="1:8" x14ac:dyDescent="0.3">
      <c r="A5620" s="55"/>
      <c r="B5620" s="84"/>
      <c r="C5620" s="55"/>
      <c r="D5620" s="86"/>
      <c r="E5620" s="55"/>
      <c r="F5620" s="55"/>
      <c r="G5620" s="55"/>
      <c r="H5620" s="55"/>
    </row>
    <row r="5621" spans="1:8" x14ac:dyDescent="0.3">
      <c r="A5621" s="55"/>
      <c r="B5621" s="84"/>
      <c r="C5621" s="55"/>
      <c r="D5621" s="86"/>
      <c r="E5621" s="55"/>
      <c r="F5621" s="55"/>
      <c r="G5621" s="55"/>
      <c r="H5621" s="55"/>
    </row>
    <row r="5622" spans="1:8" ht="15" x14ac:dyDescent="0.3">
      <c r="A5622" s="353"/>
      <c r="B5622" s="84"/>
      <c r="C5622" s="55"/>
      <c r="D5622" s="86"/>
      <c r="E5622" s="55"/>
      <c r="F5622" s="55"/>
      <c r="G5622" s="55"/>
      <c r="H5622" s="55"/>
    </row>
    <row r="5623" spans="1:8" x14ac:dyDescent="0.3">
      <c r="A5623" s="55"/>
      <c r="B5623" s="84"/>
      <c r="C5623" s="55"/>
      <c r="D5623" s="86"/>
      <c r="E5623" s="55"/>
      <c r="F5623" s="55"/>
      <c r="G5623" s="55"/>
      <c r="H5623" s="55"/>
    </row>
    <row r="5624" spans="1:8" x14ac:dyDescent="0.3">
      <c r="A5624" s="55"/>
      <c r="B5624" s="84"/>
      <c r="C5624" s="20"/>
      <c r="D5624" s="86"/>
      <c r="E5624" s="55"/>
      <c r="F5624" s="55"/>
      <c r="G5624" s="55"/>
      <c r="H5624" s="55"/>
    </row>
    <row r="5625" spans="1:8" ht="15" x14ac:dyDescent="0.3">
      <c r="A5625" s="353"/>
      <c r="B5625" s="257"/>
      <c r="C5625" s="20"/>
      <c r="D5625" s="86"/>
      <c r="E5625" s="55"/>
      <c r="F5625" s="55"/>
      <c r="G5625" s="55"/>
      <c r="H5625" s="55"/>
    </row>
    <row r="5626" spans="1:8" x14ac:dyDescent="0.3">
      <c r="A5626" s="55"/>
      <c r="B5626" s="257"/>
      <c r="C5626" s="20"/>
      <c r="D5626" s="86"/>
      <c r="E5626" s="55"/>
      <c r="F5626" s="55"/>
      <c r="G5626" s="55"/>
      <c r="H5626" s="55"/>
    </row>
    <row r="5627" spans="1:8" x14ac:dyDescent="0.3">
      <c r="A5627" s="55"/>
      <c r="B5627" s="257"/>
      <c r="C5627" s="20"/>
      <c r="D5627" s="86"/>
      <c r="E5627" s="55"/>
      <c r="F5627" s="55"/>
      <c r="G5627" s="55"/>
      <c r="H5627" s="55"/>
    </row>
    <row r="5628" spans="1:8" x14ac:dyDescent="0.3">
      <c r="A5628" s="55"/>
      <c r="B5628" s="257"/>
      <c r="C5628" s="20"/>
      <c r="D5628" s="86"/>
      <c r="E5628" s="55"/>
      <c r="F5628" s="55"/>
      <c r="G5628" s="55"/>
      <c r="H5628" s="55"/>
    </row>
    <row r="5629" spans="1:8" x14ac:dyDescent="0.3">
      <c r="A5629" s="55"/>
      <c r="B5629" s="257"/>
      <c r="C5629" s="20"/>
      <c r="D5629" s="86"/>
      <c r="E5629" s="55"/>
      <c r="F5629" s="55"/>
      <c r="G5629" s="55"/>
      <c r="H5629" s="55"/>
    </row>
    <row r="5630" spans="1:8" x14ac:dyDescent="0.3">
      <c r="A5630" s="55"/>
      <c r="B5630" s="257"/>
      <c r="C5630" s="20"/>
      <c r="D5630" s="86"/>
      <c r="E5630" s="55"/>
      <c r="F5630" s="55"/>
      <c r="G5630" s="55"/>
      <c r="H5630" s="55"/>
    </row>
    <row r="5631" spans="1:8" x14ac:dyDescent="0.3">
      <c r="A5631" s="55"/>
      <c r="B5631" s="257"/>
      <c r="C5631" s="20"/>
      <c r="D5631" s="86"/>
      <c r="E5631" s="55"/>
      <c r="F5631" s="55"/>
      <c r="G5631" s="55"/>
      <c r="H5631" s="55"/>
    </row>
    <row r="5632" spans="1:8" x14ac:dyDescent="0.3">
      <c r="A5632" s="163"/>
      <c r="B5632" s="163"/>
      <c r="C5632" s="163"/>
      <c r="D5632" s="163"/>
      <c r="E5632" s="163"/>
      <c r="F5632" s="163"/>
      <c r="G5632" s="163"/>
      <c r="H5632" s="163"/>
    </row>
    <row r="5633" spans="1:8" x14ac:dyDescent="0.3">
      <c r="A5633" s="55"/>
      <c r="B5633" s="257"/>
      <c r="C5633" s="55"/>
      <c r="D5633" s="55"/>
      <c r="E5633" s="55"/>
      <c r="F5633" s="55"/>
      <c r="G5633" s="55"/>
      <c r="H5633" s="55"/>
    </row>
    <row r="5634" spans="1:8" x14ac:dyDescent="0.3">
      <c r="A5634" s="57"/>
      <c r="B5634" s="84"/>
      <c r="C5634" s="85"/>
      <c r="D5634" s="86"/>
      <c r="E5634" s="87"/>
      <c r="F5634" s="47"/>
      <c r="G5634" s="47"/>
      <c r="H5634" s="47"/>
    </row>
    <row r="5635" spans="1:8" x14ac:dyDescent="0.3">
      <c r="A5635" s="57"/>
      <c r="B5635" s="84"/>
      <c r="C5635" s="85"/>
      <c r="D5635" s="86"/>
      <c r="E5635" s="47"/>
      <c r="F5635" s="47"/>
      <c r="G5635" s="47"/>
      <c r="H5635" s="47"/>
    </row>
    <row r="5636" spans="1:8" x14ac:dyDescent="0.3">
      <c r="A5636" s="55"/>
      <c r="B5636" s="84"/>
      <c r="C5636" s="55"/>
      <c r="D5636" s="86"/>
      <c r="E5636" s="47"/>
      <c r="F5636" s="47"/>
      <c r="G5636" s="47"/>
      <c r="H5636" s="47"/>
    </row>
    <row r="5637" spans="1:8" x14ac:dyDescent="0.3">
      <c r="A5637" s="27"/>
      <c r="B5637" s="28"/>
      <c r="C5637" s="24"/>
      <c r="D5637" s="25"/>
      <c r="E5637" s="25"/>
      <c r="F5637" s="28"/>
      <c r="G5637" s="28"/>
      <c r="H5637" s="32"/>
    </row>
    <row r="5638" spans="1:8" ht="15.6" x14ac:dyDescent="0.3">
      <c r="A5638" s="448" t="s">
        <v>45</v>
      </c>
      <c r="B5638" s="449"/>
      <c r="C5638" s="24"/>
      <c r="D5638" s="25"/>
      <c r="E5638" s="25"/>
      <c r="F5638" s="447" t="s">
        <v>46</v>
      </c>
      <c r="G5638" s="447"/>
      <c r="H5638" s="66">
        <v>500</v>
      </c>
    </row>
    <row r="5639" spans="1:8" ht="15.6" x14ac:dyDescent="0.3">
      <c r="A5639" s="497" t="s">
        <v>1067</v>
      </c>
      <c r="B5639" s="498"/>
      <c r="C5639" s="498"/>
      <c r="D5639" s="498"/>
      <c r="E5639" s="498"/>
      <c r="F5639" s="447" t="s">
        <v>47</v>
      </c>
      <c r="G5639" s="447"/>
      <c r="H5639" s="66">
        <f>H5638*9%</f>
        <v>45</v>
      </c>
    </row>
    <row r="5640" spans="1:8" ht="15.6" x14ac:dyDescent="0.3">
      <c r="A5640" s="27"/>
      <c r="B5640" s="28" t="s">
        <v>687</v>
      </c>
      <c r="C5640" s="24"/>
      <c r="D5640" s="25"/>
      <c r="E5640" s="25"/>
      <c r="F5640" s="447" t="s">
        <v>48</v>
      </c>
      <c r="G5640" s="447"/>
      <c r="H5640" s="66">
        <f>H5639</f>
        <v>45</v>
      </c>
    </row>
    <row r="5641" spans="1:8" ht="15.6" x14ac:dyDescent="0.3">
      <c r="A5641" s="64" t="s">
        <v>49</v>
      </c>
      <c r="B5641" s="65"/>
      <c r="C5641" s="24"/>
      <c r="D5641" s="25"/>
      <c r="E5641" s="25"/>
      <c r="F5641" s="447" t="s">
        <v>50</v>
      </c>
      <c r="G5641" s="447"/>
      <c r="H5641" s="66">
        <f>H5638+H5639+H5640</f>
        <v>590</v>
      </c>
    </row>
    <row r="5642" spans="1:8" ht="27" x14ac:dyDescent="0.3">
      <c r="A5642" s="68" t="s">
        <v>22</v>
      </c>
      <c r="B5642" s="30" t="s">
        <v>51</v>
      </c>
      <c r="C5642" s="70" t="s">
        <v>24</v>
      </c>
      <c r="D5642" s="31" t="s">
        <v>25</v>
      </c>
      <c r="E5642" s="450" t="s">
        <v>52</v>
      </c>
      <c r="F5642" s="450"/>
      <c r="G5642" s="28"/>
      <c r="H5642" s="32"/>
    </row>
    <row r="5643" spans="1:8" x14ac:dyDescent="0.3">
      <c r="A5643" s="72">
        <v>0.18</v>
      </c>
      <c r="B5643" s="73">
        <f>H5638</f>
        <v>500</v>
      </c>
      <c r="C5643" s="91">
        <f>H5639</f>
        <v>45</v>
      </c>
      <c r="D5643" s="91">
        <f>H5639</f>
        <v>45</v>
      </c>
      <c r="E5643" s="506">
        <f>C5643+D5643</f>
        <v>90</v>
      </c>
      <c r="F5643" s="507"/>
      <c r="G5643" s="74"/>
      <c r="H5643" s="75"/>
    </row>
    <row r="5644" spans="1:8" x14ac:dyDescent="0.3">
      <c r="A5644" s="508" t="s">
        <v>1068</v>
      </c>
      <c r="B5644" s="509"/>
      <c r="C5644" s="509"/>
      <c r="D5644" s="509"/>
      <c r="E5644" s="453"/>
      <c r="F5644" s="453"/>
      <c r="G5644" s="453"/>
      <c r="H5644" s="454"/>
    </row>
    <row r="5645" spans="1:8" ht="15.6" x14ac:dyDescent="0.3">
      <c r="A5645" s="455" t="s">
        <v>53</v>
      </c>
      <c r="B5645" s="456"/>
      <c r="C5645" s="456"/>
      <c r="D5645" s="457"/>
      <c r="E5645" s="458" t="s">
        <v>54</v>
      </c>
      <c r="F5645" s="459"/>
      <c r="G5645" s="459"/>
      <c r="H5645" s="460"/>
    </row>
    <row r="5646" spans="1:8" x14ac:dyDescent="0.3">
      <c r="A5646" s="461" t="s">
        <v>55</v>
      </c>
      <c r="B5646" s="462"/>
      <c r="C5646" s="462"/>
      <c r="D5646" s="463"/>
      <c r="E5646" s="39"/>
      <c r="F5646" s="28"/>
      <c r="G5646" s="28"/>
      <c r="H5646" s="32"/>
    </row>
    <row r="5647" spans="1:8" x14ac:dyDescent="0.3">
      <c r="A5647" s="461" t="s">
        <v>56</v>
      </c>
      <c r="B5647" s="462"/>
      <c r="C5647" s="462"/>
      <c r="D5647" s="463"/>
      <c r="E5647" s="39"/>
      <c r="F5647" s="28"/>
      <c r="G5647" s="28"/>
      <c r="H5647" s="32"/>
    </row>
    <row r="5648" spans="1:8" x14ac:dyDescent="0.3">
      <c r="A5648" s="461" t="s">
        <v>57</v>
      </c>
      <c r="B5648" s="462"/>
      <c r="C5648" s="462"/>
      <c r="D5648" s="463"/>
      <c r="E5648" s="39"/>
      <c r="F5648" s="28"/>
      <c r="G5648" s="28"/>
      <c r="H5648" s="32"/>
    </row>
    <row r="5649" spans="1:8" ht="15.6" x14ac:dyDescent="0.3">
      <c r="A5649" s="464" t="s">
        <v>58</v>
      </c>
      <c r="B5649" s="465"/>
      <c r="C5649" s="465"/>
      <c r="D5649" s="465"/>
      <c r="E5649" s="466" t="s">
        <v>59</v>
      </c>
      <c r="F5649" s="467"/>
      <c r="G5649" s="467"/>
      <c r="H5649" s="468"/>
    </row>
    <row r="5652" spans="1:8" ht="44.4" x14ac:dyDescent="0.7">
      <c r="A5652" s="469" t="s">
        <v>0</v>
      </c>
      <c r="B5652" s="470"/>
      <c r="C5652" s="470"/>
      <c r="D5652" s="470"/>
      <c r="E5652" s="531" t="s">
        <v>1</v>
      </c>
      <c r="F5652" s="544"/>
      <c r="G5652" s="544"/>
      <c r="H5652" s="545"/>
    </row>
    <row r="5653" spans="1:8" ht="20.399999999999999" x14ac:dyDescent="0.35">
      <c r="A5653" s="1"/>
      <c r="B5653" s="476" t="s">
        <v>2</v>
      </c>
      <c r="C5653" s="476"/>
      <c r="D5653" s="476"/>
      <c r="E5653" s="546"/>
      <c r="F5653" s="546"/>
      <c r="G5653" s="546"/>
      <c r="H5653" s="547"/>
    </row>
    <row r="5654" spans="1:8" x14ac:dyDescent="0.3">
      <c r="A5654" s="477" t="s">
        <v>3</v>
      </c>
      <c r="B5654" s="478"/>
      <c r="C5654" s="479" t="s">
        <v>4</v>
      </c>
      <c r="D5654" s="479"/>
      <c r="E5654" s="654" t="s">
        <v>5</v>
      </c>
      <c r="F5654" s="654"/>
      <c r="G5654" s="654"/>
      <c r="H5654" s="654"/>
    </row>
    <row r="5655" spans="1:8" ht="15.6" x14ac:dyDescent="0.3">
      <c r="A5655" s="4" t="s">
        <v>6</v>
      </c>
      <c r="B5655" s="5"/>
      <c r="C5655" s="481" t="s">
        <v>7</v>
      </c>
      <c r="D5655" s="481"/>
      <c r="E5655" s="482">
        <v>123</v>
      </c>
      <c r="F5655" s="482"/>
      <c r="G5655" s="7" t="s">
        <v>8</v>
      </c>
      <c r="H5655" s="250">
        <v>45818</v>
      </c>
    </row>
    <row r="5656" spans="1:8" ht="15.6" x14ac:dyDescent="0.3">
      <c r="A5656" s="551" t="s">
        <v>458</v>
      </c>
      <c r="B5656" s="552"/>
      <c r="C5656" s="481" t="s">
        <v>10</v>
      </c>
      <c r="D5656" s="481"/>
      <c r="E5656" s="482" t="s">
        <v>1087</v>
      </c>
      <c r="F5656" s="482"/>
      <c r="G5656" s="7" t="s">
        <v>8</v>
      </c>
      <c r="H5656" s="250" t="s">
        <v>1069</v>
      </c>
    </row>
    <row r="5657" spans="1:8" ht="27.75" customHeight="1" x14ac:dyDescent="0.3">
      <c r="A5657" s="560" t="s">
        <v>459</v>
      </c>
      <c r="B5657" s="561"/>
      <c r="C5657" s="483" t="s">
        <v>12</v>
      </c>
      <c r="D5657" s="484"/>
      <c r="E5657" s="652" t="s">
        <v>466</v>
      </c>
      <c r="F5657" s="653"/>
      <c r="G5657" s="10" t="s">
        <v>8</v>
      </c>
      <c r="H5657" s="252" t="s">
        <v>465</v>
      </c>
    </row>
    <row r="5658" spans="1:8" ht="15.6" x14ac:dyDescent="0.3">
      <c r="A5658" s="253" t="s">
        <v>460</v>
      </c>
      <c r="B5658" s="254"/>
      <c r="C5658" s="481" t="s">
        <v>15</v>
      </c>
      <c r="D5658" s="481"/>
      <c r="E5658" s="489" t="s">
        <v>461</v>
      </c>
      <c r="F5658" s="490"/>
      <c r="G5658" s="490"/>
      <c r="H5658" s="491"/>
    </row>
    <row r="5659" spans="1:8" ht="15.6" x14ac:dyDescent="0.3">
      <c r="A5659" s="255" t="s">
        <v>1070</v>
      </c>
      <c r="B5659" s="256"/>
      <c r="C5659" s="489"/>
      <c r="D5659" s="490"/>
      <c r="E5659" s="490"/>
      <c r="F5659" s="490"/>
      <c r="G5659" s="490"/>
      <c r="H5659" s="491"/>
    </row>
    <row r="5660" spans="1:8" ht="15" x14ac:dyDescent="0.3">
      <c r="A5660" s="492" t="s">
        <v>17</v>
      </c>
      <c r="B5660" s="494" t="s">
        <v>18</v>
      </c>
      <c r="C5660" s="494" t="s">
        <v>19</v>
      </c>
      <c r="D5660" s="495" t="s">
        <v>20</v>
      </c>
      <c r="E5660" s="494" t="s">
        <v>21</v>
      </c>
      <c r="F5660" s="494" t="s">
        <v>22</v>
      </c>
      <c r="G5660" s="494"/>
      <c r="H5660" s="492" t="s">
        <v>23</v>
      </c>
    </row>
    <row r="5661" spans="1:8" ht="27.6" x14ac:dyDescent="0.3">
      <c r="A5661" s="492"/>
      <c r="B5661" s="494"/>
      <c r="C5661" s="494"/>
      <c r="D5661" s="505"/>
      <c r="E5661" s="494"/>
      <c r="F5661" s="53" t="s">
        <v>24</v>
      </c>
      <c r="G5661" s="53" t="s">
        <v>25</v>
      </c>
      <c r="H5661" s="492"/>
    </row>
    <row r="5662" spans="1:8" ht="15" x14ac:dyDescent="0.3">
      <c r="A5662" s="353">
        <v>1</v>
      </c>
      <c r="B5662" s="84" t="s">
        <v>1071</v>
      </c>
      <c r="C5662" s="352">
        <v>2</v>
      </c>
      <c r="D5662" s="86">
        <v>998719</v>
      </c>
      <c r="E5662" s="352">
        <v>500</v>
      </c>
      <c r="F5662" s="55">
        <f t="shared" ref="F5662" si="108">E5662*C5662*9%</f>
        <v>90</v>
      </c>
      <c r="G5662" s="55">
        <f t="shared" ref="G5662" si="109">F5662</f>
        <v>90</v>
      </c>
      <c r="H5662" s="55">
        <f t="shared" ref="H5662" si="110">G5662+F5662+E5662*C5662</f>
        <v>1180</v>
      </c>
    </row>
    <row r="5663" spans="1:8" x14ac:dyDescent="0.3">
      <c r="A5663" s="55"/>
      <c r="B5663" s="84"/>
      <c r="C5663" s="55"/>
      <c r="D5663" s="86"/>
      <c r="E5663" s="55"/>
      <c r="F5663" s="55"/>
      <c r="G5663" s="55"/>
      <c r="H5663" s="55"/>
    </row>
    <row r="5664" spans="1:8" x14ac:dyDescent="0.3">
      <c r="A5664" s="55"/>
      <c r="B5664" s="84"/>
      <c r="C5664" s="55"/>
      <c r="D5664" s="86"/>
      <c r="E5664" s="55"/>
      <c r="F5664" s="55"/>
      <c r="G5664" s="55"/>
      <c r="H5664" s="55"/>
    </row>
    <row r="5665" spans="1:8" ht="15" x14ac:dyDescent="0.3">
      <c r="A5665" s="353"/>
      <c r="B5665" s="84"/>
      <c r="C5665" s="55"/>
      <c r="D5665" s="86"/>
      <c r="E5665" s="55"/>
      <c r="F5665" s="55"/>
      <c r="G5665" s="55"/>
      <c r="H5665" s="55"/>
    </row>
    <row r="5666" spans="1:8" x14ac:dyDescent="0.3">
      <c r="A5666" s="55"/>
      <c r="B5666" s="84"/>
      <c r="C5666" s="55"/>
      <c r="D5666" s="86"/>
      <c r="E5666" s="55"/>
      <c r="F5666" s="55"/>
      <c r="G5666" s="55"/>
      <c r="H5666" s="55"/>
    </row>
    <row r="5667" spans="1:8" x14ac:dyDescent="0.3">
      <c r="A5667" s="55"/>
      <c r="B5667" s="84"/>
      <c r="C5667" s="55"/>
      <c r="D5667" s="86"/>
      <c r="E5667" s="55"/>
      <c r="F5667" s="55"/>
      <c r="G5667" s="55"/>
      <c r="H5667" s="55"/>
    </row>
    <row r="5668" spans="1:8" ht="15" x14ac:dyDescent="0.3">
      <c r="A5668" s="353"/>
      <c r="B5668" s="84"/>
      <c r="C5668" s="55"/>
      <c r="D5668" s="86"/>
      <c r="E5668" s="55"/>
      <c r="F5668" s="55"/>
      <c r="G5668" s="55"/>
      <c r="H5668" s="55"/>
    </row>
    <row r="5669" spans="1:8" x14ac:dyDescent="0.3">
      <c r="A5669" s="55"/>
      <c r="B5669" s="84"/>
      <c r="C5669" s="55"/>
      <c r="D5669" s="86"/>
      <c r="E5669" s="55"/>
      <c r="F5669" s="55"/>
      <c r="G5669" s="55"/>
      <c r="H5669" s="55"/>
    </row>
    <row r="5670" spans="1:8" x14ac:dyDescent="0.3">
      <c r="A5670" s="55"/>
      <c r="B5670" s="84"/>
      <c r="C5670" s="20"/>
      <c r="D5670" s="86"/>
      <c r="E5670" s="55"/>
      <c r="F5670" s="55"/>
      <c r="G5670" s="55"/>
      <c r="H5670" s="55"/>
    </row>
    <row r="5671" spans="1:8" ht="15" x14ac:dyDescent="0.3">
      <c r="A5671" s="353"/>
      <c r="B5671" s="257"/>
      <c r="C5671" s="20"/>
      <c r="D5671" s="86"/>
      <c r="E5671" s="55"/>
      <c r="F5671" s="55"/>
      <c r="G5671" s="55"/>
      <c r="H5671" s="55"/>
    </row>
    <row r="5672" spans="1:8" x14ac:dyDescent="0.3">
      <c r="A5672" s="55"/>
      <c r="B5672" s="257"/>
      <c r="C5672" s="20"/>
      <c r="D5672" s="86"/>
      <c r="E5672" s="55"/>
      <c r="F5672" s="55"/>
      <c r="G5672" s="55"/>
      <c r="H5672" s="55"/>
    </row>
    <row r="5673" spans="1:8" x14ac:dyDescent="0.3">
      <c r="A5673" s="55"/>
      <c r="B5673" s="257"/>
      <c r="C5673" s="20"/>
      <c r="D5673" s="86"/>
      <c r="E5673" s="55"/>
      <c r="F5673" s="55"/>
      <c r="G5673" s="55"/>
      <c r="H5673" s="55"/>
    </row>
    <row r="5674" spans="1:8" x14ac:dyDescent="0.3">
      <c r="A5674" s="55"/>
      <c r="B5674" s="257"/>
      <c r="C5674" s="20"/>
      <c r="D5674" s="86"/>
      <c r="E5674" s="55"/>
      <c r="F5674" s="55"/>
      <c r="G5674" s="55"/>
      <c r="H5674" s="55"/>
    </row>
    <row r="5675" spans="1:8" x14ac:dyDescent="0.3">
      <c r="A5675" s="55"/>
      <c r="B5675" s="257"/>
      <c r="C5675" s="20"/>
      <c r="D5675" s="86"/>
      <c r="E5675" s="55"/>
      <c r="F5675" s="55"/>
      <c r="G5675" s="55"/>
      <c r="H5675" s="55"/>
    </row>
    <row r="5676" spans="1:8" x14ac:dyDescent="0.3">
      <c r="A5676" s="55"/>
      <c r="B5676" s="257"/>
      <c r="C5676" s="20"/>
      <c r="D5676" s="86"/>
      <c r="E5676" s="55"/>
      <c r="F5676" s="55"/>
      <c r="G5676" s="55"/>
      <c r="H5676" s="55"/>
    </row>
    <row r="5677" spans="1:8" x14ac:dyDescent="0.3">
      <c r="A5677" s="55"/>
      <c r="B5677" s="257"/>
      <c r="C5677" s="20"/>
      <c r="D5677" s="86"/>
      <c r="E5677" s="55"/>
      <c r="F5677" s="55"/>
      <c r="G5677" s="55"/>
      <c r="H5677" s="55"/>
    </row>
    <row r="5678" spans="1:8" x14ac:dyDescent="0.3">
      <c r="A5678" s="163"/>
      <c r="B5678" s="163"/>
      <c r="C5678" s="163"/>
      <c r="D5678" s="163"/>
      <c r="E5678" s="163"/>
      <c r="F5678" s="163"/>
      <c r="G5678" s="163"/>
      <c r="H5678" s="163"/>
    </row>
    <row r="5679" spans="1:8" x14ac:dyDescent="0.3">
      <c r="A5679" s="55"/>
      <c r="B5679" s="257"/>
      <c r="C5679" s="55"/>
      <c r="D5679" s="55"/>
      <c r="E5679" s="55"/>
      <c r="F5679" s="55"/>
      <c r="G5679" s="55"/>
      <c r="H5679" s="55"/>
    </row>
    <row r="5680" spans="1:8" x14ac:dyDescent="0.3">
      <c r="A5680" s="57"/>
      <c r="B5680" s="84"/>
      <c r="C5680" s="85"/>
      <c r="D5680" s="86"/>
      <c r="E5680" s="47"/>
      <c r="F5680" s="47"/>
      <c r="G5680" s="47"/>
      <c r="H5680" s="47"/>
    </row>
    <row r="5681" spans="1:8" x14ac:dyDescent="0.3">
      <c r="A5681" s="55"/>
      <c r="B5681" s="84"/>
      <c r="C5681" s="55"/>
      <c r="D5681" s="86"/>
      <c r="E5681" s="47"/>
      <c r="F5681" s="47"/>
      <c r="G5681" s="47"/>
      <c r="H5681" s="47"/>
    </row>
    <row r="5682" spans="1:8" x14ac:dyDescent="0.3">
      <c r="A5682" s="27"/>
      <c r="B5682" s="28"/>
      <c r="C5682" s="24"/>
      <c r="D5682" s="25"/>
      <c r="E5682" s="25"/>
      <c r="F5682" s="28"/>
      <c r="G5682" s="28"/>
      <c r="H5682" s="32"/>
    </row>
    <row r="5683" spans="1:8" ht="15.6" x14ac:dyDescent="0.3">
      <c r="A5683" s="448" t="s">
        <v>45</v>
      </c>
      <c r="B5683" s="449"/>
      <c r="C5683" s="24"/>
      <c r="D5683" s="25"/>
      <c r="E5683" s="25"/>
      <c r="F5683" s="447" t="s">
        <v>46</v>
      </c>
      <c r="G5683" s="447"/>
      <c r="H5683" s="66">
        <v>1000</v>
      </c>
    </row>
    <row r="5684" spans="1:8" ht="15.6" x14ac:dyDescent="0.3">
      <c r="A5684" s="497" t="s">
        <v>1073</v>
      </c>
      <c r="B5684" s="498"/>
      <c r="C5684" s="498"/>
      <c r="D5684" s="498"/>
      <c r="E5684" s="498"/>
      <c r="F5684" s="447" t="s">
        <v>47</v>
      </c>
      <c r="G5684" s="447"/>
      <c r="H5684" s="66">
        <f>H5683*9%</f>
        <v>90</v>
      </c>
    </row>
    <row r="5685" spans="1:8" ht="15.6" x14ac:dyDescent="0.3">
      <c r="A5685" s="27"/>
      <c r="B5685" s="28" t="s">
        <v>687</v>
      </c>
      <c r="C5685" s="24"/>
      <c r="D5685" s="25"/>
      <c r="E5685" s="25"/>
      <c r="F5685" s="447" t="s">
        <v>48</v>
      </c>
      <c r="G5685" s="447"/>
      <c r="H5685" s="66">
        <f>H5684</f>
        <v>90</v>
      </c>
    </row>
    <row r="5686" spans="1:8" ht="15.6" x14ac:dyDescent="0.3">
      <c r="A5686" s="64" t="s">
        <v>49</v>
      </c>
      <c r="B5686" s="65"/>
      <c r="C5686" s="24"/>
      <c r="D5686" s="25"/>
      <c r="E5686" s="25"/>
      <c r="F5686" s="447" t="s">
        <v>50</v>
      </c>
      <c r="G5686" s="447"/>
      <c r="H5686" s="66">
        <f>H5683+H5684+H5685</f>
        <v>1180</v>
      </c>
    </row>
    <row r="5687" spans="1:8" ht="27" x14ac:dyDescent="0.3">
      <c r="A5687" s="68" t="s">
        <v>22</v>
      </c>
      <c r="B5687" s="30" t="s">
        <v>51</v>
      </c>
      <c r="C5687" s="70" t="s">
        <v>24</v>
      </c>
      <c r="D5687" s="31" t="s">
        <v>25</v>
      </c>
      <c r="E5687" s="450" t="s">
        <v>52</v>
      </c>
      <c r="F5687" s="450"/>
      <c r="G5687" s="28"/>
      <c r="H5687" s="32"/>
    </row>
    <row r="5688" spans="1:8" x14ac:dyDescent="0.3">
      <c r="A5688" s="72">
        <v>0.18</v>
      </c>
      <c r="B5688" s="73">
        <f>H5683</f>
        <v>1000</v>
      </c>
      <c r="C5688" s="91">
        <f>H5684</f>
        <v>90</v>
      </c>
      <c r="D5688" s="91">
        <f>H5684</f>
        <v>90</v>
      </c>
      <c r="E5688" s="506">
        <f>C5688+D5688</f>
        <v>180</v>
      </c>
      <c r="F5688" s="507"/>
      <c r="G5688" s="74"/>
      <c r="H5688" s="75"/>
    </row>
    <row r="5689" spans="1:8" x14ac:dyDescent="0.3">
      <c r="A5689" s="508" t="s">
        <v>1074</v>
      </c>
      <c r="B5689" s="509"/>
      <c r="C5689" s="509"/>
      <c r="D5689" s="509"/>
      <c r="E5689" s="453"/>
      <c r="F5689" s="453"/>
      <c r="G5689" s="453"/>
      <c r="H5689" s="454"/>
    </row>
    <row r="5690" spans="1:8" ht="15.6" x14ac:dyDescent="0.3">
      <c r="A5690" s="455" t="s">
        <v>53</v>
      </c>
      <c r="B5690" s="456"/>
      <c r="C5690" s="456"/>
      <c r="D5690" s="457"/>
      <c r="E5690" s="458" t="s">
        <v>54</v>
      </c>
      <c r="F5690" s="459"/>
      <c r="G5690" s="459"/>
      <c r="H5690" s="460"/>
    </row>
    <row r="5691" spans="1:8" x14ac:dyDescent="0.3">
      <c r="A5691" s="461" t="s">
        <v>55</v>
      </c>
      <c r="B5691" s="462"/>
      <c r="C5691" s="462"/>
      <c r="D5691" s="463"/>
      <c r="E5691" s="39"/>
      <c r="F5691" s="28"/>
      <c r="G5691" s="28"/>
      <c r="H5691" s="32"/>
    </row>
    <row r="5692" spans="1:8" x14ac:dyDescent="0.3">
      <c r="A5692" s="461" t="s">
        <v>56</v>
      </c>
      <c r="B5692" s="462"/>
      <c r="C5692" s="462"/>
      <c r="D5692" s="463"/>
      <c r="E5692" s="39"/>
      <c r="F5692" s="28"/>
      <c r="G5692" s="28"/>
      <c r="H5692" s="32"/>
    </row>
    <row r="5693" spans="1:8" x14ac:dyDescent="0.3">
      <c r="A5693" s="461" t="s">
        <v>57</v>
      </c>
      <c r="B5693" s="462"/>
      <c r="C5693" s="462"/>
      <c r="D5693" s="463"/>
      <c r="E5693" s="39"/>
      <c r="F5693" s="28"/>
      <c r="G5693" s="28"/>
      <c r="H5693" s="32"/>
    </row>
    <row r="5694" spans="1:8" ht="15.6" x14ac:dyDescent="0.3">
      <c r="A5694" s="464" t="s">
        <v>58</v>
      </c>
      <c r="B5694" s="465"/>
      <c r="C5694" s="465"/>
      <c r="D5694" s="465"/>
      <c r="E5694" s="466" t="s">
        <v>59</v>
      </c>
      <c r="F5694" s="467"/>
      <c r="G5694" s="467"/>
      <c r="H5694" s="468"/>
    </row>
    <row r="5698" spans="1:9" ht="44.4" x14ac:dyDescent="0.7">
      <c r="A5698" s="469" t="s">
        <v>0</v>
      </c>
      <c r="B5698" s="470"/>
      <c r="C5698" s="470"/>
      <c r="D5698" s="470"/>
      <c r="E5698" s="531" t="s">
        <v>1</v>
      </c>
      <c r="F5698" s="544"/>
      <c r="G5698" s="544"/>
      <c r="H5698" s="545"/>
    </row>
    <row r="5699" spans="1:9" ht="20.399999999999999" x14ac:dyDescent="0.35">
      <c r="A5699" s="1"/>
      <c r="B5699" s="476" t="s">
        <v>2</v>
      </c>
      <c r="C5699" s="476"/>
      <c r="D5699" s="476"/>
      <c r="E5699" s="546"/>
      <c r="F5699" s="546"/>
      <c r="G5699" s="546"/>
      <c r="H5699" s="547"/>
    </row>
    <row r="5700" spans="1:9" x14ac:dyDescent="0.3">
      <c r="A5700" s="477" t="s">
        <v>3</v>
      </c>
      <c r="B5700" s="478"/>
      <c r="C5700" s="479" t="s">
        <v>4</v>
      </c>
      <c r="D5700" s="479"/>
      <c r="E5700" s="654" t="s">
        <v>5</v>
      </c>
      <c r="F5700" s="654"/>
      <c r="G5700" s="654"/>
      <c r="H5700" s="654"/>
    </row>
    <row r="5701" spans="1:9" ht="15.6" x14ac:dyDescent="0.3">
      <c r="A5701" s="4" t="s">
        <v>6</v>
      </c>
      <c r="B5701" s="5"/>
      <c r="C5701" s="481" t="s">
        <v>7</v>
      </c>
      <c r="D5701" s="481"/>
      <c r="E5701" s="482">
        <v>124</v>
      </c>
      <c r="F5701" s="482"/>
      <c r="G5701" s="7" t="s">
        <v>8</v>
      </c>
      <c r="H5701" s="250">
        <v>45818</v>
      </c>
    </row>
    <row r="5702" spans="1:9" ht="15.6" x14ac:dyDescent="0.3">
      <c r="A5702" s="551" t="s">
        <v>458</v>
      </c>
      <c r="B5702" s="552"/>
      <c r="C5702" s="481" t="s">
        <v>10</v>
      </c>
      <c r="D5702" s="481"/>
      <c r="E5702" s="482" t="s">
        <v>1072</v>
      </c>
      <c r="F5702" s="482"/>
      <c r="G5702" s="7" t="s">
        <v>8</v>
      </c>
      <c r="H5702" s="250" t="s">
        <v>1069</v>
      </c>
    </row>
    <row r="5703" spans="1:9" ht="24" customHeight="1" x14ac:dyDescent="0.3">
      <c r="A5703" s="560" t="s">
        <v>459</v>
      </c>
      <c r="B5703" s="561"/>
      <c r="C5703" s="483" t="s">
        <v>12</v>
      </c>
      <c r="D5703" s="484"/>
      <c r="E5703" s="564" t="s">
        <v>700</v>
      </c>
      <c r="F5703" s="593"/>
      <c r="G5703" s="10" t="s">
        <v>8</v>
      </c>
      <c r="H5703" s="252">
        <v>45633</v>
      </c>
    </row>
    <row r="5704" spans="1:9" ht="15.6" x14ac:dyDescent="0.3">
      <c r="A5704" s="253" t="s">
        <v>460</v>
      </c>
      <c r="B5704" s="254"/>
      <c r="C5704" s="481" t="s">
        <v>15</v>
      </c>
      <c r="D5704" s="481"/>
      <c r="E5704" s="489" t="s">
        <v>461</v>
      </c>
      <c r="F5704" s="490"/>
      <c r="G5704" s="490"/>
      <c r="H5704" s="491"/>
    </row>
    <row r="5705" spans="1:9" ht="15.6" x14ac:dyDescent="0.3">
      <c r="A5705" s="255" t="s">
        <v>1086</v>
      </c>
      <c r="B5705" s="256"/>
      <c r="C5705" s="489"/>
      <c r="D5705" s="490"/>
      <c r="E5705" s="490"/>
      <c r="F5705" s="490"/>
      <c r="G5705" s="490"/>
      <c r="H5705" s="491"/>
    </row>
    <row r="5706" spans="1:9" ht="15" x14ac:dyDescent="0.3">
      <c r="A5706" s="492" t="s">
        <v>17</v>
      </c>
      <c r="B5706" s="494" t="s">
        <v>18</v>
      </c>
      <c r="C5706" s="494" t="s">
        <v>19</v>
      </c>
      <c r="D5706" s="495" t="s">
        <v>20</v>
      </c>
      <c r="E5706" s="494" t="s">
        <v>21</v>
      </c>
      <c r="F5706" s="494" t="s">
        <v>22</v>
      </c>
      <c r="G5706" s="494"/>
      <c r="H5706" s="492" t="s">
        <v>23</v>
      </c>
    </row>
    <row r="5707" spans="1:9" ht="27.6" x14ac:dyDescent="0.3">
      <c r="A5707" s="492"/>
      <c r="B5707" s="494"/>
      <c r="C5707" s="494"/>
      <c r="D5707" s="505"/>
      <c r="E5707" s="494"/>
      <c r="F5707" s="53" t="s">
        <v>24</v>
      </c>
      <c r="G5707" s="53" t="s">
        <v>25</v>
      </c>
      <c r="H5707" s="492"/>
    </row>
    <row r="5708" spans="1:9" x14ac:dyDescent="0.3">
      <c r="A5708" s="55">
        <v>1</v>
      </c>
      <c r="B5708" s="84" t="s">
        <v>698</v>
      </c>
      <c r="C5708" s="55">
        <v>1</v>
      </c>
      <c r="D5708" s="297">
        <v>85083100</v>
      </c>
      <c r="E5708" s="55">
        <v>16665</v>
      </c>
      <c r="F5708" s="55">
        <f>E5708*C5708*9%</f>
        <v>1499.85</v>
      </c>
      <c r="G5708" s="55">
        <f>F5708</f>
        <v>1499.85</v>
      </c>
      <c r="H5708" s="55">
        <f>G5708+F5708+E5708*C5708</f>
        <v>19664.7</v>
      </c>
      <c r="I5708" s="362">
        <f>E5708*C5708</f>
        <v>16665</v>
      </c>
    </row>
    <row r="5709" spans="1:9" x14ac:dyDescent="0.3">
      <c r="A5709" s="55">
        <v>2</v>
      </c>
      <c r="B5709" s="84" t="s">
        <v>699</v>
      </c>
      <c r="C5709" s="55">
        <v>1</v>
      </c>
      <c r="D5709" s="297">
        <v>85083100</v>
      </c>
      <c r="E5709" s="55">
        <v>1300</v>
      </c>
      <c r="F5709" s="55">
        <f>E5709*C5709*9%</f>
        <v>117</v>
      </c>
      <c r="G5709" s="55">
        <f>F5709</f>
        <v>117</v>
      </c>
      <c r="H5709" s="55">
        <f>G5709+F5709+E5709*C5709</f>
        <v>1534</v>
      </c>
      <c r="I5709" s="362">
        <f>E5709*C5709</f>
        <v>1300</v>
      </c>
    </row>
    <row r="5710" spans="1:9" x14ac:dyDescent="0.3">
      <c r="A5710" s="55">
        <v>3</v>
      </c>
      <c r="B5710" s="84" t="s">
        <v>1075</v>
      </c>
      <c r="C5710" s="55">
        <v>1</v>
      </c>
      <c r="D5710" s="86">
        <v>998719</v>
      </c>
      <c r="E5710" s="55">
        <v>4500</v>
      </c>
      <c r="F5710" s="55">
        <f>E5710*C5710*9%</f>
        <v>405</v>
      </c>
      <c r="G5710" s="55">
        <f>F5710</f>
        <v>405</v>
      </c>
      <c r="H5710" s="55">
        <f>G5710+F5710+E5710*C5710</f>
        <v>5310</v>
      </c>
      <c r="I5710" s="362">
        <f>E5710*C5710</f>
        <v>4500</v>
      </c>
    </row>
    <row r="5711" spans="1:9" x14ac:dyDescent="0.3">
      <c r="A5711" s="55"/>
      <c r="B5711" s="84"/>
      <c r="C5711" s="55"/>
      <c r="D5711" s="86"/>
      <c r="E5711" s="55"/>
      <c r="F5711" s="55"/>
      <c r="G5711" s="55"/>
      <c r="H5711" s="55"/>
    </row>
    <row r="5712" spans="1:9" ht="15" x14ac:dyDescent="0.3">
      <c r="A5712" s="353"/>
      <c r="B5712" s="84"/>
      <c r="C5712" s="55"/>
      <c r="D5712" s="86"/>
      <c r="E5712" s="55"/>
      <c r="F5712" s="55"/>
      <c r="G5712" s="55"/>
      <c r="H5712" s="55"/>
    </row>
    <row r="5713" spans="1:8" x14ac:dyDescent="0.3">
      <c r="A5713" s="55"/>
      <c r="B5713" s="84"/>
      <c r="C5713" s="55"/>
      <c r="D5713" s="86"/>
      <c r="E5713" s="55"/>
      <c r="F5713" s="55"/>
      <c r="G5713" s="55"/>
      <c r="H5713" s="55"/>
    </row>
    <row r="5714" spans="1:8" x14ac:dyDescent="0.3">
      <c r="A5714" s="55"/>
      <c r="B5714" s="84"/>
      <c r="C5714" s="20"/>
      <c r="D5714" s="86"/>
      <c r="E5714" s="55"/>
      <c r="F5714" s="55"/>
      <c r="G5714" s="55"/>
      <c r="H5714" s="55"/>
    </row>
    <row r="5715" spans="1:8" ht="15" x14ac:dyDescent="0.3">
      <c r="A5715" s="353"/>
      <c r="B5715" s="257"/>
      <c r="C5715" s="20"/>
      <c r="D5715" s="86"/>
      <c r="E5715" s="55"/>
      <c r="F5715" s="55"/>
      <c r="G5715" s="55"/>
      <c r="H5715" s="55"/>
    </row>
    <row r="5716" spans="1:8" x14ac:dyDescent="0.3">
      <c r="A5716" s="55"/>
      <c r="B5716" s="257"/>
      <c r="C5716" s="20"/>
      <c r="D5716" s="86"/>
      <c r="E5716" s="55"/>
      <c r="F5716" s="55"/>
      <c r="G5716" s="55"/>
      <c r="H5716" s="55"/>
    </row>
    <row r="5717" spans="1:8" x14ac:dyDescent="0.3">
      <c r="A5717" s="55"/>
      <c r="B5717" s="257"/>
      <c r="C5717" s="20"/>
      <c r="D5717" s="86"/>
      <c r="E5717" s="55"/>
      <c r="F5717" s="55"/>
      <c r="G5717" s="55"/>
      <c r="H5717" s="55"/>
    </row>
    <row r="5718" spans="1:8" x14ac:dyDescent="0.3">
      <c r="A5718" s="55"/>
      <c r="B5718" s="257"/>
      <c r="C5718" s="20"/>
      <c r="D5718" s="86"/>
      <c r="E5718" s="55"/>
      <c r="F5718" s="55"/>
      <c r="G5718" s="55"/>
      <c r="H5718" s="55"/>
    </row>
    <row r="5719" spans="1:8" x14ac:dyDescent="0.3">
      <c r="A5719" s="55"/>
      <c r="B5719" s="257"/>
      <c r="C5719" s="20"/>
      <c r="D5719" s="86"/>
      <c r="E5719" s="55"/>
      <c r="F5719" s="55"/>
      <c r="G5719" s="55"/>
      <c r="H5719" s="55"/>
    </row>
    <row r="5720" spans="1:8" x14ac:dyDescent="0.3">
      <c r="A5720" s="55"/>
      <c r="B5720" s="257"/>
      <c r="C5720" s="20"/>
      <c r="D5720" s="86"/>
      <c r="E5720" s="55"/>
      <c r="F5720" s="55"/>
      <c r="G5720" s="55"/>
      <c r="H5720" s="55"/>
    </row>
    <row r="5721" spans="1:8" x14ac:dyDescent="0.3">
      <c r="A5721" s="55"/>
      <c r="B5721" s="257"/>
      <c r="C5721" s="20"/>
      <c r="D5721" s="86"/>
      <c r="E5721" s="55"/>
      <c r="F5721" s="55"/>
      <c r="G5721" s="55"/>
      <c r="H5721" s="55"/>
    </row>
    <row r="5722" spans="1:8" x14ac:dyDescent="0.3">
      <c r="A5722" s="163"/>
      <c r="B5722" s="163"/>
      <c r="C5722" s="163"/>
      <c r="D5722" s="163"/>
      <c r="E5722" s="163"/>
      <c r="F5722" s="163"/>
      <c r="G5722" s="163"/>
      <c r="H5722" s="163"/>
    </row>
    <row r="5723" spans="1:8" x14ac:dyDescent="0.3">
      <c r="A5723" s="55"/>
      <c r="B5723" s="257"/>
      <c r="C5723" s="55"/>
      <c r="D5723" s="55"/>
      <c r="E5723" s="55"/>
      <c r="F5723" s="55"/>
      <c r="G5723" s="55"/>
      <c r="H5723" s="55"/>
    </row>
    <row r="5724" spans="1:8" x14ac:dyDescent="0.3">
      <c r="A5724" s="57"/>
      <c r="B5724" s="84"/>
      <c r="C5724" s="85"/>
      <c r="D5724" s="86"/>
      <c r="E5724" s="87"/>
      <c r="F5724" s="47"/>
      <c r="G5724" s="47"/>
      <c r="H5724" s="47"/>
    </row>
    <row r="5725" spans="1:8" x14ac:dyDescent="0.3">
      <c r="A5725" s="57"/>
      <c r="B5725" s="84"/>
      <c r="C5725" s="85"/>
      <c r="D5725" s="86"/>
      <c r="E5725" s="47"/>
      <c r="F5725" s="47"/>
      <c r="G5725" s="47"/>
      <c r="H5725" s="47"/>
    </row>
    <row r="5726" spans="1:8" x14ac:dyDescent="0.3">
      <c r="A5726" s="55"/>
      <c r="B5726" s="84"/>
      <c r="C5726" s="55"/>
      <c r="D5726" s="86"/>
      <c r="E5726" s="47"/>
      <c r="F5726" s="47"/>
      <c r="G5726" s="47"/>
      <c r="H5726" s="47"/>
    </row>
    <row r="5727" spans="1:8" x14ac:dyDescent="0.3">
      <c r="A5727" s="27"/>
      <c r="B5727" s="28"/>
      <c r="C5727" s="24"/>
      <c r="D5727" s="25"/>
      <c r="E5727" s="25"/>
      <c r="F5727" s="28"/>
      <c r="G5727" s="28"/>
      <c r="H5727" s="32"/>
    </row>
    <row r="5728" spans="1:8" ht="15.6" x14ac:dyDescent="0.3">
      <c r="A5728" s="448" t="s">
        <v>45</v>
      </c>
      <c r="B5728" s="449"/>
      <c r="C5728" s="24"/>
      <c r="D5728" s="25"/>
      <c r="E5728" s="25"/>
      <c r="F5728" s="447" t="s">
        <v>46</v>
      </c>
      <c r="G5728" s="447"/>
      <c r="H5728" s="66">
        <v>22465</v>
      </c>
    </row>
    <row r="5729" spans="1:8" ht="15.6" x14ac:dyDescent="0.3">
      <c r="A5729" s="497" t="s">
        <v>1076</v>
      </c>
      <c r="B5729" s="498"/>
      <c r="C5729" s="498"/>
      <c r="D5729" s="498"/>
      <c r="E5729" s="498"/>
      <c r="F5729" s="447" t="s">
        <v>47</v>
      </c>
      <c r="G5729" s="447"/>
      <c r="H5729" s="66">
        <f>H5728*9%</f>
        <v>2021.85</v>
      </c>
    </row>
    <row r="5730" spans="1:8" ht="15.6" x14ac:dyDescent="0.3">
      <c r="A5730" s="27"/>
      <c r="B5730" s="28" t="s">
        <v>687</v>
      </c>
      <c r="C5730" s="24"/>
      <c r="D5730" s="25"/>
      <c r="E5730" s="25"/>
      <c r="F5730" s="447" t="s">
        <v>48</v>
      </c>
      <c r="G5730" s="447"/>
      <c r="H5730" s="66">
        <f>H5729</f>
        <v>2021.85</v>
      </c>
    </row>
    <row r="5731" spans="1:8" ht="15.6" x14ac:dyDescent="0.3">
      <c r="A5731" s="64" t="s">
        <v>49</v>
      </c>
      <c r="B5731" s="65"/>
      <c r="C5731" s="24"/>
      <c r="D5731" s="25"/>
      <c r="E5731" s="25"/>
      <c r="F5731" s="447" t="s">
        <v>50</v>
      </c>
      <c r="G5731" s="447"/>
      <c r="H5731" s="66">
        <v>26509</v>
      </c>
    </row>
    <row r="5732" spans="1:8" ht="27" x14ac:dyDescent="0.3">
      <c r="A5732" s="68" t="s">
        <v>22</v>
      </c>
      <c r="B5732" s="30" t="s">
        <v>51</v>
      </c>
      <c r="C5732" s="70" t="s">
        <v>24</v>
      </c>
      <c r="D5732" s="31" t="s">
        <v>25</v>
      </c>
      <c r="E5732" s="450" t="s">
        <v>52</v>
      </c>
      <c r="F5732" s="450"/>
      <c r="G5732" s="28"/>
      <c r="H5732" s="32"/>
    </row>
    <row r="5733" spans="1:8" x14ac:dyDescent="0.3">
      <c r="A5733" s="72">
        <v>0.18</v>
      </c>
      <c r="B5733" s="73">
        <f>H5728</f>
        <v>22465</v>
      </c>
      <c r="C5733" s="91">
        <f>H5729</f>
        <v>2021.85</v>
      </c>
      <c r="D5733" s="91">
        <f>H5729</f>
        <v>2021.85</v>
      </c>
      <c r="E5733" s="506">
        <f>C5733+D5733</f>
        <v>4043.7</v>
      </c>
      <c r="F5733" s="507"/>
      <c r="G5733" s="74"/>
      <c r="H5733" s="75"/>
    </row>
    <row r="5734" spans="1:8" x14ac:dyDescent="0.3">
      <c r="A5734" s="508" t="s">
        <v>1077</v>
      </c>
      <c r="B5734" s="509"/>
      <c r="C5734" s="509"/>
      <c r="D5734" s="509"/>
      <c r="E5734" s="453"/>
      <c r="F5734" s="453"/>
      <c r="G5734" s="453"/>
      <c r="H5734" s="454"/>
    </row>
    <row r="5735" spans="1:8" ht="15.6" x14ac:dyDescent="0.3">
      <c r="A5735" s="455" t="s">
        <v>53</v>
      </c>
      <c r="B5735" s="456"/>
      <c r="C5735" s="456"/>
      <c r="D5735" s="457"/>
      <c r="E5735" s="458" t="s">
        <v>54</v>
      </c>
      <c r="F5735" s="459"/>
      <c r="G5735" s="459"/>
      <c r="H5735" s="460"/>
    </row>
    <row r="5736" spans="1:8" x14ac:dyDescent="0.3">
      <c r="A5736" s="461" t="s">
        <v>55</v>
      </c>
      <c r="B5736" s="462"/>
      <c r="C5736" s="462"/>
      <c r="D5736" s="463"/>
      <c r="E5736" s="39"/>
      <c r="F5736" s="28"/>
      <c r="G5736" s="28"/>
      <c r="H5736" s="32"/>
    </row>
    <row r="5737" spans="1:8" x14ac:dyDescent="0.3">
      <c r="A5737" s="461" t="s">
        <v>56</v>
      </c>
      <c r="B5737" s="462"/>
      <c r="C5737" s="462"/>
      <c r="D5737" s="463"/>
      <c r="E5737" s="39"/>
      <c r="F5737" s="28"/>
      <c r="G5737" s="28"/>
      <c r="H5737" s="32"/>
    </row>
    <row r="5738" spans="1:8" x14ac:dyDescent="0.3">
      <c r="A5738" s="461" t="s">
        <v>57</v>
      </c>
      <c r="B5738" s="462"/>
      <c r="C5738" s="462"/>
      <c r="D5738" s="463"/>
      <c r="E5738" s="39"/>
      <c r="F5738" s="28"/>
      <c r="G5738" s="28"/>
      <c r="H5738" s="32"/>
    </row>
    <row r="5739" spans="1:8" ht="15.6" x14ac:dyDescent="0.3">
      <c r="A5739" s="464" t="s">
        <v>58</v>
      </c>
      <c r="B5739" s="465"/>
      <c r="C5739" s="465"/>
      <c r="D5739" s="465"/>
      <c r="E5739" s="466" t="s">
        <v>59</v>
      </c>
      <c r="F5739" s="467"/>
      <c r="G5739" s="467"/>
      <c r="H5739" s="468"/>
    </row>
    <row r="5743" spans="1:8" ht="44.4" x14ac:dyDescent="0.7">
      <c r="A5743" s="469" t="s">
        <v>0</v>
      </c>
      <c r="B5743" s="470"/>
      <c r="C5743" s="470"/>
      <c r="D5743" s="470"/>
      <c r="E5743" s="531" t="s">
        <v>1</v>
      </c>
      <c r="F5743" s="544"/>
      <c r="G5743" s="544"/>
      <c r="H5743" s="545"/>
    </row>
    <row r="5744" spans="1:8" ht="20.399999999999999" x14ac:dyDescent="0.35">
      <c r="A5744" s="1"/>
      <c r="B5744" s="476" t="s">
        <v>2</v>
      </c>
      <c r="C5744" s="476"/>
      <c r="D5744" s="476"/>
      <c r="E5744" s="546"/>
      <c r="F5744" s="546"/>
      <c r="G5744" s="546"/>
      <c r="H5744" s="547"/>
    </row>
    <row r="5745" spans="1:8" x14ac:dyDescent="0.3">
      <c r="A5745" s="477" t="s">
        <v>3</v>
      </c>
      <c r="B5745" s="478"/>
      <c r="C5745" s="479" t="s">
        <v>4</v>
      </c>
      <c r="D5745" s="479"/>
      <c r="E5745" s="654" t="s">
        <v>5</v>
      </c>
      <c r="F5745" s="654"/>
      <c r="G5745" s="654"/>
      <c r="H5745" s="654"/>
    </row>
    <row r="5746" spans="1:8" ht="15.6" x14ac:dyDescent="0.3">
      <c r="A5746" s="4" t="s">
        <v>6</v>
      </c>
      <c r="B5746" s="5"/>
      <c r="C5746" s="481" t="s">
        <v>7</v>
      </c>
      <c r="D5746" s="481"/>
      <c r="E5746" s="482">
        <v>125</v>
      </c>
      <c r="F5746" s="482"/>
      <c r="G5746" s="7" t="s">
        <v>8</v>
      </c>
      <c r="H5746" s="250">
        <v>45818</v>
      </c>
    </row>
    <row r="5747" spans="1:8" ht="15.6" x14ac:dyDescent="0.3">
      <c r="A5747" s="551" t="s">
        <v>458</v>
      </c>
      <c r="B5747" s="552"/>
      <c r="C5747" s="481" t="s">
        <v>10</v>
      </c>
      <c r="D5747" s="481"/>
      <c r="E5747" s="482">
        <v>12</v>
      </c>
      <c r="F5747" s="482"/>
      <c r="G5747" s="7" t="s">
        <v>8</v>
      </c>
      <c r="H5747" s="250">
        <v>45784</v>
      </c>
    </row>
    <row r="5748" spans="1:8" ht="24" customHeight="1" x14ac:dyDescent="0.3">
      <c r="A5748" s="560" t="s">
        <v>459</v>
      </c>
      <c r="B5748" s="561"/>
      <c r="C5748" s="483" t="s">
        <v>12</v>
      </c>
      <c r="D5748" s="484"/>
      <c r="E5748" s="652" t="s">
        <v>466</v>
      </c>
      <c r="F5748" s="653"/>
      <c r="G5748" s="10" t="s">
        <v>8</v>
      </c>
      <c r="H5748" s="252" t="s">
        <v>465</v>
      </c>
    </row>
    <row r="5749" spans="1:8" ht="15.6" x14ac:dyDescent="0.3">
      <c r="A5749" s="253" t="s">
        <v>460</v>
      </c>
      <c r="B5749" s="254"/>
      <c r="C5749" s="481" t="s">
        <v>15</v>
      </c>
      <c r="D5749" s="481"/>
      <c r="E5749" s="489" t="s">
        <v>461</v>
      </c>
      <c r="F5749" s="490"/>
      <c r="G5749" s="490"/>
      <c r="H5749" s="491"/>
    </row>
    <row r="5750" spans="1:8" ht="15.6" x14ac:dyDescent="0.3">
      <c r="A5750" s="255" t="s">
        <v>1085</v>
      </c>
      <c r="B5750" s="256"/>
      <c r="C5750" s="489"/>
      <c r="D5750" s="490"/>
      <c r="E5750" s="490"/>
      <c r="F5750" s="490"/>
      <c r="G5750" s="490"/>
      <c r="H5750" s="491"/>
    </row>
    <row r="5751" spans="1:8" ht="15" x14ac:dyDescent="0.3">
      <c r="A5751" s="492" t="s">
        <v>17</v>
      </c>
      <c r="B5751" s="494" t="s">
        <v>18</v>
      </c>
      <c r="C5751" s="494" t="s">
        <v>19</v>
      </c>
      <c r="D5751" s="495" t="s">
        <v>20</v>
      </c>
      <c r="E5751" s="494" t="s">
        <v>21</v>
      </c>
      <c r="F5751" s="494" t="s">
        <v>22</v>
      </c>
      <c r="G5751" s="494"/>
      <c r="H5751" s="492" t="s">
        <v>23</v>
      </c>
    </row>
    <row r="5752" spans="1:8" ht="27.6" x14ac:dyDescent="0.3">
      <c r="A5752" s="492"/>
      <c r="B5752" s="494"/>
      <c r="C5752" s="494"/>
      <c r="D5752" s="505"/>
      <c r="E5752" s="494"/>
      <c r="F5752" s="53" t="s">
        <v>24</v>
      </c>
      <c r="G5752" s="53" t="s">
        <v>25</v>
      </c>
      <c r="H5752" s="492"/>
    </row>
    <row r="5753" spans="1:8" ht="15" x14ac:dyDescent="0.3">
      <c r="A5753" s="353">
        <v>1</v>
      </c>
      <c r="B5753" s="84" t="s">
        <v>1078</v>
      </c>
      <c r="C5753" s="352">
        <v>1</v>
      </c>
      <c r="D5753" s="86">
        <v>998719</v>
      </c>
      <c r="E5753" s="352">
        <v>500</v>
      </c>
      <c r="F5753" s="55">
        <f t="shared" ref="F5753" si="111">E5753*C5753*9%</f>
        <v>45</v>
      </c>
      <c r="G5753" s="55">
        <f t="shared" ref="G5753" si="112">F5753</f>
        <v>45</v>
      </c>
      <c r="H5753" s="55">
        <f t="shared" ref="H5753" si="113">G5753+F5753+E5753*C5753</f>
        <v>590</v>
      </c>
    </row>
    <row r="5754" spans="1:8" x14ac:dyDescent="0.3">
      <c r="A5754" s="55"/>
      <c r="B5754" s="84"/>
      <c r="C5754" s="55"/>
      <c r="D5754" s="86"/>
      <c r="E5754" s="55"/>
      <c r="F5754" s="55"/>
      <c r="G5754" s="55"/>
      <c r="H5754" s="55"/>
    </row>
    <row r="5755" spans="1:8" x14ac:dyDescent="0.3">
      <c r="A5755" s="55"/>
      <c r="B5755" s="84"/>
      <c r="C5755" s="55"/>
      <c r="D5755" s="86"/>
      <c r="E5755" s="55"/>
      <c r="F5755" s="55"/>
      <c r="G5755" s="55"/>
      <c r="H5755" s="55"/>
    </row>
    <row r="5756" spans="1:8" ht="15" x14ac:dyDescent="0.3">
      <c r="A5756" s="353"/>
      <c r="B5756" s="84"/>
      <c r="C5756" s="55"/>
      <c r="D5756" s="86"/>
      <c r="E5756" s="55"/>
      <c r="F5756" s="55"/>
      <c r="G5756" s="55"/>
      <c r="H5756" s="55"/>
    </row>
    <row r="5757" spans="1:8" x14ac:dyDescent="0.3">
      <c r="A5757" s="55"/>
      <c r="B5757" s="84"/>
      <c r="C5757" s="55"/>
      <c r="D5757" s="86"/>
      <c r="E5757" s="55"/>
      <c r="F5757" s="55"/>
      <c r="G5757" s="55"/>
      <c r="H5757" s="55"/>
    </row>
    <row r="5758" spans="1:8" x14ac:dyDescent="0.3">
      <c r="A5758" s="55"/>
      <c r="B5758" s="84"/>
      <c r="C5758" s="55"/>
      <c r="D5758" s="86"/>
      <c r="E5758" s="55"/>
      <c r="F5758" s="55"/>
      <c r="G5758" s="55"/>
      <c r="H5758" s="55"/>
    </row>
    <row r="5759" spans="1:8" ht="15" x14ac:dyDescent="0.3">
      <c r="A5759" s="353"/>
      <c r="B5759" s="84"/>
      <c r="C5759" s="55"/>
      <c r="D5759" s="86"/>
      <c r="E5759" s="55"/>
      <c r="F5759" s="55"/>
      <c r="G5759" s="55"/>
      <c r="H5759" s="55"/>
    </row>
    <row r="5760" spans="1:8" x14ac:dyDescent="0.3">
      <c r="A5760" s="55"/>
      <c r="B5760" s="84"/>
      <c r="C5760" s="55"/>
      <c r="D5760" s="86"/>
      <c r="E5760" s="55"/>
      <c r="F5760" s="55"/>
      <c r="G5760" s="55"/>
      <c r="H5760" s="55"/>
    </row>
    <row r="5761" spans="1:8" x14ac:dyDescent="0.3">
      <c r="A5761" s="55"/>
      <c r="B5761" s="84"/>
      <c r="C5761" s="20"/>
      <c r="D5761" s="86"/>
      <c r="E5761" s="55"/>
      <c r="F5761" s="55"/>
      <c r="G5761" s="55"/>
      <c r="H5761" s="55"/>
    </row>
    <row r="5762" spans="1:8" ht="15" x14ac:dyDescent="0.3">
      <c r="A5762" s="353"/>
      <c r="B5762" s="257"/>
      <c r="C5762" s="20"/>
      <c r="D5762" s="86"/>
      <c r="E5762" s="55"/>
      <c r="F5762" s="55"/>
      <c r="G5762" s="55"/>
      <c r="H5762" s="55"/>
    </row>
    <row r="5763" spans="1:8" x14ac:dyDescent="0.3">
      <c r="A5763" s="55"/>
      <c r="B5763" s="257"/>
      <c r="C5763" s="20"/>
      <c r="D5763" s="86"/>
      <c r="E5763" s="55"/>
      <c r="F5763" s="55"/>
      <c r="G5763" s="55"/>
      <c r="H5763" s="55"/>
    </row>
    <row r="5764" spans="1:8" x14ac:dyDescent="0.3">
      <c r="A5764" s="55"/>
      <c r="B5764" s="257"/>
      <c r="C5764" s="20"/>
      <c r="D5764" s="86"/>
      <c r="E5764" s="55"/>
      <c r="F5764" s="55"/>
      <c r="G5764" s="55"/>
      <c r="H5764" s="55"/>
    </row>
    <row r="5765" spans="1:8" x14ac:dyDescent="0.3">
      <c r="A5765" s="55"/>
      <c r="B5765" s="257"/>
      <c r="C5765" s="20"/>
      <c r="D5765" s="86"/>
      <c r="E5765" s="55"/>
      <c r="F5765" s="55"/>
      <c r="G5765" s="55"/>
      <c r="H5765" s="55"/>
    </row>
    <row r="5766" spans="1:8" x14ac:dyDescent="0.3">
      <c r="A5766" s="55"/>
      <c r="B5766" s="257"/>
      <c r="C5766" s="20"/>
      <c r="D5766" s="86"/>
      <c r="E5766" s="55"/>
      <c r="F5766" s="55"/>
      <c r="G5766" s="55"/>
      <c r="H5766" s="55"/>
    </row>
    <row r="5767" spans="1:8" x14ac:dyDescent="0.3">
      <c r="A5767" s="55"/>
      <c r="B5767" s="257"/>
      <c r="C5767" s="20"/>
      <c r="D5767" s="86"/>
      <c r="E5767" s="55"/>
      <c r="F5767" s="55"/>
      <c r="G5767" s="55"/>
      <c r="H5767" s="55"/>
    </row>
    <row r="5768" spans="1:8" x14ac:dyDescent="0.3">
      <c r="A5768" s="55"/>
      <c r="B5768" s="257"/>
      <c r="C5768" s="20"/>
      <c r="D5768" s="86"/>
      <c r="E5768" s="55"/>
      <c r="F5768" s="55"/>
      <c r="G5768" s="55"/>
      <c r="H5768" s="55"/>
    </row>
    <row r="5769" spans="1:8" x14ac:dyDescent="0.3">
      <c r="A5769" s="163"/>
      <c r="B5769" s="163"/>
      <c r="C5769" s="163"/>
      <c r="D5769" s="163"/>
      <c r="E5769" s="163"/>
      <c r="F5769" s="163"/>
      <c r="G5769" s="163"/>
      <c r="H5769" s="163"/>
    </row>
    <row r="5770" spans="1:8" x14ac:dyDescent="0.3">
      <c r="A5770" s="55"/>
      <c r="B5770" s="257"/>
      <c r="C5770" s="55"/>
      <c r="D5770" s="55"/>
      <c r="E5770" s="55"/>
      <c r="F5770" s="55"/>
      <c r="G5770" s="55"/>
      <c r="H5770" s="55"/>
    </row>
    <row r="5771" spans="1:8" x14ac:dyDescent="0.3">
      <c r="A5771" s="57"/>
      <c r="B5771" s="84"/>
      <c r="C5771" s="85"/>
      <c r="D5771" s="86"/>
      <c r="E5771" s="87"/>
      <c r="F5771" s="47"/>
      <c r="G5771" s="47"/>
      <c r="H5771" s="47"/>
    </row>
    <row r="5772" spans="1:8" x14ac:dyDescent="0.3">
      <c r="A5772" s="57"/>
      <c r="B5772" s="84"/>
      <c r="C5772" s="85"/>
      <c r="D5772" s="86"/>
      <c r="E5772" s="47"/>
      <c r="F5772" s="47"/>
      <c r="G5772" s="47"/>
      <c r="H5772" s="47"/>
    </row>
    <row r="5773" spans="1:8" x14ac:dyDescent="0.3">
      <c r="A5773" s="55"/>
      <c r="B5773" s="84"/>
      <c r="C5773" s="55"/>
      <c r="D5773" s="86"/>
      <c r="E5773" s="47"/>
      <c r="F5773" s="47"/>
      <c r="G5773" s="47"/>
      <c r="H5773" s="47"/>
    </row>
    <row r="5774" spans="1:8" x14ac:dyDescent="0.3">
      <c r="A5774" s="27"/>
      <c r="B5774" s="28"/>
      <c r="C5774" s="24"/>
      <c r="D5774" s="25"/>
      <c r="E5774" s="25"/>
      <c r="F5774" s="28"/>
      <c r="G5774" s="28"/>
      <c r="H5774" s="32"/>
    </row>
    <row r="5775" spans="1:8" ht="15.6" x14ac:dyDescent="0.3">
      <c r="A5775" s="448" t="s">
        <v>45</v>
      </c>
      <c r="B5775" s="449"/>
      <c r="C5775" s="24"/>
      <c r="D5775" s="25"/>
      <c r="E5775" s="25"/>
      <c r="F5775" s="447" t="s">
        <v>46</v>
      </c>
      <c r="G5775" s="447"/>
      <c r="H5775" s="66">
        <v>500</v>
      </c>
    </row>
    <row r="5776" spans="1:8" ht="15.6" x14ac:dyDescent="0.3">
      <c r="A5776" s="497" t="s">
        <v>1067</v>
      </c>
      <c r="B5776" s="498"/>
      <c r="C5776" s="498"/>
      <c r="D5776" s="498"/>
      <c r="E5776" s="498"/>
      <c r="F5776" s="447" t="s">
        <v>47</v>
      </c>
      <c r="G5776" s="447"/>
      <c r="H5776" s="66">
        <f>H5775*9%</f>
        <v>45</v>
      </c>
    </row>
    <row r="5777" spans="1:8" ht="15.6" x14ac:dyDescent="0.3">
      <c r="A5777" s="27"/>
      <c r="B5777" s="28" t="s">
        <v>687</v>
      </c>
      <c r="C5777" s="24"/>
      <c r="D5777" s="25"/>
      <c r="E5777" s="25"/>
      <c r="F5777" s="447" t="s">
        <v>48</v>
      </c>
      <c r="G5777" s="447"/>
      <c r="H5777" s="66">
        <f>H5776</f>
        <v>45</v>
      </c>
    </row>
    <row r="5778" spans="1:8" ht="15.6" x14ac:dyDescent="0.3">
      <c r="A5778" s="64" t="s">
        <v>49</v>
      </c>
      <c r="B5778" s="65"/>
      <c r="C5778" s="24"/>
      <c r="D5778" s="25"/>
      <c r="E5778" s="25"/>
      <c r="F5778" s="447" t="s">
        <v>50</v>
      </c>
      <c r="G5778" s="447"/>
      <c r="H5778" s="66">
        <f>H5775+H5776+H5777</f>
        <v>590</v>
      </c>
    </row>
    <row r="5779" spans="1:8" ht="27" x14ac:dyDescent="0.3">
      <c r="A5779" s="68" t="s">
        <v>22</v>
      </c>
      <c r="B5779" s="30" t="s">
        <v>51</v>
      </c>
      <c r="C5779" s="70" t="s">
        <v>24</v>
      </c>
      <c r="D5779" s="31" t="s">
        <v>25</v>
      </c>
      <c r="E5779" s="450" t="s">
        <v>52</v>
      </c>
      <c r="F5779" s="450"/>
      <c r="G5779" s="28"/>
      <c r="H5779" s="32"/>
    </row>
    <row r="5780" spans="1:8" x14ac:dyDescent="0.3">
      <c r="A5780" s="72">
        <v>0.18</v>
      </c>
      <c r="B5780" s="73">
        <f>H5775</f>
        <v>500</v>
      </c>
      <c r="C5780" s="91">
        <f>H5776</f>
        <v>45</v>
      </c>
      <c r="D5780" s="91">
        <f>H5776</f>
        <v>45</v>
      </c>
      <c r="E5780" s="506">
        <f>C5780+D5780</f>
        <v>90</v>
      </c>
      <c r="F5780" s="507"/>
      <c r="G5780" s="74"/>
      <c r="H5780" s="75"/>
    </row>
    <row r="5781" spans="1:8" x14ac:dyDescent="0.3">
      <c r="A5781" s="508" t="s">
        <v>1068</v>
      </c>
      <c r="B5781" s="509"/>
      <c r="C5781" s="509"/>
      <c r="D5781" s="509"/>
      <c r="E5781" s="453"/>
      <c r="F5781" s="453"/>
      <c r="G5781" s="453"/>
      <c r="H5781" s="454"/>
    </row>
    <row r="5782" spans="1:8" ht="15.6" x14ac:dyDescent="0.3">
      <c r="A5782" s="455" t="s">
        <v>53</v>
      </c>
      <c r="B5782" s="456"/>
      <c r="C5782" s="456"/>
      <c r="D5782" s="457"/>
      <c r="E5782" s="458" t="s">
        <v>54</v>
      </c>
      <c r="F5782" s="459"/>
      <c r="G5782" s="459"/>
      <c r="H5782" s="460"/>
    </row>
    <row r="5783" spans="1:8" x14ac:dyDescent="0.3">
      <c r="A5783" s="461" t="s">
        <v>55</v>
      </c>
      <c r="B5783" s="462"/>
      <c r="C5783" s="462"/>
      <c r="D5783" s="463"/>
      <c r="E5783" s="39"/>
      <c r="F5783" s="28"/>
      <c r="G5783" s="28"/>
      <c r="H5783" s="32"/>
    </row>
    <row r="5784" spans="1:8" x14ac:dyDescent="0.3">
      <c r="A5784" s="461" t="s">
        <v>56</v>
      </c>
      <c r="B5784" s="462"/>
      <c r="C5784" s="462"/>
      <c r="D5784" s="463"/>
      <c r="E5784" s="39"/>
      <c r="F5784" s="28"/>
      <c r="G5784" s="28"/>
      <c r="H5784" s="32"/>
    </row>
    <row r="5785" spans="1:8" x14ac:dyDescent="0.3">
      <c r="A5785" s="461" t="s">
        <v>57</v>
      </c>
      <c r="B5785" s="462"/>
      <c r="C5785" s="462"/>
      <c r="D5785" s="463"/>
      <c r="E5785" s="39"/>
      <c r="F5785" s="28"/>
      <c r="G5785" s="28"/>
      <c r="H5785" s="32"/>
    </row>
    <row r="5786" spans="1:8" ht="15.6" x14ac:dyDescent="0.3">
      <c r="A5786" s="464" t="s">
        <v>58</v>
      </c>
      <c r="B5786" s="465"/>
      <c r="C5786" s="465"/>
      <c r="D5786" s="465"/>
      <c r="E5786" s="466" t="s">
        <v>59</v>
      </c>
      <c r="F5786" s="467"/>
      <c r="G5786" s="467"/>
      <c r="H5786" s="468"/>
    </row>
    <row r="5791" spans="1:8" ht="44.4" x14ac:dyDescent="0.7">
      <c r="A5791" s="469" t="s">
        <v>0</v>
      </c>
      <c r="B5791" s="470"/>
      <c r="C5791" s="470"/>
      <c r="D5791" s="470"/>
      <c r="E5791" s="531" t="s">
        <v>1</v>
      </c>
      <c r="F5791" s="544"/>
      <c r="G5791" s="544"/>
      <c r="H5791" s="545"/>
    </row>
    <row r="5792" spans="1:8" ht="20.399999999999999" x14ac:dyDescent="0.35">
      <c r="A5792" s="1"/>
      <c r="B5792" s="476" t="s">
        <v>2</v>
      </c>
      <c r="C5792" s="476"/>
      <c r="D5792" s="476"/>
      <c r="E5792" s="546"/>
      <c r="F5792" s="546"/>
      <c r="G5792" s="546"/>
      <c r="H5792" s="547"/>
    </row>
    <row r="5793" spans="1:9" x14ac:dyDescent="0.3">
      <c r="A5793" s="477" t="s">
        <v>3</v>
      </c>
      <c r="B5793" s="478"/>
      <c r="C5793" s="479" t="s">
        <v>4</v>
      </c>
      <c r="D5793" s="479"/>
      <c r="E5793" s="654" t="s">
        <v>5</v>
      </c>
      <c r="F5793" s="654"/>
      <c r="G5793" s="654"/>
      <c r="H5793" s="654"/>
    </row>
    <row r="5794" spans="1:9" ht="15.6" x14ac:dyDescent="0.3">
      <c r="A5794" s="4" t="s">
        <v>6</v>
      </c>
      <c r="B5794" s="5"/>
      <c r="C5794" s="481" t="s">
        <v>7</v>
      </c>
      <c r="D5794" s="481"/>
      <c r="E5794" s="482">
        <v>126</v>
      </c>
      <c r="F5794" s="482"/>
      <c r="G5794" s="7" t="s">
        <v>8</v>
      </c>
      <c r="H5794" s="250">
        <v>45818</v>
      </c>
    </row>
    <row r="5795" spans="1:9" ht="15.6" x14ac:dyDescent="0.3">
      <c r="A5795" s="551" t="s">
        <v>458</v>
      </c>
      <c r="B5795" s="552"/>
      <c r="C5795" s="481" t="s">
        <v>10</v>
      </c>
      <c r="D5795" s="481"/>
      <c r="E5795" s="482">
        <v>51</v>
      </c>
      <c r="F5795" s="482"/>
      <c r="G5795" s="7" t="s">
        <v>8</v>
      </c>
      <c r="H5795" s="250">
        <v>45907</v>
      </c>
    </row>
    <row r="5796" spans="1:9" ht="23.25" customHeight="1" x14ac:dyDescent="0.3">
      <c r="A5796" s="560" t="s">
        <v>459</v>
      </c>
      <c r="B5796" s="561"/>
      <c r="C5796" s="483" t="s">
        <v>12</v>
      </c>
      <c r="D5796" s="484"/>
      <c r="E5796" s="652" t="s">
        <v>466</v>
      </c>
      <c r="F5796" s="653"/>
      <c r="G5796" s="10" t="s">
        <v>8</v>
      </c>
      <c r="H5796" s="252" t="s">
        <v>465</v>
      </c>
    </row>
    <row r="5797" spans="1:9" ht="15.6" x14ac:dyDescent="0.3">
      <c r="A5797" s="253" t="s">
        <v>460</v>
      </c>
      <c r="B5797" s="254"/>
      <c r="C5797" s="481" t="s">
        <v>15</v>
      </c>
      <c r="D5797" s="481"/>
      <c r="E5797" s="489" t="s">
        <v>461</v>
      </c>
      <c r="F5797" s="490"/>
      <c r="G5797" s="490"/>
      <c r="H5797" s="491"/>
    </row>
    <row r="5798" spans="1:9" ht="15.6" x14ac:dyDescent="0.3">
      <c r="A5798" s="255" t="s">
        <v>1084</v>
      </c>
      <c r="B5798" s="256"/>
      <c r="C5798" s="489"/>
      <c r="D5798" s="490"/>
      <c r="E5798" s="490"/>
      <c r="F5798" s="490"/>
      <c r="G5798" s="490"/>
      <c r="H5798" s="491"/>
    </row>
    <row r="5799" spans="1:9" ht="15" x14ac:dyDescent="0.3">
      <c r="A5799" s="492" t="s">
        <v>17</v>
      </c>
      <c r="B5799" s="494" t="s">
        <v>18</v>
      </c>
      <c r="C5799" s="494" t="s">
        <v>19</v>
      </c>
      <c r="D5799" s="495" t="s">
        <v>20</v>
      </c>
      <c r="E5799" s="494" t="s">
        <v>21</v>
      </c>
      <c r="F5799" s="494" t="s">
        <v>22</v>
      </c>
      <c r="G5799" s="494"/>
      <c r="H5799" s="492" t="s">
        <v>23</v>
      </c>
    </row>
    <row r="5800" spans="1:9" ht="27.6" x14ac:dyDescent="0.3">
      <c r="A5800" s="492"/>
      <c r="B5800" s="494"/>
      <c r="C5800" s="494"/>
      <c r="D5800" s="505"/>
      <c r="E5800" s="494"/>
      <c r="F5800" s="53" t="s">
        <v>24</v>
      </c>
      <c r="G5800" s="53" t="s">
        <v>25</v>
      </c>
      <c r="H5800" s="492"/>
    </row>
    <row r="5801" spans="1:9" ht="15" x14ac:dyDescent="0.3">
      <c r="A5801" s="353">
        <v>1</v>
      </c>
      <c r="B5801" s="84" t="s">
        <v>1079</v>
      </c>
      <c r="C5801" s="352">
        <v>2</v>
      </c>
      <c r="D5801" s="86">
        <v>854690</v>
      </c>
      <c r="E5801" s="352">
        <v>3500</v>
      </c>
      <c r="F5801" s="55">
        <f t="shared" ref="F5801" si="114">E5801*C5801*9%</f>
        <v>630</v>
      </c>
      <c r="G5801" s="55">
        <f t="shared" ref="G5801" si="115">F5801</f>
        <v>630</v>
      </c>
      <c r="H5801" s="55">
        <f t="shared" ref="H5801" si="116">G5801+F5801+E5801*C5801</f>
        <v>8260</v>
      </c>
      <c r="I5801" s="362">
        <f>E5801*C5801</f>
        <v>7000</v>
      </c>
    </row>
    <row r="5802" spans="1:9" ht="27.6" x14ac:dyDescent="0.3">
      <c r="A5802" s="55">
        <v>2</v>
      </c>
      <c r="B5802" s="257" t="s">
        <v>1080</v>
      </c>
      <c r="C5802" s="55">
        <v>3</v>
      </c>
      <c r="D5802" s="86">
        <v>998719</v>
      </c>
      <c r="E5802" s="55">
        <v>1600</v>
      </c>
      <c r="F5802" s="55">
        <f t="shared" ref="F5802:F5804" si="117">E5802*C5802*9%</f>
        <v>432</v>
      </c>
      <c r="G5802" s="55">
        <f t="shared" ref="G5802:G5804" si="118">F5802</f>
        <v>432</v>
      </c>
      <c r="H5802" s="55">
        <f t="shared" ref="H5802:H5804" si="119">G5802+F5802+E5802*C5802</f>
        <v>5664</v>
      </c>
      <c r="I5802" s="362">
        <f t="shared" ref="I5802:I5804" si="120">E5802*C5802</f>
        <v>4800</v>
      </c>
    </row>
    <row r="5803" spans="1:9" x14ac:dyDescent="0.3">
      <c r="A5803" s="55">
        <v>3</v>
      </c>
      <c r="B5803" s="84" t="s">
        <v>1081</v>
      </c>
      <c r="C5803" s="55">
        <v>2</v>
      </c>
      <c r="D5803" s="86">
        <v>998719</v>
      </c>
      <c r="E5803" s="55">
        <v>6000</v>
      </c>
      <c r="F5803" s="55">
        <f t="shared" si="117"/>
        <v>1080</v>
      </c>
      <c r="G5803" s="55">
        <f t="shared" si="118"/>
        <v>1080</v>
      </c>
      <c r="H5803" s="55">
        <f t="shared" si="119"/>
        <v>14160</v>
      </c>
      <c r="I5803" s="362">
        <f t="shared" si="120"/>
        <v>12000</v>
      </c>
    </row>
    <row r="5804" spans="1:9" ht="15" x14ac:dyDescent="0.3">
      <c r="A5804" s="353">
        <v>4</v>
      </c>
      <c r="B5804" s="84" t="s">
        <v>1082</v>
      </c>
      <c r="C5804" s="55">
        <v>8</v>
      </c>
      <c r="D5804" s="86">
        <v>998719</v>
      </c>
      <c r="E5804" s="55">
        <v>700</v>
      </c>
      <c r="F5804" s="55">
        <f t="shared" si="117"/>
        <v>504</v>
      </c>
      <c r="G5804" s="55">
        <f t="shared" si="118"/>
        <v>504</v>
      </c>
      <c r="H5804" s="55">
        <f t="shared" si="119"/>
        <v>6608</v>
      </c>
      <c r="I5804" s="362">
        <f t="shared" si="120"/>
        <v>5600</v>
      </c>
    </row>
    <row r="5805" spans="1:9" x14ac:dyDescent="0.3">
      <c r="A5805" s="55"/>
      <c r="B5805" s="84"/>
      <c r="C5805" s="55"/>
      <c r="D5805" s="86"/>
      <c r="E5805" s="55"/>
      <c r="F5805" s="55"/>
      <c r="G5805" s="55"/>
      <c r="H5805" s="55"/>
    </row>
    <row r="5806" spans="1:9" x14ac:dyDescent="0.3">
      <c r="A5806" s="55"/>
      <c r="B5806" s="84"/>
      <c r="C5806" s="55"/>
      <c r="D5806" s="86"/>
      <c r="E5806" s="55"/>
      <c r="F5806" s="55"/>
      <c r="G5806" s="55"/>
      <c r="H5806" s="55"/>
    </row>
    <row r="5807" spans="1:9" ht="15" x14ac:dyDescent="0.3">
      <c r="A5807" s="353"/>
      <c r="B5807" s="84"/>
      <c r="C5807" s="55"/>
      <c r="D5807" s="86"/>
      <c r="E5807" s="55"/>
      <c r="F5807" s="55"/>
      <c r="G5807" s="55"/>
      <c r="H5807" s="55"/>
    </row>
    <row r="5808" spans="1:9" x14ac:dyDescent="0.3">
      <c r="A5808" s="55"/>
      <c r="B5808" s="84"/>
      <c r="C5808" s="55"/>
      <c r="D5808" s="86"/>
      <c r="E5808" s="55"/>
      <c r="F5808" s="55"/>
      <c r="G5808" s="55"/>
      <c r="H5808" s="55"/>
    </row>
    <row r="5809" spans="1:8" x14ac:dyDescent="0.3">
      <c r="A5809" s="55"/>
      <c r="B5809" s="84"/>
      <c r="C5809" s="20"/>
      <c r="D5809" s="86"/>
      <c r="E5809" s="55"/>
      <c r="F5809" s="55"/>
      <c r="G5809" s="55"/>
      <c r="H5809" s="55"/>
    </row>
    <row r="5810" spans="1:8" ht="15" x14ac:dyDescent="0.3">
      <c r="A5810" s="353"/>
      <c r="B5810" s="257"/>
      <c r="C5810" s="20"/>
      <c r="D5810" s="86"/>
      <c r="E5810" s="55"/>
      <c r="F5810" s="55"/>
      <c r="G5810" s="55"/>
      <c r="H5810" s="55"/>
    </row>
    <row r="5811" spans="1:8" x14ac:dyDescent="0.3">
      <c r="A5811" s="55"/>
      <c r="B5811" s="257"/>
      <c r="C5811" s="20"/>
      <c r="D5811" s="86"/>
      <c r="E5811" s="55"/>
      <c r="F5811" s="55"/>
      <c r="G5811" s="55"/>
      <c r="H5811" s="55"/>
    </row>
    <row r="5812" spans="1:8" x14ac:dyDescent="0.3">
      <c r="A5812" s="55"/>
      <c r="B5812" s="257"/>
      <c r="C5812" s="20"/>
      <c r="D5812" s="86"/>
      <c r="E5812" s="55"/>
      <c r="F5812" s="55"/>
      <c r="G5812" s="55"/>
      <c r="H5812" s="55"/>
    </row>
    <row r="5813" spans="1:8" x14ac:dyDescent="0.3">
      <c r="A5813" s="55"/>
      <c r="B5813" s="257"/>
      <c r="C5813" s="20"/>
      <c r="D5813" s="86"/>
      <c r="E5813" s="55"/>
      <c r="F5813" s="55"/>
      <c r="G5813" s="55"/>
      <c r="H5813" s="55"/>
    </row>
    <row r="5814" spans="1:8" x14ac:dyDescent="0.3">
      <c r="A5814" s="55"/>
      <c r="B5814" s="257"/>
      <c r="C5814" s="20"/>
      <c r="D5814" s="86"/>
      <c r="E5814" s="55"/>
      <c r="F5814" s="55"/>
      <c r="G5814" s="55"/>
      <c r="H5814" s="55"/>
    </row>
    <row r="5815" spans="1:8" x14ac:dyDescent="0.3">
      <c r="A5815" s="55"/>
      <c r="B5815" s="257"/>
      <c r="C5815" s="20"/>
      <c r="D5815" s="86"/>
      <c r="E5815" s="55"/>
      <c r="F5815" s="55"/>
      <c r="G5815" s="55"/>
      <c r="H5815" s="55"/>
    </row>
    <row r="5816" spans="1:8" x14ac:dyDescent="0.3">
      <c r="A5816" s="55"/>
      <c r="B5816" s="257"/>
      <c r="C5816" s="20"/>
      <c r="D5816" s="86"/>
      <c r="E5816" s="55"/>
      <c r="F5816" s="55"/>
      <c r="G5816" s="55"/>
      <c r="H5816" s="55"/>
    </row>
    <row r="5817" spans="1:8" x14ac:dyDescent="0.3">
      <c r="A5817" s="163"/>
      <c r="B5817" s="163"/>
      <c r="C5817" s="163"/>
      <c r="D5817" s="163"/>
      <c r="E5817" s="163"/>
      <c r="F5817" s="163"/>
      <c r="G5817" s="163"/>
      <c r="H5817" s="163"/>
    </row>
    <row r="5818" spans="1:8" x14ac:dyDescent="0.3">
      <c r="A5818" s="55"/>
      <c r="B5818" s="257"/>
      <c r="C5818" s="55"/>
      <c r="D5818" s="55"/>
      <c r="E5818" s="55"/>
      <c r="F5818" s="55"/>
      <c r="G5818" s="55"/>
      <c r="H5818" s="55"/>
    </row>
    <row r="5819" spans="1:8" x14ac:dyDescent="0.3">
      <c r="A5819" s="57"/>
      <c r="B5819" s="84"/>
      <c r="C5819" s="85"/>
      <c r="D5819" s="86"/>
      <c r="E5819" s="87"/>
      <c r="F5819" s="47"/>
      <c r="G5819" s="47"/>
      <c r="H5819" s="47"/>
    </row>
    <row r="5820" spans="1:8" x14ac:dyDescent="0.3">
      <c r="A5820" s="57"/>
      <c r="B5820" s="84"/>
      <c r="C5820" s="85"/>
      <c r="D5820" s="86"/>
      <c r="E5820" s="47"/>
      <c r="F5820" s="47"/>
      <c r="G5820" s="47"/>
      <c r="H5820" s="47"/>
    </row>
    <row r="5821" spans="1:8" x14ac:dyDescent="0.3">
      <c r="A5821" s="55"/>
      <c r="B5821" s="84"/>
      <c r="C5821" s="55"/>
      <c r="D5821" s="86"/>
      <c r="E5821" s="47"/>
      <c r="F5821" s="47"/>
      <c r="G5821" s="47"/>
      <c r="H5821" s="47"/>
    </row>
    <row r="5822" spans="1:8" x14ac:dyDescent="0.3">
      <c r="A5822" s="27"/>
      <c r="B5822" s="28"/>
      <c r="C5822" s="24"/>
      <c r="D5822" s="25"/>
      <c r="E5822" s="25"/>
      <c r="F5822" s="28"/>
      <c r="G5822" s="28"/>
      <c r="H5822" s="32"/>
    </row>
    <row r="5823" spans="1:8" ht="15.6" x14ac:dyDescent="0.3">
      <c r="A5823" s="448" t="s">
        <v>45</v>
      </c>
      <c r="B5823" s="449"/>
      <c r="C5823" s="24"/>
      <c r="D5823" s="25"/>
      <c r="E5823" s="25"/>
      <c r="F5823" s="447" t="s">
        <v>46</v>
      </c>
      <c r="G5823" s="447"/>
      <c r="H5823" s="66">
        <v>29400</v>
      </c>
    </row>
    <row r="5824" spans="1:8" ht="15.6" x14ac:dyDescent="0.3">
      <c r="A5824" s="497" t="s">
        <v>1088</v>
      </c>
      <c r="B5824" s="498"/>
      <c r="C5824" s="498"/>
      <c r="D5824" s="498"/>
      <c r="E5824" s="498"/>
      <c r="F5824" s="447" t="s">
        <v>47</v>
      </c>
      <c r="G5824" s="447"/>
      <c r="H5824" s="66">
        <f>H5823*9%</f>
        <v>2646</v>
      </c>
    </row>
    <row r="5825" spans="1:8" ht="15.6" x14ac:dyDescent="0.3">
      <c r="A5825" s="27"/>
      <c r="B5825" s="28" t="s">
        <v>687</v>
      </c>
      <c r="C5825" s="24"/>
      <c r="D5825" s="25"/>
      <c r="E5825" s="25"/>
      <c r="F5825" s="447" t="s">
        <v>48</v>
      </c>
      <c r="G5825" s="447"/>
      <c r="H5825" s="66">
        <f>H5824</f>
        <v>2646</v>
      </c>
    </row>
    <row r="5826" spans="1:8" ht="15.6" x14ac:dyDescent="0.3">
      <c r="A5826" s="64" t="s">
        <v>49</v>
      </c>
      <c r="B5826" s="65"/>
      <c r="C5826" s="24"/>
      <c r="D5826" s="25"/>
      <c r="E5826" s="25"/>
      <c r="F5826" s="447" t="s">
        <v>50</v>
      </c>
      <c r="G5826" s="447"/>
      <c r="H5826" s="66">
        <f>H5823+H5824+H5825</f>
        <v>34692</v>
      </c>
    </row>
    <row r="5827" spans="1:8" ht="27" x14ac:dyDescent="0.3">
      <c r="A5827" s="68" t="s">
        <v>22</v>
      </c>
      <c r="B5827" s="30" t="s">
        <v>51</v>
      </c>
      <c r="C5827" s="70" t="s">
        <v>24</v>
      </c>
      <c r="D5827" s="31" t="s">
        <v>25</v>
      </c>
      <c r="E5827" s="450" t="s">
        <v>52</v>
      </c>
      <c r="F5827" s="450"/>
      <c r="G5827" s="28"/>
      <c r="H5827" s="32"/>
    </row>
    <row r="5828" spans="1:8" x14ac:dyDescent="0.3">
      <c r="A5828" s="72">
        <v>0.18</v>
      </c>
      <c r="B5828" s="73">
        <f>H5823</f>
        <v>29400</v>
      </c>
      <c r="C5828" s="91">
        <f>H5824</f>
        <v>2646</v>
      </c>
      <c r="D5828" s="91">
        <f>H5824</f>
        <v>2646</v>
      </c>
      <c r="E5828" s="506">
        <f>C5828+D5828</f>
        <v>5292</v>
      </c>
      <c r="F5828" s="507"/>
      <c r="G5828" s="74"/>
      <c r="H5828" s="75"/>
    </row>
    <row r="5829" spans="1:8" x14ac:dyDescent="0.3">
      <c r="A5829" s="508" t="s">
        <v>1089</v>
      </c>
      <c r="B5829" s="509"/>
      <c r="C5829" s="509"/>
      <c r="D5829" s="509"/>
      <c r="E5829" s="453"/>
      <c r="F5829" s="453"/>
      <c r="G5829" s="453"/>
      <c r="H5829" s="454"/>
    </row>
    <row r="5830" spans="1:8" ht="15.6" x14ac:dyDescent="0.3">
      <c r="A5830" s="455" t="s">
        <v>53</v>
      </c>
      <c r="B5830" s="456"/>
      <c r="C5830" s="456"/>
      <c r="D5830" s="457"/>
      <c r="E5830" s="458" t="s">
        <v>54</v>
      </c>
      <c r="F5830" s="459"/>
      <c r="G5830" s="459"/>
      <c r="H5830" s="460"/>
    </row>
    <row r="5831" spans="1:8" x14ac:dyDescent="0.3">
      <c r="A5831" s="461" t="s">
        <v>55</v>
      </c>
      <c r="B5831" s="462"/>
      <c r="C5831" s="462"/>
      <c r="D5831" s="463"/>
      <c r="E5831" s="39"/>
      <c r="F5831" s="28"/>
      <c r="G5831" s="28"/>
      <c r="H5831" s="32"/>
    </row>
    <row r="5832" spans="1:8" x14ac:dyDescent="0.3">
      <c r="A5832" s="461" t="s">
        <v>56</v>
      </c>
      <c r="B5832" s="462"/>
      <c r="C5832" s="462"/>
      <c r="D5832" s="463"/>
      <c r="E5832" s="39"/>
      <c r="F5832" s="28"/>
      <c r="G5832" s="28"/>
      <c r="H5832" s="32"/>
    </row>
    <row r="5833" spans="1:8" x14ac:dyDescent="0.3">
      <c r="A5833" s="461" t="s">
        <v>57</v>
      </c>
      <c r="B5833" s="462"/>
      <c r="C5833" s="462"/>
      <c r="D5833" s="463"/>
      <c r="E5833" s="39"/>
      <c r="F5833" s="28"/>
      <c r="G5833" s="28"/>
      <c r="H5833" s="32"/>
    </row>
    <row r="5834" spans="1:8" ht="15.6" x14ac:dyDescent="0.3">
      <c r="A5834" s="464" t="s">
        <v>58</v>
      </c>
      <c r="B5834" s="465"/>
      <c r="C5834" s="465"/>
      <c r="D5834" s="465"/>
      <c r="E5834" s="466" t="s">
        <v>59</v>
      </c>
      <c r="F5834" s="467"/>
      <c r="G5834" s="467"/>
      <c r="H5834" s="468"/>
    </row>
    <row r="5839" spans="1:8" ht="44.4" x14ac:dyDescent="0.7">
      <c r="A5839" s="469" t="s">
        <v>0</v>
      </c>
      <c r="B5839" s="470"/>
      <c r="C5839" s="470"/>
      <c r="D5839" s="470"/>
      <c r="E5839" s="531" t="s">
        <v>1</v>
      </c>
      <c r="F5839" s="544"/>
      <c r="G5839" s="544"/>
      <c r="H5839" s="545"/>
    </row>
    <row r="5840" spans="1:8" ht="20.399999999999999" x14ac:dyDescent="0.35">
      <c r="A5840" s="1"/>
      <c r="B5840" s="476" t="s">
        <v>2</v>
      </c>
      <c r="C5840" s="476"/>
      <c r="D5840" s="476"/>
      <c r="E5840" s="546"/>
      <c r="F5840" s="546"/>
      <c r="G5840" s="546"/>
      <c r="H5840" s="547"/>
    </row>
    <row r="5841" spans="1:8" x14ac:dyDescent="0.3">
      <c r="A5841" s="477" t="s">
        <v>3</v>
      </c>
      <c r="B5841" s="478"/>
      <c r="C5841" s="479" t="s">
        <v>4</v>
      </c>
      <c r="D5841" s="479"/>
      <c r="E5841" s="654" t="s">
        <v>5</v>
      </c>
      <c r="F5841" s="654"/>
      <c r="G5841" s="654"/>
      <c r="H5841" s="654"/>
    </row>
    <row r="5842" spans="1:8" ht="15.6" x14ac:dyDescent="0.3">
      <c r="A5842" s="4" t="s">
        <v>6</v>
      </c>
      <c r="B5842" s="5"/>
      <c r="C5842" s="481" t="s">
        <v>7</v>
      </c>
      <c r="D5842" s="481"/>
      <c r="E5842" s="482">
        <v>127</v>
      </c>
      <c r="F5842" s="482"/>
      <c r="G5842" s="7" t="s">
        <v>8</v>
      </c>
      <c r="H5842" s="250">
        <v>45818</v>
      </c>
    </row>
    <row r="5843" spans="1:8" ht="15.6" x14ac:dyDescent="0.3">
      <c r="A5843" s="551" t="s">
        <v>458</v>
      </c>
      <c r="B5843" s="552"/>
      <c r="C5843" s="481" t="s">
        <v>10</v>
      </c>
      <c r="D5843" s="481"/>
      <c r="E5843" s="482">
        <v>55</v>
      </c>
      <c r="F5843" s="482"/>
      <c r="G5843" s="7" t="s">
        <v>8</v>
      </c>
      <c r="H5843" s="250">
        <v>45969</v>
      </c>
    </row>
    <row r="5844" spans="1:8" ht="24.75" customHeight="1" x14ac:dyDescent="0.3">
      <c r="A5844" s="560" t="s">
        <v>459</v>
      </c>
      <c r="B5844" s="561"/>
      <c r="C5844" s="483" t="s">
        <v>12</v>
      </c>
      <c r="D5844" s="484"/>
      <c r="E5844" s="652" t="s">
        <v>466</v>
      </c>
      <c r="F5844" s="653"/>
      <c r="G5844" s="10" t="s">
        <v>8</v>
      </c>
      <c r="H5844" s="252" t="s">
        <v>465</v>
      </c>
    </row>
    <row r="5845" spans="1:8" ht="15.6" x14ac:dyDescent="0.3">
      <c r="A5845" s="253" t="s">
        <v>460</v>
      </c>
      <c r="B5845" s="254"/>
      <c r="C5845" s="481" t="s">
        <v>15</v>
      </c>
      <c r="D5845" s="481"/>
      <c r="E5845" s="489" t="s">
        <v>461</v>
      </c>
      <c r="F5845" s="490"/>
      <c r="G5845" s="490"/>
      <c r="H5845" s="491"/>
    </row>
    <row r="5846" spans="1:8" ht="15.6" x14ac:dyDescent="0.3">
      <c r="A5846" s="255" t="s">
        <v>1083</v>
      </c>
      <c r="B5846" s="256"/>
      <c r="C5846" s="489"/>
      <c r="D5846" s="490"/>
      <c r="E5846" s="490"/>
      <c r="F5846" s="490"/>
      <c r="G5846" s="490"/>
      <c r="H5846" s="491"/>
    </row>
    <row r="5847" spans="1:8" ht="15" x14ac:dyDescent="0.3">
      <c r="A5847" s="492" t="s">
        <v>17</v>
      </c>
      <c r="B5847" s="494" t="s">
        <v>18</v>
      </c>
      <c r="C5847" s="494" t="s">
        <v>19</v>
      </c>
      <c r="D5847" s="495" t="s">
        <v>20</v>
      </c>
      <c r="E5847" s="494" t="s">
        <v>21</v>
      </c>
      <c r="F5847" s="494" t="s">
        <v>22</v>
      </c>
      <c r="G5847" s="494"/>
      <c r="H5847" s="492" t="s">
        <v>23</v>
      </c>
    </row>
    <row r="5848" spans="1:8" ht="27.6" x14ac:dyDescent="0.3">
      <c r="A5848" s="492"/>
      <c r="B5848" s="494"/>
      <c r="C5848" s="494"/>
      <c r="D5848" s="505"/>
      <c r="E5848" s="494"/>
      <c r="F5848" s="53" t="s">
        <v>24</v>
      </c>
      <c r="G5848" s="53" t="s">
        <v>25</v>
      </c>
      <c r="H5848" s="492"/>
    </row>
    <row r="5849" spans="1:8" ht="15" x14ac:dyDescent="0.3">
      <c r="A5849" s="353">
        <v>1</v>
      </c>
      <c r="B5849" s="84" t="s">
        <v>1090</v>
      </c>
      <c r="C5849" s="352">
        <v>1</v>
      </c>
      <c r="D5849" s="86">
        <v>998719</v>
      </c>
      <c r="E5849" s="352">
        <v>2500</v>
      </c>
      <c r="F5849" s="55">
        <f t="shared" ref="F5849" si="121">E5849*C5849*9%</f>
        <v>225</v>
      </c>
      <c r="G5849" s="55">
        <f t="shared" ref="G5849" si="122">F5849</f>
        <v>225</v>
      </c>
      <c r="H5849" s="55">
        <f t="shared" ref="H5849" si="123">G5849+F5849+E5849*C5849</f>
        <v>2950</v>
      </c>
    </row>
    <row r="5850" spans="1:8" x14ac:dyDescent="0.3">
      <c r="A5850" s="55">
        <v>2</v>
      </c>
      <c r="B5850" s="257" t="s">
        <v>1091</v>
      </c>
      <c r="C5850" s="55">
        <v>1</v>
      </c>
      <c r="D5850" s="86">
        <v>998719</v>
      </c>
      <c r="E5850" s="55">
        <v>1500</v>
      </c>
      <c r="F5850" s="55">
        <f t="shared" ref="F5850" si="124">E5850*C5850*9%</f>
        <v>135</v>
      </c>
      <c r="G5850" s="55">
        <f t="shared" ref="G5850" si="125">F5850</f>
        <v>135</v>
      </c>
      <c r="H5850" s="55">
        <f t="shared" ref="H5850" si="126">G5850+F5850+E5850*C5850</f>
        <v>1770</v>
      </c>
    </row>
    <row r="5851" spans="1:8" x14ac:dyDescent="0.3">
      <c r="A5851" s="55"/>
      <c r="B5851" s="84"/>
      <c r="C5851" s="55"/>
      <c r="D5851" s="86"/>
      <c r="E5851" s="55"/>
      <c r="F5851" s="55"/>
      <c r="G5851" s="55"/>
      <c r="H5851" s="55"/>
    </row>
    <row r="5852" spans="1:8" ht="15" x14ac:dyDescent="0.3">
      <c r="A5852" s="353"/>
      <c r="B5852" s="84"/>
      <c r="C5852" s="55"/>
      <c r="D5852" s="86"/>
      <c r="E5852" s="55"/>
      <c r="F5852" s="55"/>
      <c r="G5852" s="55"/>
      <c r="H5852" s="55"/>
    </row>
    <row r="5853" spans="1:8" x14ac:dyDescent="0.3">
      <c r="A5853" s="55"/>
      <c r="B5853" s="84"/>
      <c r="C5853" s="55"/>
      <c r="D5853" s="86"/>
      <c r="E5853" s="55"/>
      <c r="F5853" s="55"/>
      <c r="G5853" s="55"/>
      <c r="H5853" s="55"/>
    </row>
    <row r="5854" spans="1:8" x14ac:dyDescent="0.3">
      <c r="A5854" s="55"/>
      <c r="B5854" s="84"/>
      <c r="C5854" s="55"/>
      <c r="D5854" s="86"/>
      <c r="E5854" s="55"/>
      <c r="F5854" s="55"/>
      <c r="G5854" s="55"/>
      <c r="H5854" s="55"/>
    </row>
    <row r="5855" spans="1:8" ht="15" x14ac:dyDescent="0.3">
      <c r="A5855" s="353"/>
      <c r="B5855" s="84"/>
      <c r="C5855" s="55"/>
      <c r="D5855" s="86"/>
      <c r="E5855" s="55"/>
      <c r="F5855" s="55"/>
      <c r="G5855" s="55"/>
      <c r="H5855" s="55"/>
    </row>
    <row r="5856" spans="1:8" x14ac:dyDescent="0.3">
      <c r="A5856" s="55"/>
      <c r="B5856" s="84"/>
      <c r="C5856" s="55"/>
      <c r="D5856" s="86"/>
      <c r="E5856" s="55"/>
      <c r="F5856" s="55"/>
      <c r="G5856" s="55"/>
      <c r="H5856" s="55"/>
    </row>
    <row r="5857" spans="1:8" x14ac:dyDescent="0.3">
      <c r="A5857" s="55"/>
      <c r="B5857" s="84"/>
      <c r="C5857" s="20"/>
      <c r="D5857" s="86"/>
      <c r="E5857" s="55"/>
      <c r="F5857" s="55"/>
      <c r="G5857" s="55"/>
      <c r="H5857" s="55"/>
    </row>
    <row r="5858" spans="1:8" ht="15" x14ac:dyDescent="0.3">
      <c r="A5858" s="353"/>
      <c r="B5858" s="257"/>
      <c r="C5858" s="20"/>
      <c r="D5858" s="86"/>
      <c r="E5858" s="55"/>
      <c r="F5858" s="55"/>
      <c r="G5858" s="55"/>
      <c r="H5858" s="55"/>
    </row>
    <row r="5859" spans="1:8" x14ac:dyDescent="0.3">
      <c r="A5859" s="55"/>
      <c r="B5859" s="257"/>
      <c r="C5859" s="20"/>
      <c r="D5859" s="86"/>
      <c r="E5859" s="55"/>
      <c r="F5859" s="55"/>
      <c r="G5859" s="55"/>
      <c r="H5859" s="55"/>
    </row>
    <row r="5860" spans="1:8" x14ac:dyDescent="0.3">
      <c r="A5860" s="55"/>
      <c r="B5860" s="257"/>
      <c r="C5860" s="20"/>
      <c r="D5860" s="86"/>
      <c r="E5860" s="55"/>
      <c r="F5860" s="55"/>
      <c r="G5860" s="55"/>
      <c r="H5860" s="55"/>
    </row>
    <row r="5861" spans="1:8" x14ac:dyDescent="0.3">
      <c r="A5861" s="55"/>
      <c r="B5861" s="257"/>
      <c r="C5861" s="20"/>
      <c r="D5861" s="86"/>
      <c r="E5861" s="55"/>
      <c r="F5861" s="55"/>
      <c r="G5861" s="55"/>
      <c r="H5861" s="55"/>
    </row>
    <row r="5862" spans="1:8" x14ac:dyDescent="0.3">
      <c r="A5862" s="55"/>
      <c r="B5862" s="257"/>
      <c r="C5862" s="20"/>
      <c r="D5862" s="86"/>
      <c r="E5862" s="55"/>
      <c r="F5862" s="55"/>
      <c r="G5862" s="55"/>
      <c r="H5862" s="55"/>
    </row>
    <row r="5863" spans="1:8" x14ac:dyDescent="0.3">
      <c r="A5863" s="55"/>
      <c r="B5863" s="257"/>
      <c r="C5863" s="20"/>
      <c r="D5863" s="86"/>
      <c r="E5863" s="55"/>
      <c r="F5863" s="55"/>
      <c r="G5863" s="55"/>
      <c r="H5863" s="55"/>
    </row>
    <row r="5864" spans="1:8" x14ac:dyDescent="0.3">
      <c r="A5864" s="55"/>
      <c r="B5864" s="257"/>
      <c r="C5864" s="20"/>
      <c r="D5864" s="86"/>
      <c r="E5864" s="55"/>
      <c r="F5864" s="55"/>
      <c r="G5864" s="55"/>
      <c r="H5864" s="55"/>
    </row>
    <row r="5865" spans="1:8" x14ac:dyDescent="0.3">
      <c r="A5865" s="163"/>
      <c r="B5865" s="163"/>
      <c r="C5865" s="163"/>
      <c r="D5865" s="163"/>
      <c r="E5865" s="163"/>
      <c r="F5865" s="163"/>
      <c r="G5865" s="163"/>
      <c r="H5865" s="163"/>
    </row>
    <row r="5866" spans="1:8" x14ac:dyDescent="0.3">
      <c r="A5866" s="55"/>
      <c r="B5866" s="257"/>
      <c r="C5866" s="55"/>
      <c r="D5866" s="55"/>
      <c r="E5866" s="55"/>
      <c r="F5866" s="55"/>
      <c r="G5866" s="55"/>
      <c r="H5866" s="55"/>
    </row>
    <row r="5867" spans="1:8" x14ac:dyDescent="0.3">
      <c r="A5867" s="57"/>
      <c r="B5867" s="84"/>
      <c r="C5867" s="85"/>
      <c r="D5867" s="86"/>
      <c r="E5867" s="87"/>
      <c r="F5867" s="47"/>
      <c r="G5867" s="47"/>
      <c r="H5867" s="47"/>
    </row>
    <row r="5868" spans="1:8" x14ac:dyDescent="0.3">
      <c r="A5868" s="57"/>
      <c r="B5868" s="84"/>
      <c r="C5868" s="85"/>
      <c r="D5868" s="86"/>
      <c r="E5868" s="47"/>
      <c r="F5868" s="47"/>
      <c r="G5868" s="47"/>
      <c r="H5868" s="47"/>
    </row>
    <row r="5869" spans="1:8" x14ac:dyDescent="0.3">
      <c r="A5869" s="55"/>
      <c r="B5869" s="84"/>
      <c r="C5869" s="55"/>
      <c r="D5869" s="86"/>
      <c r="E5869" s="47"/>
      <c r="F5869" s="47"/>
      <c r="G5869" s="47"/>
      <c r="H5869" s="47"/>
    </row>
    <row r="5870" spans="1:8" x14ac:dyDescent="0.3">
      <c r="A5870" s="27"/>
      <c r="B5870" s="28"/>
      <c r="C5870" s="24"/>
      <c r="D5870" s="25"/>
      <c r="E5870" s="25"/>
      <c r="F5870" s="28"/>
      <c r="G5870" s="28"/>
      <c r="H5870" s="32"/>
    </row>
    <row r="5871" spans="1:8" ht="15.6" x14ac:dyDescent="0.3">
      <c r="A5871" s="448" t="s">
        <v>45</v>
      </c>
      <c r="B5871" s="449"/>
      <c r="C5871" s="24"/>
      <c r="D5871" s="25"/>
      <c r="E5871" s="25"/>
      <c r="F5871" s="447" t="s">
        <v>46</v>
      </c>
      <c r="G5871" s="447"/>
      <c r="H5871" s="66">
        <v>4000</v>
      </c>
    </row>
    <row r="5872" spans="1:8" ht="15.6" x14ac:dyDescent="0.3">
      <c r="A5872" s="497" t="s">
        <v>1092</v>
      </c>
      <c r="B5872" s="498"/>
      <c r="C5872" s="498"/>
      <c r="D5872" s="498"/>
      <c r="E5872" s="498"/>
      <c r="F5872" s="447" t="s">
        <v>47</v>
      </c>
      <c r="G5872" s="447"/>
      <c r="H5872" s="66">
        <f>H5871*9%</f>
        <v>360</v>
      </c>
    </row>
    <row r="5873" spans="1:8" ht="15.6" x14ac:dyDescent="0.3">
      <c r="A5873" s="27"/>
      <c r="B5873" s="28" t="s">
        <v>687</v>
      </c>
      <c r="C5873" s="24"/>
      <c r="D5873" s="25"/>
      <c r="E5873" s="25"/>
      <c r="F5873" s="447" t="s">
        <v>48</v>
      </c>
      <c r="G5873" s="447"/>
      <c r="H5873" s="66">
        <f>H5872</f>
        <v>360</v>
      </c>
    </row>
    <row r="5874" spans="1:8" ht="15.6" x14ac:dyDescent="0.3">
      <c r="A5874" s="64" t="s">
        <v>49</v>
      </c>
      <c r="B5874" s="65"/>
      <c r="C5874" s="24"/>
      <c r="D5874" s="25"/>
      <c r="E5874" s="25"/>
      <c r="F5874" s="447" t="s">
        <v>50</v>
      </c>
      <c r="G5874" s="447"/>
      <c r="H5874" s="66">
        <f>H5871+H5872+H5873</f>
        <v>4720</v>
      </c>
    </row>
    <row r="5875" spans="1:8" ht="27" x14ac:dyDescent="0.3">
      <c r="A5875" s="68" t="s">
        <v>22</v>
      </c>
      <c r="B5875" s="30" t="s">
        <v>51</v>
      </c>
      <c r="C5875" s="70" t="s">
        <v>24</v>
      </c>
      <c r="D5875" s="31" t="s">
        <v>25</v>
      </c>
      <c r="E5875" s="450" t="s">
        <v>52</v>
      </c>
      <c r="F5875" s="450"/>
      <c r="G5875" s="28"/>
      <c r="H5875" s="32"/>
    </row>
    <row r="5876" spans="1:8" x14ac:dyDescent="0.3">
      <c r="A5876" s="72">
        <v>0.18</v>
      </c>
      <c r="B5876" s="73">
        <f>H5871</f>
        <v>4000</v>
      </c>
      <c r="C5876" s="91">
        <f>H5872</f>
        <v>360</v>
      </c>
      <c r="D5876" s="91">
        <f>H5872</f>
        <v>360</v>
      </c>
      <c r="E5876" s="506">
        <f>C5876+D5876</f>
        <v>720</v>
      </c>
      <c r="F5876" s="507"/>
      <c r="G5876" s="74"/>
      <c r="H5876" s="75"/>
    </row>
    <row r="5877" spans="1:8" x14ac:dyDescent="0.3">
      <c r="A5877" s="508" t="s">
        <v>1093</v>
      </c>
      <c r="B5877" s="509"/>
      <c r="C5877" s="509"/>
      <c r="D5877" s="509"/>
      <c r="E5877" s="453"/>
      <c r="F5877" s="453"/>
      <c r="G5877" s="453"/>
      <c r="H5877" s="454"/>
    </row>
    <row r="5878" spans="1:8" ht="15.6" x14ac:dyDescent="0.3">
      <c r="A5878" s="455" t="s">
        <v>53</v>
      </c>
      <c r="B5878" s="456"/>
      <c r="C5878" s="456"/>
      <c r="D5878" s="457"/>
      <c r="E5878" s="458" t="s">
        <v>54</v>
      </c>
      <c r="F5878" s="459"/>
      <c r="G5878" s="459"/>
      <c r="H5878" s="460"/>
    </row>
    <row r="5879" spans="1:8" x14ac:dyDescent="0.3">
      <c r="A5879" s="461" t="s">
        <v>55</v>
      </c>
      <c r="B5879" s="462"/>
      <c r="C5879" s="462"/>
      <c r="D5879" s="463"/>
      <c r="E5879" s="39"/>
      <c r="F5879" s="28"/>
      <c r="G5879" s="28"/>
      <c r="H5879" s="32"/>
    </row>
    <row r="5880" spans="1:8" x14ac:dyDescent="0.3">
      <c r="A5880" s="461" t="s">
        <v>56</v>
      </c>
      <c r="B5880" s="462"/>
      <c r="C5880" s="462"/>
      <c r="D5880" s="463"/>
      <c r="E5880" s="39"/>
      <c r="F5880" s="28"/>
      <c r="G5880" s="28"/>
      <c r="H5880" s="32"/>
    </row>
    <row r="5881" spans="1:8" x14ac:dyDescent="0.3">
      <c r="A5881" s="461" t="s">
        <v>57</v>
      </c>
      <c r="B5881" s="462"/>
      <c r="C5881" s="462"/>
      <c r="D5881" s="463"/>
      <c r="E5881" s="39"/>
      <c r="F5881" s="28"/>
      <c r="G5881" s="28"/>
      <c r="H5881" s="32"/>
    </row>
    <row r="5882" spans="1:8" ht="15.6" x14ac:dyDescent="0.3">
      <c r="A5882" s="464" t="s">
        <v>58</v>
      </c>
      <c r="B5882" s="465"/>
      <c r="C5882" s="465"/>
      <c r="D5882" s="465"/>
      <c r="E5882" s="466" t="s">
        <v>59</v>
      </c>
      <c r="F5882" s="467"/>
      <c r="G5882" s="467"/>
      <c r="H5882" s="468"/>
    </row>
    <row r="5885" spans="1:8" ht="44.4" x14ac:dyDescent="0.7">
      <c r="A5885" s="469" t="s">
        <v>0</v>
      </c>
      <c r="B5885" s="470"/>
      <c r="C5885" s="470"/>
      <c r="D5885" s="470"/>
      <c r="E5885" s="531" t="s">
        <v>92</v>
      </c>
      <c r="F5885" s="544"/>
      <c r="G5885" s="544"/>
      <c r="H5885" s="545"/>
    </row>
    <row r="5886" spans="1:8" ht="20.399999999999999" x14ac:dyDescent="0.35">
      <c r="A5886" s="1"/>
      <c r="B5886" s="476" t="s">
        <v>2</v>
      </c>
      <c r="C5886" s="476"/>
      <c r="D5886" s="476"/>
      <c r="E5886" s="546"/>
      <c r="F5886" s="546"/>
      <c r="G5886" s="546"/>
      <c r="H5886" s="547"/>
    </row>
    <row r="5887" spans="1:8" x14ac:dyDescent="0.3">
      <c r="A5887" s="477" t="s">
        <v>3</v>
      </c>
      <c r="B5887" s="478"/>
      <c r="C5887" s="136"/>
      <c r="D5887" s="499" t="s">
        <v>4</v>
      </c>
      <c r="E5887" s="499"/>
      <c r="F5887" s="137"/>
      <c r="G5887" s="575" t="s">
        <v>134</v>
      </c>
      <c r="H5887" s="576"/>
    </row>
    <row r="5888" spans="1:8" ht="15.6" x14ac:dyDescent="0.3">
      <c r="A5888" s="138" t="s">
        <v>6</v>
      </c>
      <c r="B5888" s="5"/>
      <c r="C5888" s="481" t="s">
        <v>7</v>
      </c>
      <c r="D5888" s="481"/>
      <c r="E5888" s="482">
        <v>128</v>
      </c>
      <c r="F5888" s="482"/>
      <c r="G5888" s="7" t="s">
        <v>8</v>
      </c>
      <c r="H5888" s="8">
        <v>45910</v>
      </c>
    </row>
    <row r="5889" spans="1:8" ht="15.6" x14ac:dyDescent="0.3">
      <c r="A5889" s="514" t="s">
        <v>231</v>
      </c>
      <c r="B5889" s="515"/>
      <c r="C5889" s="481" t="s">
        <v>10</v>
      </c>
      <c r="D5889" s="481"/>
      <c r="E5889" s="482"/>
      <c r="F5889" s="482"/>
      <c r="G5889" s="7" t="s">
        <v>8</v>
      </c>
      <c r="H5889" s="6"/>
    </row>
    <row r="5890" spans="1:8" ht="27" customHeight="1" x14ac:dyDescent="0.3">
      <c r="A5890" s="517" t="s">
        <v>232</v>
      </c>
      <c r="B5890" s="518"/>
      <c r="C5890" s="519" t="s">
        <v>12</v>
      </c>
      <c r="D5890" s="519"/>
      <c r="E5890" s="564" t="s">
        <v>1094</v>
      </c>
      <c r="F5890" s="565"/>
      <c r="G5890" s="10" t="s">
        <v>8</v>
      </c>
      <c r="H5890" s="109" t="s">
        <v>1095</v>
      </c>
    </row>
    <row r="5891" spans="1:8" ht="15.6" x14ac:dyDescent="0.3">
      <c r="A5891" s="517" t="s">
        <v>233</v>
      </c>
      <c r="B5891" s="518"/>
      <c r="C5891" s="481" t="s">
        <v>15</v>
      </c>
      <c r="D5891" s="481"/>
      <c r="E5891" s="566" t="s">
        <v>234</v>
      </c>
      <c r="F5891" s="567"/>
      <c r="G5891" s="567"/>
      <c r="H5891" s="568"/>
    </row>
    <row r="5892" spans="1:8" ht="15.6" x14ac:dyDescent="0.3">
      <c r="A5892" s="12" t="s">
        <v>13</v>
      </c>
      <c r="B5892" s="172" t="s">
        <v>1096</v>
      </c>
      <c r="C5892" s="569"/>
      <c r="D5892" s="570"/>
      <c r="E5892" s="570"/>
      <c r="F5892" s="570"/>
      <c r="G5892" s="570"/>
      <c r="H5892" s="571"/>
    </row>
    <row r="5893" spans="1:8" ht="15" x14ac:dyDescent="0.3">
      <c r="A5893" s="492" t="s">
        <v>17</v>
      </c>
      <c r="B5893" s="494" t="s">
        <v>18</v>
      </c>
      <c r="C5893" s="494" t="s">
        <v>19</v>
      </c>
      <c r="D5893" s="494" t="s">
        <v>20</v>
      </c>
      <c r="E5893" s="494" t="s">
        <v>21</v>
      </c>
      <c r="F5893" s="494" t="s">
        <v>22</v>
      </c>
      <c r="G5893" s="494"/>
      <c r="H5893" s="492" t="s">
        <v>23</v>
      </c>
    </row>
    <row r="5894" spans="1:8" ht="27.6" x14ac:dyDescent="0.3">
      <c r="A5894" s="492"/>
      <c r="B5894" s="494"/>
      <c r="C5894" s="494"/>
      <c r="D5894" s="494"/>
      <c r="E5894" s="494"/>
      <c r="F5894" s="53" t="s">
        <v>24</v>
      </c>
      <c r="G5894" s="53" t="s">
        <v>25</v>
      </c>
      <c r="H5894" s="492"/>
    </row>
    <row r="5895" spans="1:8" x14ac:dyDescent="0.3">
      <c r="A5895" s="57">
        <v>1</v>
      </c>
      <c r="B5895" s="113" t="s">
        <v>1097</v>
      </c>
      <c r="C5895" s="57">
        <v>38</v>
      </c>
      <c r="D5895" s="171">
        <v>998719</v>
      </c>
      <c r="E5895" s="57">
        <v>2850</v>
      </c>
      <c r="F5895" s="58">
        <f>C5895*E5895*9%</f>
        <v>9747</v>
      </c>
      <c r="G5895" s="58">
        <f>C5895*E5895*9%</f>
        <v>9747</v>
      </c>
      <c r="H5895" s="59">
        <f>C5895*E5895+F5895+G5895</f>
        <v>127794</v>
      </c>
    </row>
    <row r="5896" spans="1:8" ht="28.8" x14ac:dyDescent="0.3">
      <c r="A5896" s="57">
        <v>2</v>
      </c>
      <c r="B5896" s="113" t="s">
        <v>1098</v>
      </c>
      <c r="C5896" s="57">
        <v>8</v>
      </c>
      <c r="D5896" s="56">
        <v>998719</v>
      </c>
      <c r="E5896" s="57">
        <v>6555</v>
      </c>
      <c r="F5896" s="58">
        <f>C5896*E5896*9%</f>
        <v>4719.5999999999995</v>
      </c>
      <c r="G5896" s="58">
        <f>C5896*E5896*9%</f>
        <v>4719.5999999999995</v>
      </c>
      <c r="H5896" s="59">
        <f>C5896*E5896+F5896+G5896</f>
        <v>61879.199999999997</v>
      </c>
    </row>
    <row r="5897" spans="1:8" x14ac:dyDescent="0.3">
      <c r="A5897" s="55"/>
      <c r="B5897" s="63"/>
      <c r="C5897" s="55"/>
      <c r="D5897" s="56"/>
      <c r="E5897" s="55"/>
      <c r="F5897" s="58"/>
      <c r="G5897" s="58"/>
      <c r="H5897" s="59"/>
    </row>
    <row r="5898" spans="1:8" x14ac:dyDescent="0.3">
      <c r="A5898" s="90"/>
      <c r="B5898" s="132"/>
      <c r="C5898" s="24"/>
      <c r="D5898" s="164"/>
      <c r="E5898" s="24"/>
      <c r="F5898" s="165"/>
      <c r="G5898" s="165"/>
      <c r="H5898" s="166"/>
    </row>
    <row r="5899" spans="1:8" x14ac:dyDescent="0.3">
      <c r="A5899" s="90"/>
      <c r="B5899" s="132"/>
      <c r="C5899" s="24"/>
      <c r="D5899" s="164"/>
      <c r="E5899" s="24"/>
      <c r="F5899" s="165"/>
      <c r="G5899" s="165"/>
      <c r="H5899" s="166"/>
    </row>
    <row r="5900" spans="1:8" x14ac:dyDescent="0.3">
      <c r="A5900" s="90"/>
      <c r="B5900" s="132"/>
      <c r="C5900" s="24"/>
      <c r="D5900" s="164"/>
      <c r="E5900" s="24"/>
      <c r="F5900" s="165"/>
      <c r="G5900" s="165"/>
      <c r="H5900" s="166"/>
    </row>
    <row r="5901" spans="1:8" x14ac:dyDescent="0.3">
      <c r="A5901" s="27"/>
      <c r="B5901" s="132"/>
      <c r="C5901" s="24"/>
      <c r="D5901" s="25"/>
      <c r="E5901" s="25"/>
      <c r="F5901" s="165"/>
      <c r="G5901" s="165"/>
      <c r="H5901" s="166"/>
    </row>
    <row r="5902" spans="1:8" x14ac:dyDescent="0.3">
      <c r="A5902" s="27"/>
      <c r="B5902" s="28"/>
      <c r="C5902" s="24"/>
      <c r="D5902" s="25"/>
      <c r="E5902" s="25"/>
      <c r="F5902" s="165"/>
      <c r="G5902" s="165"/>
      <c r="H5902" s="166"/>
    </row>
    <row r="5903" spans="1:8" x14ac:dyDescent="0.3">
      <c r="A5903" s="27"/>
      <c r="B5903" s="28"/>
      <c r="C5903" s="24"/>
      <c r="D5903" s="25"/>
      <c r="E5903" s="25"/>
      <c r="F5903" s="165"/>
      <c r="G5903" s="165"/>
      <c r="H5903" s="166"/>
    </row>
    <row r="5904" spans="1:8" x14ac:dyDescent="0.3">
      <c r="A5904" s="27"/>
      <c r="B5904" s="28"/>
      <c r="C5904" s="24"/>
      <c r="D5904" s="25"/>
      <c r="E5904" s="25"/>
      <c r="F5904" s="165"/>
      <c r="G5904" s="165"/>
      <c r="H5904" s="166"/>
    </row>
    <row r="5905" spans="1:8" x14ac:dyDescent="0.3">
      <c r="A5905" s="27"/>
      <c r="B5905" s="28"/>
      <c r="C5905" s="24"/>
      <c r="D5905" s="25"/>
      <c r="E5905" s="25"/>
      <c r="F5905" s="165"/>
      <c r="G5905" s="165"/>
      <c r="H5905" s="166"/>
    </row>
    <row r="5906" spans="1:8" x14ac:dyDescent="0.3">
      <c r="A5906" s="27"/>
      <c r="B5906" s="28"/>
      <c r="C5906" s="24"/>
      <c r="D5906" s="25"/>
      <c r="E5906" s="25"/>
      <c r="F5906" s="165"/>
      <c r="G5906" s="165"/>
      <c r="H5906" s="166"/>
    </row>
    <row r="5907" spans="1:8" x14ac:dyDescent="0.3">
      <c r="A5907" s="27"/>
      <c r="B5907" s="28"/>
      <c r="C5907" s="24"/>
      <c r="D5907" s="25"/>
      <c r="E5907" s="25"/>
      <c r="F5907" s="28"/>
      <c r="G5907" s="28"/>
      <c r="H5907" s="32"/>
    </row>
    <row r="5908" spans="1:8" x14ac:dyDescent="0.3">
      <c r="A5908" s="27"/>
      <c r="B5908" s="28"/>
      <c r="C5908" s="24"/>
      <c r="D5908" s="25"/>
      <c r="E5908" s="25"/>
      <c r="F5908" s="28"/>
      <c r="G5908" s="28"/>
      <c r="H5908" s="32"/>
    </row>
    <row r="5909" spans="1:8" x14ac:dyDescent="0.3">
      <c r="A5909" s="27"/>
      <c r="B5909" s="28"/>
      <c r="C5909" s="24"/>
      <c r="D5909" s="25"/>
      <c r="E5909" s="25"/>
      <c r="F5909" s="28"/>
      <c r="G5909" s="28"/>
      <c r="H5909" s="32"/>
    </row>
    <row r="5910" spans="1:8" x14ac:dyDescent="0.3">
      <c r="A5910" s="27"/>
      <c r="B5910" s="28"/>
      <c r="C5910" s="24"/>
      <c r="D5910" s="25"/>
      <c r="E5910" s="25"/>
      <c r="F5910" s="28"/>
      <c r="G5910" s="28"/>
      <c r="H5910" s="32"/>
    </row>
    <row r="5911" spans="1:8" x14ac:dyDescent="0.3">
      <c r="A5911" s="27"/>
      <c r="B5911" s="28"/>
      <c r="C5911" s="24"/>
      <c r="D5911" s="25"/>
      <c r="E5911" s="25"/>
      <c r="F5911" s="28"/>
      <c r="G5911" s="28"/>
      <c r="H5911" s="32"/>
    </row>
    <row r="5912" spans="1:8" x14ac:dyDescent="0.3">
      <c r="A5912" s="27"/>
      <c r="B5912" s="28"/>
      <c r="C5912" s="24"/>
      <c r="D5912" s="25"/>
      <c r="E5912" s="25"/>
      <c r="F5912" s="28"/>
      <c r="G5912" s="28"/>
      <c r="H5912" s="32"/>
    </row>
    <row r="5913" spans="1:8" x14ac:dyDescent="0.3">
      <c r="A5913" s="27"/>
      <c r="B5913" s="28"/>
      <c r="C5913" s="24"/>
      <c r="D5913" s="25"/>
      <c r="E5913" s="25"/>
      <c r="F5913" s="28"/>
      <c r="G5913" s="28"/>
      <c r="H5913" s="32"/>
    </row>
    <row r="5914" spans="1:8" x14ac:dyDescent="0.3">
      <c r="A5914" s="27"/>
      <c r="B5914" s="28"/>
      <c r="C5914" s="24"/>
      <c r="D5914" s="25"/>
      <c r="E5914" s="25"/>
      <c r="F5914" s="28"/>
      <c r="G5914" s="28"/>
      <c r="H5914" s="32"/>
    </row>
    <row r="5915" spans="1:8" x14ac:dyDescent="0.3">
      <c r="A5915" s="27"/>
      <c r="B5915" s="28"/>
      <c r="C5915" s="24"/>
      <c r="D5915" s="25"/>
      <c r="E5915" s="25"/>
      <c r="F5915" s="28"/>
      <c r="G5915" s="28"/>
      <c r="H5915" s="32"/>
    </row>
    <row r="5916" spans="1:8" x14ac:dyDescent="0.3">
      <c r="A5916" s="27"/>
      <c r="B5916" s="28"/>
      <c r="C5916" s="24"/>
      <c r="D5916" s="25"/>
      <c r="E5916" s="25"/>
      <c r="F5916" s="28"/>
      <c r="G5916" s="28"/>
      <c r="H5916" s="32"/>
    </row>
    <row r="5917" spans="1:8" x14ac:dyDescent="0.3">
      <c r="A5917" s="27"/>
      <c r="B5917" s="28"/>
      <c r="C5917" s="24"/>
      <c r="D5917" s="25"/>
      <c r="E5917" s="25"/>
      <c r="F5917" s="28"/>
      <c r="G5917" s="28"/>
      <c r="H5917" s="32"/>
    </row>
    <row r="5918" spans="1:8" ht="15.6" x14ac:dyDescent="0.3">
      <c r="A5918" s="448" t="s">
        <v>45</v>
      </c>
      <c r="B5918" s="449"/>
      <c r="C5918" s="449"/>
      <c r="D5918" s="25"/>
      <c r="E5918" s="25"/>
      <c r="F5918" s="447" t="s">
        <v>46</v>
      </c>
      <c r="G5918" s="447"/>
      <c r="H5918" s="66">
        <f>(C5895*E5895)+(C5896*E5896)+(C5897*E5897)</f>
        <v>160740</v>
      </c>
    </row>
    <row r="5919" spans="1:8" ht="15.6" x14ac:dyDescent="0.3">
      <c r="A5919" s="497" t="s">
        <v>1099</v>
      </c>
      <c r="B5919" s="498"/>
      <c r="C5919" s="498"/>
      <c r="D5919" s="498"/>
      <c r="E5919" s="498"/>
      <c r="F5919" s="447" t="s">
        <v>47</v>
      </c>
      <c r="G5919" s="447"/>
      <c r="H5919" s="66">
        <f>H5918*9%</f>
        <v>14466.6</v>
      </c>
    </row>
    <row r="5920" spans="1:8" ht="15.6" x14ac:dyDescent="0.3">
      <c r="A5920" s="27"/>
      <c r="B5920" s="28"/>
      <c r="C5920" s="24"/>
      <c r="D5920" s="25"/>
      <c r="E5920" s="25"/>
      <c r="F5920" s="447" t="s">
        <v>48</v>
      </c>
      <c r="G5920" s="447"/>
      <c r="H5920" s="66">
        <f>H5918*9%</f>
        <v>14466.6</v>
      </c>
    </row>
    <row r="5921" spans="1:8" ht="15.6" x14ac:dyDescent="0.3">
      <c r="A5921" s="448" t="s">
        <v>49</v>
      </c>
      <c r="B5921" s="449"/>
      <c r="C5921" s="449"/>
      <c r="D5921" s="449"/>
      <c r="E5921" s="25"/>
      <c r="F5921" s="447" t="s">
        <v>50</v>
      </c>
      <c r="G5921" s="447"/>
      <c r="H5921" s="66">
        <v>189673</v>
      </c>
    </row>
    <row r="5922" spans="1:8" ht="27" x14ac:dyDescent="0.3">
      <c r="A5922" s="68" t="s">
        <v>22</v>
      </c>
      <c r="B5922" s="69" t="s">
        <v>51</v>
      </c>
      <c r="C5922" s="70" t="s">
        <v>24</v>
      </c>
      <c r="D5922" s="31" t="s">
        <v>25</v>
      </c>
      <c r="E5922" s="450" t="s">
        <v>52</v>
      </c>
      <c r="F5922" s="450"/>
      <c r="G5922" s="28"/>
      <c r="H5922" s="32"/>
    </row>
    <row r="5923" spans="1:8" x14ac:dyDescent="0.3">
      <c r="A5923" s="72">
        <v>0.18</v>
      </c>
      <c r="B5923" s="73">
        <f>H5918</f>
        <v>160740</v>
      </c>
      <c r="C5923" s="74">
        <f>H5919</f>
        <v>14466.6</v>
      </c>
      <c r="D5923" s="74">
        <f>H5920</f>
        <v>14466.6</v>
      </c>
      <c r="E5923" s="507">
        <f>C5923+D5923</f>
        <v>28933.200000000001</v>
      </c>
      <c r="F5923" s="507"/>
      <c r="G5923" s="74"/>
      <c r="H5923" s="75"/>
    </row>
    <row r="5924" spans="1:8" x14ac:dyDescent="0.3">
      <c r="A5924" s="452" t="s">
        <v>1100</v>
      </c>
      <c r="B5924" s="453"/>
      <c r="C5924" s="453"/>
      <c r="D5924" s="453"/>
      <c r="E5924" s="453"/>
      <c r="F5924" s="453"/>
      <c r="G5924" s="453"/>
      <c r="H5924" s="454"/>
    </row>
    <row r="5925" spans="1:8" ht="15.6" x14ac:dyDescent="0.3">
      <c r="A5925" s="455" t="s">
        <v>53</v>
      </c>
      <c r="B5925" s="456"/>
      <c r="C5925" s="456"/>
      <c r="D5925" s="457"/>
      <c r="E5925" s="458" t="s">
        <v>54</v>
      </c>
      <c r="F5925" s="459"/>
      <c r="G5925" s="459"/>
      <c r="H5925" s="460"/>
    </row>
    <row r="5926" spans="1:8" x14ac:dyDescent="0.3">
      <c r="A5926" s="461" t="s">
        <v>55</v>
      </c>
      <c r="B5926" s="462"/>
      <c r="C5926" s="462"/>
      <c r="D5926" s="463"/>
      <c r="E5926" s="39"/>
      <c r="F5926" s="28"/>
      <c r="G5926" s="28"/>
      <c r="H5926" s="32"/>
    </row>
    <row r="5927" spans="1:8" x14ac:dyDescent="0.3">
      <c r="A5927" s="461" t="s">
        <v>56</v>
      </c>
      <c r="B5927" s="462"/>
      <c r="C5927" s="462"/>
      <c r="D5927" s="463"/>
      <c r="E5927" s="39"/>
      <c r="F5927" s="28"/>
      <c r="G5927" s="28"/>
      <c r="H5927" s="32"/>
    </row>
    <row r="5928" spans="1:8" x14ac:dyDescent="0.3">
      <c r="A5928" s="461" t="s">
        <v>57</v>
      </c>
      <c r="B5928" s="462"/>
      <c r="C5928" s="462"/>
      <c r="D5928" s="463"/>
      <c r="E5928" s="167"/>
      <c r="H5928" s="168"/>
    </row>
    <row r="5929" spans="1:8" ht="15.6" x14ac:dyDescent="0.3">
      <c r="A5929" s="464" t="s">
        <v>58</v>
      </c>
      <c r="B5929" s="465"/>
      <c r="C5929" s="465"/>
      <c r="D5929" s="510"/>
      <c r="E5929" s="466" t="s">
        <v>59</v>
      </c>
      <c r="F5929" s="467"/>
      <c r="G5929" s="467"/>
      <c r="H5929" s="468"/>
    </row>
    <row r="5933" spans="1:8" ht="44.4" x14ac:dyDescent="0.7">
      <c r="A5933" s="469" t="s">
        <v>0</v>
      </c>
      <c r="B5933" s="470"/>
      <c r="C5933" s="470"/>
      <c r="D5933" s="470"/>
      <c r="E5933" s="531" t="s">
        <v>1</v>
      </c>
      <c r="F5933" s="544"/>
      <c r="G5933" s="544"/>
      <c r="H5933" s="545"/>
    </row>
    <row r="5934" spans="1:8" ht="20.399999999999999" x14ac:dyDescent="0.35">
      <c r="A5934" s="1"/>
      <c r="B5934" s="476" t="s">
        <v>2</v>
      </c>
      <c r="C5934" s="476"/>
      <c r="D5934" s="476"/>
      <c r="E5934" s="546"/>
      <c r="F5934" s="546"/>
      <c r="G5934" s="546"/>
      <c r="H5934" s="547"/>
    </row>
    <row r="5935" spans="1:8" x14ac:dyDescent="0.3">
      <c r="A5935" s="477" t="s">
        <v>3</v>
      </c>
      <c r="B5935" s="478"/>
      <c r="C5935" s="479" t="s">
        <v>4</v>
      </c>
      <c r="D5935" s="479"/>
      <c r="E5935" s="654" t="s">
        <v>5</v>
      </c>
      <c r="F5935" s="654"/>
      <c r="G5935" s="654"/>
      <c r="H5935" s="654"/>
    </row>
    <row r="5936" spans="1:8" ht="15.6" x14ac:dyDescent="0.3">
      <c r="A5936" s="4" t="s">
        <v>6</v>
      </c>
      <c r="B5936" s="5"/>
      <c r="C5936" s="481" t="s">
        <v>7</v>
      </c>
      <c r="D5936" s="481"/>
      <c r="E5936" s="482">
        <v>129</v>
      </c>
      <c r="F5936" s="482"/>
      <c r="G5936" s="7" t="s">
        <v>8</v>
      </c>
      <c r="H5936" s="354">
        <v>45971</v>
      </c>
    </row>
    <row r="5937" spans="1:9" ht="15.6" x14ac:dyDescent="0.3">
      <c r="A5937" s="551" t="s">
        <v>1101</v>
      </c>
      <c r="B5937" s="552"/>
      <c r="C5937" s="481" t="s">
        <v>10</v>
      </c>
      <c r="D5937" s="481"/>
      <c r="E5937" s="482"/>
      <c r="F5937" s="482"/>
      <c r="G5937" s="7" t="s">
        <v>8</v>
      </c>
      <c r="H5937" s="354"/>
    </row>
    <row r="5938" spans="1:9" ht="25.5" customHeight="1" x14ac:dyDescent="0.3">
      <c r="A5938" s="560" t="s">
        <v>1103</v>
      </c>
      <c r="B5938" s="561"/>
      <c r="C5938" s="483" t="s">
        <v>12</v>
      </c>
      <c r="D5938" s="484"/>
      <c r="E5938" s="655" t="s">
        <v>1104</v>
      </c>
      <c r="F5938" s="656"/>
      <c r="G5938" s="10" t="s">
        <v>8</v>
      </c>
      <c r="H5938" s="355" t="s">
        <v>515</v>
      </c>
    </row>
    <row r="5939" spans="1:9" ht="15.6" x14ac:dyDescent="0.3">
      <c r="A5939" s="253"/>
      <c r="B5939" s="254"/>
      <c r="C5939" s="481" t="s">
        <v>15</v>
      </c>
      <c r="D5939" s="481"/>
      <c r="E5939" s="489" t="s">
        <v>1102</v>
      </c>
      <c r="F5939" s="490"/>
      <c r="G5939" s="490"/>
      <c r="H5939" s="491"/>
    </row>
    <row r="5940" spans="1:9" ht="15.6" x14ac:dyDescent="0.3">
      <c r="A5940" s="255" t="s">
        <v>1105</v>
      </c>
      <c r="B5940" s="256"/>
      <c r="C5940" s="489"/>
      <c r="D5940" s="490"/>
      <c r="E5940" s="490"/>
      <c r="F5940" s="490"/>
      <c r="G5940" s="490"/>
      <c r="H5940" s="491"/>
    </row>
    <row r="5941" spans="1:9" ht="15" x14ac:dyDescent="0.3">
      <c r="A5941" s="492" t="s">
        <v>17</v>
      </c>
      <c r="B5941" s="494" t="s">
        <v>18</v>
      </c>
      <c r="C5941" s="494" t="s">
        <v>19</v>
      </c>
      <c r="D5941" s="495" t="s">
        <v>20</v>
      </c>
      <c r="E5941" s="494" t="s">
        <v>21</v>
      </c>
      <c r="F5941" s="494" t="s">
        <v>22</v>
      </c>
      <c r="G5941" s="494"/>
      <c r="H5941" s="492" t="s">
        <v>23</v>
      </c>
    </row>
    <row r="5942" spans="1:9" ht="27.6" x14ac:dyDescent="0.3">
      <c r="A5942" s="492"/>
      <c r="B5942" s="494"/>
      <c r="C5942" s="494"/>
      <c r="D5942" s="505"/>
      <c r="E5942" s="494"/>
      <c r="F5942" s="53" t="s">
        <v>24</v>
      </c>
      <c r="G5942" s="53" t="s">
        <v>25</v>
      </c>
      <c r="H5942" s="492"/>
    </row>
    <row r="5943" spans="1:9" ht="15" x14ac:dyDescent="0.3">
      <c r="A5943" s="353">
        <v>1</v>
      </c>
      <c r="B5943" s="84" t="s">
        <v>1106</v>
      </c>
      <c r="C5943" s="352">
        <v>2</v>
      </c>
      <c r="D5943" s="86">
        <v>998719</v>
      </c>
      <c r="E5943" s="352">
        <v>7500</v>
      </c>
      <c r="F5943" s="55">
        <f t="shared" ref="F5943:F5944" si="127">E5943*C5943*9%</f>
        <v>1350</v>
      </c>
      <c r="G5943" s="55">
        <f t="shared" ref="G5943:G5944" si="128">F5943</f>
        <v>1350</v>
      </c>
      <c r="H5943" s="55">
        <f t="shared" ref="H5943:H5944" si="129">G5943+F5943+E5943*C5943</f>
        <v>17700</v>
      </c>
      <c r="I5943" s="362">
        <f>E5943*C5943</f>
        <v>15000</v>
      </c>
    </row>
    <row r="5944" spans="1:9" x14ac:dyDescent="0.3">
      <c r="A5944" s="55">
        <v>2</v>
      </c>
      <c r="B5944" s="84" t="s">
        <v>1107</v>
      </c>
      <c r="C5944" s="55">
        <v>3</v>
      </c>
      <c r="D5944" s="86">
        <v>998719</v>
      </c>
      <c r="E5944" s="55">
        <v>3500</v>
      </c>
      <c r="F5944" s="55">
        <f t="shared" si="127"/>
        <v>945</v>
      </c>
      <c r="G5944" s="55">
        <f t="shared" si="128"/>
        <v>945</v>
      </c>
      <c r="H5944" s="55">
        <f t="shared" si="129"/>
        <v>12390</v>
      </c>
      <c r="I5944" s="362">
        <f t="shared" ref="I5944:I5945" si="130">E5944*C5944</f>
        <v>10500</v>
      </c>
    </row>
    <row r="5945" spans="1:9" x14ac:dyDescent="0.3">
      <c r="A5945" s="55">
        <v>3</v>
      </c>
      <c r="B5945" s="84" t="s">
        <v>1108</v>
      </c>
      <c r="C5945" s="55">
        <v>1</v>
      </c>
      <c r="D5945" s="86">
        <v>998719</v>
      </c>
      <c r="E5945" s="55">
        <v>6000</v>
      </c>
      <c r="F5945" s="55">
        <f t="shared" ref="F5945" si="131">E5945*C5945*9%</f>
        <v>540</v>
      </c>
      <c r="G5945" s="55">
        <f t="shared" ref="G5945" si="132">F5945</f>
        <v>540</v>
      </c>
      <c r="H5945" s="55">
        <f t="shared" ref="H5945" si="133">G5945+F5945+E5945*C5945</f>
        <v>7080</v>
      </c>
      <c r="I5945" s="362">
        <f t="shared" si="130"/>
        <v>6000</v>
      </c>
    </row>
    <row r="5946" spans="1:9" ht="15" x14ac:dyDescent="0.3">
      <c r="A5946" s="353"/>
      <c r="B5946" s="84"/>
      <c r="C5946" s="55"/>
      <c r="D5946" s="86"/>
      <c r="E5946" s="55"/>
      <c r="F5946" s="55"/>
      <c r="G5946" s="55"/>
      <c r="H5946" s="55"/>
    </row>
    <row r="5947" spans="1:9" x14ac:dyDescent="0.3">
      <c r="A5947" s="55"/>
      <c r="B5947" s="84"/>
      <c r="C5947" s="55"/>
      <c r="D5947" s="86"/>
      <c r="E5947" s="55"/>
      <c r="F5947" s="55"/>
      <c r="G5947" s="55"/>
      <c r="H5947" s="55"/>
    </row>
    <row r="5948" spans="1:9" x14ac:dyDescent="0.3">
      <c r="A5948" s="55"/>
      <c r="B5948" s="84"/>
      <c r="C5948" s="55"/>
      <c r="D5948" s="86"/>
      <c r="E5948" s="55"/>
      <c r="F5948" s="55"/>
      <c r="G5948" s="55"/>
      <c r="H5948" s="55"/>
    </row>
    <row r="5949" spans="1:9" ht="15" x14ac:dyDescent="0.3">
      <c r="A5949" s="353"/>
      <c r="B5949" s="84"/>
      <c r="C5949" s="55"/>
      <c r="D5949" s="86"/>
      <c r="E5949" s="55"/>
      <c r="F5949" s="55"/>
      <c r="G5949" s="55"/>
      <c r="H5949" s="55"/>
    </row>
    <row r="5950" spans="1:9" x14ac:dyDescent="0.3">
      <c r="A5950" s="55"/>
      <c r="B5950" s="84"/>
      <c r="C5950" s="55"/>
      <c r="D5950" s="86"/>
      <c r="E5950" s="55"/>
      <c r="F5950" s="55"/>
      <c r="G5950" s="55"/>
      <c r="H5950" s="55"/>
    </row>
    <row r="5951" spans="1:9" x14ac:dyDescent="0.3">
      <c r="A5951" s="55"/>
      <c r="B5951" s="84"/>
      <c r="C5951" s="20"/>
      <c r="D5951" s="86"/>
      <c r="E5951" s="55"/>
      <c r="F5951" s="55"/>
      <c r="G5951" s="55"/>
      <c r="H5951" s="55"/>
    </row>
    <row r="5952" spans="1:9" ht="15" x14ac:dyDescent="0.3">
      <c r="A5952" s="353"/>
      <c r="B5952" s="257"/>
      <c r="C5952" s="20"/>
      <c r="D5952" s="86"/>
      <c r="E5952" s="55"/>
      <c r="F5952" s="55"/>
      <c r="G5952" s="55"/>
      <c r="H5952" s="55"/>
    </row>
    <row r="5953" spans="1:8" x14ac:dyDescent="0.3">
      <c r="A5953" s="55"/>
      <c r="B5953" s="257"/>
      <c r="C5953" s="20"/>
      <c r="D5953" s="86"/>
      <c r="E5953" s="55"/>
      <c r="F5953" s="55"/>
      <c r="G5953" s="55"/>
      <c r="H5953" s="55"/>
    </row>
    <row r="5954" spans="1:8" x14ac:dyDescent="0.3">
      <c r="A5954" s="55"/>
      <c r="B5954" s="257"/>
      <c r="C5954" s="20"/>
      <c r="D5954" s="86"/>
      <c r="E5954" s="55"/>
      <c r="F5954" s="55"/>
      <c r="G5954" s="55"/>
      <c r="H5954" s="55"/>
    </row>
    <row r="5955" spans="1:8" x14ac:dyDescent="0.3">
      <c r="A5955" s="55"/>
      <c r="B5955" s="257"/>
      <c r="C5955" s="20"/>
      <c r="D5955" s="86"/>
      <c r="E5955" s="55"/>
      <c r="F5955" s="55"/>
      <c r="G5955" s="55"/>
      <c r="H5955" s="55"/>
    </row>
    <row r="5956" spans="1:8" x14ac:dyDescent="0.3">
      <c r="A5956" s="55"/>
      <c r="B5956" s="257"/>
      <c r="C5956" s="20"/>
      <c r="D5956" s="86"/>
      <c r="E5956" s="55"/>
      <c r="F5956" s="55"/>
      <c r="G5956" s="55"/>
      <c r="H5956" s="55"/>
    </row>
    <row r="5957" spans="1:8" x14ac:dyDescent="0.3">
      <c r="A5957" s="55"/>
      <c r="B5957" s="257"/>
      <c r="C5957" s="20"/>
      <c r="D5957" s="86"/>
      <c r="E5957" s="55"/>
      <c r="F5957" s="55"/>
      <c r="G5957" s="55"/>
      <c r="H5957" s="55"/>
    </row>
    <row r="5958" spans="1:8" x14ac:dyDescent="0.3">
      <c r="A5958" s="55"/>
      <c r="B5958" s="257"/>
      <c r="C5958" s="20"/>
      <c r="D5958" s="86"/>
      <c r="E5958" s="55"/>
      <c r="F5958" s="55"/>
      <c r="G5958" s="55"/>
      <c r="H5958" s="55"/>
    </row>
    <row r="5959" spans="1:8" x14ac:dyDescent="0.3">
      <c r="A5959" s="163"/>
      <c r="B5959" s="163"/>
      <c r="C5959" s="163"/>
      <c r="D5959" s="163"/>
      <c r="E5959" s="163"/>
      <c r="F5959" s="163"/>
      <c r="G5959" s="163"/>
      <c r="H5959" s="163"/>
    </row>
    <row r="5960" spans="1:8" x14ac:dyDescent="0.3">
      <c r="A5960" s="55"/>
      <c r="B5960" s="257"/>
      <c r="C5960" s="55"/>
      <c r="D5960" s="55"/>
      <c r="E5960" s="55"/>
      <c r="F5960" s="55"/>
      <c r="G5960" s="55"/>
      <c r="H5960" s="55"/>
    </row>
    <row r="5961" spans="1:8" x14ac:dyDescent="0.3">
      <c r="A5961" s="57"/>
      <c r="B5961" s="84"/>
      <c r="C5961" s="85"/>
      <c r="D5961" s="86"/>
      <c r="E5961" s="87"/>
      <c r="F5961" s="47"/>
      <c r="G5961" s="47"/>
      <c r="H5961" s="47"/>
    </row>
    <row r="5962" spans="1:8" x14ac:dyDescent="0.3">
      <c r="A5962" s="57"/>
      <c r="B5962" s="84"/>
      <c r="C5962" s="85"/>
      <c r="D5962" s="86"/>
      <c r="E5962" s="47"/>
      <c r="F5962" s="47"/>
      <c r="G5962" s="47"/>
      <c r="H5962" s="47"/>
    </row>
    <row r="5963" spans="1:8" x14ac:dyDescent="0.3">
      <c r="A5963" s="55"/>
      <c r="B5963" s="84"/>
      <c r="C5963" s="55"/>
      <c r="D5963" s="86"/>
      <c r="E5963" s="47"/>
      <c r="F5963" s="47"/>
      <c r="G5963" s="47"/>
      <c r="H5963" s="47"/>
    </row>
    <row r="5964" spans="1:8" x14ac:dyDescent="0.3">
      <c r="A5964" s="27"/>
      <c r="B5964" s="28"/>
      <c r="C5964" s="24"/>
      <c r="D5964" s="25"/>
      <c r="E5964" s="25"/>
      <c r="F5964" s="28"/>
      <c r="G5964" s="28"/>
      <c r="H5964" s="32"/>
    </row>
    <row r="5965" spans="1:8" ht="15.6" x14ac:dyDescent="0.3">
      <c r="A5965" s="448" t="s">
        <v>45</v>
      </c>
      <c r="B5965" s="449"/>
      <c r="C5965" s="24"/>
      <c r="D5965" s="25"/>
      <c r="E5965" s="25"/>
      <c r="F5965" s="447" t="s">
        <v>46</v>
      </c>
      <c r="G5965" s="447"/>
      <c r="H5965" s="66">
        <v>31500</v>
      </c>
    </row>
    <row r="5966" spans="1:8" ht="15.6" x14ac:dyDescent="0.3">
      <c r="A5966" s="497" t="s">
        <v>1109</v>
      </c>
      <c r="B5966" s="498"/>
      <c r="C5966" s="498"/>
      <c r="D5966" s="498"/>
      <c r="E5966" s="498"/>
      <c r="F5966" s="447" t="s">
        <v>47</v>
      </c>
      <c r="G5966" s="447"/>
      <c r="H5966" s="66">
        <f>H5965*9%</f>
        <v>2835</v>
      </c>
    </row>
    <row r="5967" spans="1:8" ht="15.6" x14ac:dyDescent="0.3">
      <c r="A5967" s="27"/>
      <c r="B5967" s="28" t="s">
        <v>687</v>
      </c>
      <c r="C5967" s="24"/>
      <c r="D5967" s="25"/>
      <c r="E5967" s="25"/>
      <c r="F5967" s="447" t="s">
        <v>48</v>
      </c>
      <c r="G5967" s="447"/>
      <c r="H5967" s="66">
        <f>H5966</f>
        <v>2835</v>
      </c>
    </row>
    <row r="5968" spans="1:8" ht="15.6" x14ac:dyDescent="0.3">
      <c r="A5968" s="64" t="s">
        <v>49</v>
      </c>
      <c r="B5968" s="65"/>
      <c r="C5968" s="24"/>
      <c r="D5968" s="25"/>
      <c r="E5968" s="25"/>
      <c r="F5968" s="447" t="s">
        <v>50</v>
      </c>
      <c r="G5968" s="447"/>
      <c r="H5968" s="66">
        <f>H5965+H5966+H5967</f>
        <v>37170</v>
      </c>
    </row>
    <row r="5969" spans="1:8" ht="27" x14ac:dyDescent="0.3">
      <c r="A5969" s="68" t="s">
        <v>22</v>
      </c>
      <c r="B5969" s="30" t="s">
        <v>51</v>
      </c>
      <c r="C5969" s="70" t="s">
        <v>24</v>
      </c>
      <c r="D5969" s="31" t="s">
        <v>25</v>
      </c>
      <c r="E5969" s="450" t="s">
        <v>52</v>
      </c>
      <c r="F5969" s="450"/>
      <c r="G5969" s="28"/>
      <c r="H5969" s="32"/>
    </row>
    <row r="5970" spans="1:8" x14ac:dyDescent="0.3">
      <c r="A5970" s="72">
        <v>0.18</v>
      </c>
      <c r="B5970" s="73">
        <f>H5965</f>
        <v>31500</v>
      </c>
      <c r="C5970" s="91">
        <f>H5966</f>
        <v>2835</v>
      </c>
      <c r="D5970" s="91">
        <f>H5966</f>
        <v>2835</v>
      </c>
      <c r="E5970" s="506">
        <f>C5970+D5970</f>
        <v>5670</v>
      </c>
      <c r="F5970" s="507"/>
      <c r="G5970" s="74"/>
      <c r="H5970" s="75"/>
    </row>
    <row r="5971" spans="1:8" x14ac:dyDescent="0.3">
      <c r="A5971" s="508" t="s">
        <v>1110</v>
      </c>
      <c r="B5971" s="509"/>
      <c r="C5971" s="509"/>
      <c r="D5971" s="509"/>
      <c r="E5971" s="453"/>
      <c r="F5971" s="453"/>
      <c r="G5971" s="453"/>
      <c r="H5971" s="454"/>
    </row>
    <row r="5972" spans="1:8" ht="15.6" x14ac:dyDescent="0.3">
      <c r="A5972" s="455" t="s">
        <v>53</v>
      </c>
      <c r="B5972" s="456"/>
      <c r="C5972" s="456"/>
      <c r="D5972" s="457"/>
      <c r="E5972" s="458" t="s">
        <v>54</v>
      </c>
      <c r="F5972" s="459"/>
      <c r="G5972" s="459"/>
      <c r="H5972" s="460"/>
    </row>
    <row r="5973" spans="1:8" x14ac:dyDescent="0.3">
      <c r="A5973" s="461" t="s">
        <v>55</v>
      </c>
      <c r="B5973" s="462"/>
      <c r="C5973" s="462"/>
      <c r="D5973" s="463"/>
      <c r="E5973" s="39"/>
      <c r="F5973" s="28"/>
      <c r="G5973" s="28"/>
      <c r="H5973" s="32"/>
    </row>
    <row r="5974" spans="1:8" x14ac:dyDescent="0.3">
      <c r="A5974" s="461" t="s">
        <v>56</v>
      </c>
      <c r="B5974" s="462"/>
      <c r="C5974" s="462"/>
      <c r="D5974" s="463"/>
      <c r="E5974" s="39"/>
      <c r="F5974" s="28"/>
      <c r="G5974" s="28"/>
      <c r="H5974" s="32"/>
    </row>
    <row r="5975" spans="1:8" x14ac:dyDescent="0.3">
      <c r="A5975" s="461" t="s">
        <v>57</v>
      </c>
      <c r="B5975" s="462"/>
      <c r="C5975" s="462"/>
      <c r="D5975" s="463"/>
      <c r="E5975" s="39"/>
      <c r="F5975" s="28"/>
      <c r="G5975" s="28"/>
      <c r="H5975" s="32"/>
    </row>
    <row r="5976" spans="1:8" ht="15.6" x14ac:dyDescent="0.3">
      <c r="A5976" s="464" t="s">
        <v>58</v>
      </c>
      <c r="B5976" s="465"/>
      <c r="C5976" s="465"/>
      <c r="D5976" s="465"/>
      <c r="E5976" s="466" t="s">
        <v>59</v>
      </c>
      <c r="F5976" s="467"/>
      <c r="G5976" s="467"/>
      <c r="H5976" s="468"/>
    </row>
    <row r="5980" spans="1:8" ht="44.4" x14ac:dyDescent="0.7">
      <c r="A5980" s="469" t="s">
        <v>0</v>
      </c>
      <c r="B5980" s="470"/>
      <c r="C5980" s="470"/>
      <c r="D5980" s="470"/>
      <c r="E5980" s="531" t="s">
        <v>1</v>
      </c>
      <c r="F5980" s="544"/>
      <c r="G5980" s="544"/>
      <c r="H5980" s="545"/>
    </row>
    <row r="5981" spans="1:8" ht="20.399999999999999" x14ac:dyDescent="0.35">
      <c r="A5981" s="1"/>
      <c r="B5981" s="476" t="s">
        <v>2</v>
      </c>
      <c r="C5981" s="476"/>
      <c r="D5981" s="476"/>
      <c r="E5981" s="546"/>
      <c r="F5981" s="546"/>
      <c r="G5981" s="546"/>
      <c r="H5981" s="547"/>
    </row>
    <row r="5982" spans="1:8" x14ac:dyDescent="0.3">
      <c r="A5982" s="477" t="s">
        <v>3</v>
      </c>
      <c r="B5982" s="478"/>
      <c r="C5982" s="479" t="s">
        <v>4</v>
      </c>
      <c r="D5982" s="479"/>
      <c r="E5982" s="654" t="s">
        <v>5</v>
      </c>
      <c r="F5982" s="654"/>
      <c r="G5982" s="654"/>
      <c r="H5982" s="654"/>
    </row>
    <row r="5983" spans="1:8" ht="15.6" x14ac:dyDescent="0.3">
      <c r="A5983" s="4" t="s">
        <v>6</v>
      </c>
      <c r="B5983" s="5"/>
      <c r="C5983" s="481" t="s">
        <v>7</v>
      </c>
      <c r="D5983" s="481"/>
      <c r="E5983" s="482">
        <v>130</v>
      </c>
      <c r="F5983" s="482"/>
      <c r="G5983" s="7" t="s">
        <v>8</v>
      </c>
      <c r="H5983" s="354">
        <v>45971</v>
      </c>
    </row>
    <row r="5984" spans="1:8" ht="15.6" x14ac:dyDescent="0.3">
      <c r="A5984" s="387" t="s">
        <v>1111</v>
      </c>
      <c r="B5984" s="227"/>
      <c r="C5984" s="481" t="s">
        <v>10</v>
      </c>
      <c r="D5984" s="481"/>
      <c r="E5984" s="482"/>
      <c r="F5984" s="482"/>
      <c r="G5984" s="7" t="s">
        <v>8</v>
      </c>
      <c r="H5984" s="354"/>
    </row>
    <row r="5985" spans="1:9" ht="15" x14ac:dyDescent="0.3">
      <c r="A5985" s="560" t="s">
        <v>1112</v>
      </c>
      <c r="B5985" s="561"/>
      <c r="C5985" s="483" t="s">
        <v>12</v>
      </c>
      <c r="D5985" s="484"/>
      <c r="E5985" s="655"/>
      <c r="F5985" s="656"/>
      <c r="G5985" s="10" t="s">
        <v>8</v>
      </c>
      <c r="H5985" s="355"/>
    </row>
    <row r="5986" spans="1:9" ht="15.6" x14ac:dyDescent="0.3">
      <c r="A5986" s="253"/>
      <c r="B5986" s="254"/>
      <c r="C5986" s="481" t="s">
        <v>15</v>
      </c>
      <c r="D5986" s="481"/>
      <c r="E5986" s="489" t="s">
        <v>1114</v>
      </c>
      <c r="F5986" s="490"/>
      <c r="G5986" s="490"/>
      <c r="H5986" s="491"/>
    </row>
    <row r="5987" spans="1:9" ht="15.6" x14ac:dyDescent="0.3">
      <c r="A5987" s="255" t="s">
        <v>1113</v>
      </c>
      <c r="B5987" s="256"/>
      <c r="C5987" s="489"/>
      <c r="D5987" s="490"/>
      <c r="E5987" s="490"/>
      <c r="F5987" s="490"/>
      <c r="G5987" s="490"/>
      <c r="H5987" s="491"/>
    </row>
    <row r="5988" spans="1:9" ht="15" x14ac:dyDescent="0.3">
      <c r="A5988" s="492" t="s">
        <v>17</v>
      </c>
      <c r="B5988" s="494" t="s">
        <v>18</v>
      </c>
      <c r="C5988" s="494" t="s">
        <v>19</v>
      </c>
      <c r="D5988" s="495" t="s">
        <v>20</v>
      </c>
      <c r="E5988" s="494" t="s">
        <v>21</v>
      </c>
      <c r="F5988" s="494" t="s">
        <v>22</v>
      </c>
      <c r="G5988" s="494"/>
      <c r="H5988" s="492" t="s">
        <v>23</v>
      </c>
    </row>
    <row r="5989" spans="1:9" ht="27.6" x14ac:dyDescent="0.3">
      <c r="A5989" s="492"/>
      <c r="B5989" s="494"/>
      <c r="C5989" s="494"/>
      <c r="D5989" s="505"/>
      <c r="E5989" s="494"/>
      <c r="F5989" s="53" t="s">
        <v>24</v>
      </c>
      <c r="G5989" s="53" t="s">
        <v>25</v>
      </c>
      <c r="H5989" s="492"/>
    </row>
    <row r="5990" spans="1:9" ht="15" x14ac:dyDescent="0.3">
      <c r="A5990" s="353">
        <v>1</v>
      </c>
      <c r="B5990" s="84" t="s">
        <v>1115</v>
      </c>
      <c r="C5990" s="352">
        <v>95</v>
      </c>
      <c r="D5990" s="356">
        <v>85446020</v>
      </c>
      <c r="E5990" s="352">
        <v>264</v>
      </c>
      <c r="F5990" s="55">
        <f t="shared" ref="F5990:F5992" si="134">E5990*C5990*9%</f>
        <v>2257.1999999999998</v>
      </c>
      <c r="G5990" s="55">
        <f t="shared" ref="G5990:G5992" si="135">F5990</f>
        <v>2257.1999999999998</v>
      </c>
      <c r="H5990" s="55">
        <f t="shared" ref="H5990:H5992" si="136">G5990+F5990+E5990*C5990</f>
        <v>29594.400000000001</v>
      </c>
      <c r="I5990" s="362">
        <f>E5990*C5990</f>
        <v>25080</v>
      </c>
    </row>
    <row r="5991" spans="1:9" x14ac:dyDescent="0.3">
      <c r="A5991" s="55">
        <v>2</v>
      </c>
      <c r="B5991" s="84" t="s">
        <v>1116</v>
      </c>
      <c r="C5991" s="55">
        <v>95</v>
      </c>
      <c r="D5991" s="86">
        <v>998719</v>
      </c>
      <c r="E5991" s="55">
        <v>80</v>
      </c>
      <c r="F5991" s="55">
        <f t="shared" si="134"/>
        <v>684</v>
      </c>
      <c r="G5991" s="55">
        <f t="shared" si="135"/>
        <v>684</v>
      </c>
      <c r="H5991" s="55">
        <f t="shared" si="136"/>
        <v>8968</v>
      </c>
      <c r="I5991" s="362">
        <f t="shared" ref="I5991:I5994" si="137">E5991*C5991</f>
        <v>7600</v>
      </c>
    </row>
    <row r="5992" spans="1:9" x14ac:dyDescent="0.3">
      <c r="A5992" s="55">
        <v>3</v>
      </c>
      <c r="B5992" s="84" t="s">
        <v>1119</v>
      </c>
      <c r="C5992" s="55">
        <v>1</v>
      </c>
      <c r="D5992" s="297">
        <v>85371000</v>
      </c>
      <c r="E5992" s="55">
        <v>11000</v>
      </c>
      <c r="F5992" s="55">
        <f t="shared" si="134"/>
        <v>990</v>
      </c>
      <c r="G5992" s="55">
        <f t="shared" si="135"/>
        <v>990</v>
      </c>
      <c r="H5992" s="55">
        <f t="shared" si="136"/>
        <v>12980</v>
      </c>
      <c r="I5992" s="362">
        <f t="shared" si="137"/>
        <v>11000</v>
      </c>
    </row>
    <row r="5993" spans="1:9" ht="15" x14ac:dyDescent="0.3">
      <c r="A5993" s="353">
        <v>4</v>
      </c>
      <c r="B5993" s="84" t="s">
        <v>1118</v>
      </c>
      <c r="C5993" s="55">
        <v>1</v>
      </c>
      <c r="D5993" s="297">
        <v>85362090</v>
      </c>
      <c r="E5993" s="55">
        <v>8010</v>
      </c>
      <c r="F5993" s="55">
        <f t="shared" ref="F5993:F5994" si="138">E5993*C5993*9%</f>
        <v>720.9</v>
      </c>
      <c r="G5993" s="55">
        <f t="shared" ref="G5993:G5994" si="139">F5993</f>
        <v>720.9</v>
      </c>
      <c r="H5993" s="55">
        <f t="shared" ref="H5993:H5994" si="140">G5993+F5993+E5993*C5993</f>
        <v>9451.7999999999993</v>
      </c>
      <c r="I5993" s="362">
        <f t="shared" si="137"/>
        <v>8010</v>
      </c>
    </row>
    <row r="5994" spans="1:9" x14ac:dyDescent="0.3">
      <c r="A5994" s="55">
        <v>5</v>
      </c>
      <c r="B5994" s="84" t="s">
        <v>1117</v>
      </c>
      <c r="C5994" s="55">
        <v>1</v>
      </c>
      <c r="D5994" s="86">
        <v>998719</v>
      </c>
      <c r="E5994" s="55">
        <v>6200</v>
      </c>
      <c r="F5994" s="55">
        <f t="shared" si="138"/>
        <v>558</v>
      </c>
      <c r="G5994" s="55">
        <f t="shared" si="139"/>
        <v>558</v>
      </c>
      <c r="H5994" s="55">
        <f t="shared" si="140"/>
        <v>7316</v>
      </c>
      <c r="I5994" s="362">
        <f t="shared" si="137"/>
        <v>6200</v>
      </c>
    </row>
    <row r="5995" spans="1:9" x14ac:dyDescent="0.3">
      <c r="A5995" s="55"/>
      <c r="B5995" s="84"/>
      <c r="C5995" s="55"/>
      <c r="D5995" s="86"/>
      <c r="E5995" s="55"/>
      <c r="F5995" s="55"/>
      <c r="G5995" s="55"/>
      <c r="H5995" s="55"/>
    </row>
    <row r="5996" spans="1:9" ht="15" x14ac:dyDescent="0.3">
      <c r="A5996" s="353"/>
      <c r="B5996" s="84"/>
      <c r="C5996" s="55"/>
      <c r="D5996" s="86"/>
      <c r="E5996" s="55"/>
      <c r="F5996" s="55"/>
      <c r="G5996" s="55"/>
      <c r="H5996" s="55"/>
    </row>
    <row r="5997" spans="1:9" x14ac:dyDescent="0.3">
      <c r="A5997" s="55"/>
      <c r="B5997" s="84"/>
      <c r="C5997" s="55"/>
      <c r="D5997" s="86"/>
      <c r="E5997" s="55"/>
      <c r="F5997" s="55"/>
      <c r="G5997" s="55"/>
      <c r="H5997" s="55"/>
    </row>
    <row r="5998" spans="1:9" x14ac:dyDescent="0.3">
      <c r="A5998" s="55"/>
      <c r="B5998" s="84"/>
      <c r="C5998" s="20"/>
      <c r="D5998" s="86"/>
      <c r="E5998" s="55"/>
      <c r="F5998" s="55"/>
      <c r="G5998" s="55"/>
      <c r="H5998" s="55"/>
    </row>
    <row r="5999" spans="1:9" ht="15" x14ac:dyDescent="0.3">
      <c r="A5999" s="353"/>
      <c r="B5999" s="257"/>
      <c r="C5999" s="20"/>
      <c r="D5999" s="86"/>
      <c r="E5999" s="55"/>
      <c r="F5999" s="55"/>
      <c r="G5999" s="55"/>
      <c r="H5999" s="55"/>
    </row>
    <row r="6000" spans="1:9" x14ac:dyDescent="0.3">
      <c r="A6000" s="55"/>
      <c r="B6000" s="257"/>
      <c r="C6000" s="20"/>
      <c r="D6000" s="86"/>
      <c r="E6000" s="55"/>
      <c r="F6000" s="55"/>
      <c r="G6000" s="55"/>
      <c r="H6000" s="55"/>
    </row>
    <row r="6001" spans="1:8" x14ac:dyDescent="0.3">
      <c r="A6001" s="55"/>
      <c r="B6001" s="257"/>
      <c r="C6001" s="20"/>
      <c r="D6001" s="86"/>
      <c r="E6001" s="55"/>
      <c r="F6001" s="55"/>
      <c r="G6001" s="55"/>
      <c r="H6001" s="55"/>
    </row>
    <row r="6002" spans="1:8" x14ac:dyDescent="0.3">
      <c r="A6002" s="163"/>
      <c r="B6002" s="163"/>
      <c r="C6002" s="163"/>
      <c r="D6002" s="163"/>
      <c r="E6002" s="163"/>
      <c r="F6002" s="163"/>
      <c r="G6002" s="163"/>
      <c r="H6002" s="163"/>
    </row>
    <row r="6003" spans="1:8" x14ac:dyDescent="0.3">
      <c r="A6003" s="55"/>
      <c r="B6003" s="257"/>
      <c r="C6003" s="55"/>
      <c r="D6003" s="55"/>
      <c r="E6003" s="55"/>
      <c r="F6003" s="55"/>
      <c r="G6003" s="55"/>
      <c r="H6003" s="55"/>
    </row>
    <row r="6004" spans="1:8" x14ac:dyDescent="0.3">
      <c r="A6004" s="57"/>
      <c r="B6004" s="84"/>
      <c r="C6004" s="85"/>
      <c r="D6004" s="86"/>
      <c r="E6004" s="87"/>
      <c r="F6004" s="47"/>
      <c r="G6004" s="47"/>
      <c r="H6004" s="47"/>
    </row>
    <row r="6005" spans="1:8" x14ac:dyDescent="0.3">
      <c r="A6005" s="57"/>
      <c r="B6005" s="84"/>
      <c r="C6005" s="85"/>
      <c r="D6005" s="86"/>
      <c r="E6005" s="47"/>
      <c r="F6005" s="47"/>
      <c r="G6005" s="47"/>
      <c r="H6005" s="47"/>
    </row>
    <row r="6006" spans="1:8" x14ac:dyDescent="0.3">
      <c r="A6006" s="55"/>
      <c r="B6006" s="84"/>
      <c r="C6006" s="55"/>
      <c r="D6006" s="86"/>
      <c r="E6006" s="47"/>
      <c r="F6006" s="47"/>
      <c r="G6006" s="47"/>
      <c r="H6006" s="47"/>
    </row>
    <row r="6007" spans="1:8" x14ac:dyDescent="0.3">
      <c r="A6007" s="27"/>
      <c r="B6007" s="28"/>
      <c r="C6007" s="24"/>
      <c r="D6007" s="25"/>
      <c r="E6007" s="25"/>
      <c r="F6007" s="28"/>
      <c r="G6007" s="28"/>
      <c r="H6007" s="32"/>
    </row>
    <row r="6008" spans="1:8" ht="15.6" x14ac:dyDescent="0.3">
      <c r="A6008" s="448" t="s">
        <v>45</v>
      </c>
      <c r="B6008" s="449"/>
      <c r="C6008" s="24"/>
      <c r="D6008" s="25"/>
      <c r="E6008" s="25"/>
      <c r="F6008" s="447" t="s">
        <v>46</v>
      </c>
      <c r="G6008" s="447"/>
      <c r="H6008" s="66">
        <v>57890</v>
      </c>
    </row>
    <row r="6009" spans="1:8" ht="15.6" x14ac:dyDescent="0.3">
      <c r="A6009" s="497" t="s">
        <v>1120</v>
      </c>
      <c r="B6009" s="498"/>
      <c r="C6009" s="498"/>
      <c r="D6009" s="498"/>
      <c r="E6009" s="498"/>
      <c r="F6009" s="447" t="s">
        <v>47</v>
      </c>
      <c r="G6009" s="447"/>
      <c r="H6009" s="66">
        <f>H6008*9%</f>
        <v>5210.0999999999995</v>
      </c>
    </row>
    <row r="6010" spans="1:8" ht="15.6" x14ac:dyDescent="0.3">
      <c r="A6010" s="27"/>
      <c r="B6010" s="28" t="s">
        <v>687</v>
      </c>
      <c r="C6010" s="24"/>
      <c r="D6010" s="25"/>
      <c r="E6010" s="25"/>
      <c r="F6010" s="447" t="s">
        <v>48</v>
      </c>
      <c r="G6010" s="447"/>
      <c r="H6010" s="66">
        <f>H6009</f>
        <v>5210.0999999999995</v>
      </c>
    </row>
    <row r="6011" spans="1:8" ht="15.6" x14ac:dyDescent="0.3">
      <c r="A6011" s="64" t="s">
        <v>49</v>
      </c>
      <c r="B6011" s="65"/>
      <c r="C6011" s="24"/>
      <c r="D6011" s="25"/>
      <c r="E6011" s="25"/>
      <c r="F6011" s="447" t="s">
        <v>50</v>
      </c>
      <c r="G6011" s="447"/>
      <c r="H6011" s="66">
        <v>68310</v>
      </c>
    </row>
    <row r="6012" spans="1:8" ht="27" x14ac:dyDescent="0.3">
      <c r="A6012" s="68" t="s">
        <v>22</v>
      </c>
      <c r="B6012" s="30" t="s">
        <v>51</v>
      </c>
      <c r="C6012" s="70" t="s">
        <v>24</v>
      </c>
      <c r="D6012" s="31" t="s">
        <v>25</v>
      </c>
      <c r="E6012" s="450" t="s">
        <v>52</v>
      </c>
      <c r="F6012" s="450"/>
      <c r="G6012" s="28"/>
      <c r="H6012" s="32"/>
    </row>
    <row r="6013" spans="1:8" x14ac:dyDescent="0.3">
      <c r="A6013" s="72">
        <v>0.18</v>
      </c>
      <c r="B6013" s="73">
        <f>H6008</f>
        <v>57890</v>
      </c>
      <c r="C6013" s="91">
        <f>H6009</f>
        <v>5210.0999999999995</v>
      </c>
      <c r="D6013" s="91">
        <f>H6009</f>
        <v>5210.0999999999995</v>
      </c>
      <c r="E6013" s="506">
        <f>C6013+D6013</f>
        <v>10420.199999999999</v>
      </c>
      <c r="F6013" s="507"/>
      <c r="G6013" s="74"/>
      <c r="H6013" s="75"/>
    </row>
    <row r="6014" spans="1:8" x14ac:dyDescent="0.3">
      <c r="A6014" s="508" t="s">
        <v>1121</v>
      </c>
      <c r="B6014" s="509"/>
      <c r="C6014" s="509"/>
      <c r="D6014" s="509"/>
      <c r="E6014" s="453"/>
      <c r="F6014" s="453"/>
      <c r="G6014" s="453"/>
      <c r="H6014" s="454"/>
    </row>
    <row r="6015" spans="1:8" ht="15.6" x14ac:dyDescent="0.3">
      <c r="A6015" s="455" t="s">
        <v>53</v>
      </c>
      <c r="B6015" s="456"/>
      <c r="C6015" s="456"/>
      <c r="D6015" s="457"/>
      <c r="E6015" s="458" t="s">
        <v>54</v>
      </c>
      <c r="F6015" s="459"/>
      <c r="G6015" s="459"/>
      <c r="H6015" s="460"/>
    </row>
    <row r="6016" spans="1:8" x14ac:dyDescent="0.3">
      <c r="A6016" s="461" t="s">
        <v>55</v>
      </c>
      <c r="B6016" s="462"/>
      <c r="C6016" s="462"/>
      <c r="D6016" s="463"/>
      <c r="E6016" s="39"/>
      <c r="F6016" s="28"/>
      <c r="G6016" s="28"/>
      <c r="H6016" s="32"/>
    </row>
    <row r="6017" spans="1:8" x14ac:dyDescent="0.3">
      <c r="A6017" s="461" t="s">
        <v>56</v>
      </c>
      <c r="B6017" s="462"/>
      <c r="C6017" s="462"/>
      <c r="D6017" s="463"/>
      <c r="E6017" s="39"/>
      <c r="F6017" s="28"/>
      <c r="G6017" s="28"/>
      <c r="H6017" s="32"/>
    </row>
    <row r="6018" spans="1:8" x14ac:dyDescent="0.3">
      <c r="A6018" s="461" t="s">
        <v>57</v>
      </c>
      <c r="B6018" s="462"/>
      <c r="C6018" s="462"/>
      <c r="D6018" s="463"/>
      <c r="E6018" s="39"/>
      <c r="F6018" s="28"/>
      <c r="G6018" s="28"/>
      <c r="H6018" s="32"/>
    </row>
    <row r="6019" spans="1:8" ht="15.6" x14ac:dyDescent="0.3">
      <c r="A6019" s="464" t="s">
        <v>58</v>
      </c>
      <c r="B6019" s="465"/>
      <c r="C6019" s="465"/>
      <c r="D6019" s="465"/>
      <c r="E6019" s="466" t="s">
        <v>59</v>
      </c>
      <c r="F6019" s="467"/>
      <c r="G6019" s="467"/>
      <c r="H6019" s="468"/>
    </row>
    <row r="6023" spans="1:8" ht="44.4" x14ac:dyDescent="0.7">
      <c r="A6023" s="469" t="s">
        <v>0</v>
      </c>
      <c r="B6023" s="470"/>
      <c r="C6023" s="470"/>
      <c r="D6023" s="470"/>
      <c r="E6023" s="531" t="s">
        <v>1</v>
      </c>
      <c r="F6023" s="544"/>
      <c r="G6023" s="544"/>
      <c r="H6023" s="545"/>
    </row>
    <row r="6024" spans="1:8" ht="20.399999999999999" x14ac:dyDescent="0.35">
      <c r="A6024" s="1"/>
      <c r="B6024" s="476" t="s">
        <v>2</v>
      </c>
      <c r="C6024" s="476"/>
      <c r="D6024" s="476"/>
      <c r="E6024" s="546"/>
      <c r="F6024" s="546"/>
      <c r="G6024" s="546"/>
      <c r="H6024" s="547"/>
    </row>
    <row r="6025" spans="1:8" x14ac:dyDescent="0.3">
      <c r="A6025" s="477" t="s">
        <v>3</v>
      </c>
      <c r="B6025" s="478"/>
      <c r="C6025" s="479" t="s">
        <v>4</v>
      </c>
      <c r="D6025" s="479"/>
      <c r="E6025" s="654" t="s">
        <v>5</v>
      </c>
      <c r="F6025" s="654"/>
      <c r="G6025" s="654"/>
      <c r="H6025" s="654"/>
    </row>
    <row r="6026" spans="1:8" ht="15.6" x14ac:dyDescent="0.3">
      <c r="A6026" s="4" t="s">
        <v>6</v>
      </c>
      <c r="B6026" s="5"/>
      <c r="C6026" s="481" t="s">
        <v>7</v>
      </c>
      <c r="D6026" s="481"/>
      <c r="E6026" s="482">
        <v>131</v>
      </c>
      <c r="F6026" s="482"/>
      <c r="G6026" s="7" t="s">
        <v>8</v>
      </c>
      <c r="H6026" s="354">
        <v>45971</v>
      </c>
    </row>
    <row r="6027" spans="1:8" ht="15.6" x14ac:dyDescent="0.3">
      <c r="A6027" s="551" t="s">
        <v>1122</v>
      </c>
      <c r="B6027" s="552"/>
      <c r="C6027" s="481" t="s">
        <v>10</v>
      </c>
      <c r="D6027" s="481"/>
      <c r="E6027" s="482"/>
      <c r="F6027" s="482"/>
      <c r="G6027" s="7" t="s">
        <v>8</v>
      </c>
      <c r="H6027" s="354"/>
    </row>
    <row r="6028" spans="1:8" ht="15" x14ac:dyDescent="0.3">
      <c r="A6028" s="560" t="s">
        <v>1123</v>
      </c>
      <c r="B6028" s="561"/>
      <c r="C6028" s="483" t="s">
        <v>12</v>
      </c>
      <c r="D6028" s="484"/>
      <c r="E6028" s="655"/>
      <c r="F6028" s="656"/>
      <c r="G6028" s="10" t="s">
        <v>8</v>
      </c>
      <c r="H6028" s="355"/>
    </row>
    <row r="6029" spans="1:8" ht="15.6" x14ac:dyDescent="0.3">
      <c r="A6029" s="253" t="s">
        <v>1124</v>
      </c>
      <c r="B6029" s="254"/>
      <c r="C6029" s="481" t="s">
        <v>15</v>
      </c>
      <c r="D6029" s="481"/>
      <c r="E6029" s="489" t="s">
        <v>546</v>
      </c>
      <c r="F6029" s="490"/>
      <c r="G6029" s="490"/>
      <c r="H6029" s="491"/>
    </row>
    <row r="6030" spans="1:8" ht="15.6" x14ac:dyDescent="0.3">
      <c r="A6030" s="255" t="s">
        <v>1125</v>
      </c>
      <c r="B6030" s="256"/>
      <c r="C6030" s="489"/>
      <c r="D6030" s="490"/>
      <c r="E6030" s="490"/>
      <c r="F6030" s="490"/>
      <c r="G6030" s="490"/>
      <c r="H6030" s="491"/>
    </row>
    <row r="6031" spans="1:8" ht="15" x14ac:dyDescent="0.3">
      <c r="A6031" s="492" t="s">
        <v>17</v>
      </c>
      <c r="B6031" s="494" t="s">
        <v>18</v>
      </c>
      <c r="C6031" s="494" t="s">
        <v>19</v>
      </c>
      <c r="D6031" s="495" t="s">
        <v>20</v>
      </c>
      <c r="E6031" s="494" t="s">
        <v>21</v>
      </c>
      <c r="F6031" s="494" t="s">
        <v>22</v>
      </c>
      <c r="G6031" s="494"/>
      <c r="H6031" s="492" t="s">
        <v>23</v>
      </c>
    </row>
    <row r="6032" spans="1:8" ht="27.6" x14ac:dyDescent="0.3">
      <c r="A6032" s="492"/>
      <c r="B6032" s="494"/>
      <c r="C6032" s="494"/>
      <c r="D6032" s="505"/>
      <c r="E6032" s="494"/>
      <c r="F6032" s="53" t="s">
        <v>24</v>
      </c>
      <c r="G6032" s="53" t="s">
        <v>25</v>
      </c>
      <c r="H6032" s="492"/>
    </row>
    <row r="6033" spans="1:9" ht="15" x14ac:dyDescent="0.3">
      <c r="A6033" s="353">
        <v>1</v>
      </c>
      <c r="B6033" s="84" t="s">
        <v>1126</v>
      </c>
      <c r="C6033" s="352">
        <v>2</v>
      </c>
      <c r="D6033" s="357">
        <v>854690</v>
      </c>
      <c r="E6033" s="352">
        <v>2350</v>
      </c>
      <c r="F6033" s="55">
        <f t="shared" ref="F6033:F6034" si="141">E6033*C6033*9%</f>
        <v>423</v>
      </c>
      <c r="G6033" s="55">
        <f t="shared" ref="G6033:G6034" si="142">F6033</f>
        <v>423</v>
      </c>
      <c r="H6033" s="55">
        <f t="shared" ref="H6033:H6034" si="143">G6033+F6033+E6033*C6033</f>
        <v>5546</v>
      </c>
      <c r="I6033" s="362">
        <f>E6033*C6033</f>
        <v>4700</v>
      </c>
    </row>
    <row r="6034" spans="1:9" x14ac:dyDescent="0.3">
      <c r="A6034" s="55">
        <v>2</v>
      </c>
      <c r="B6034" s="84" t="s">
        <v>1127</v>
      </c>
      <c r="C6034" s="55">
        <v>2</v>
      </c>
      <c r="D6034" s="357">
        <v>854690</v>
      </c>
      <c r="E6034" s="55">
        <v>2732</v>
      </c>
      <c r="F6034" s="55">
        <f t="shared" si="141"/>
        <v>491.76</v>
      </c>
      <c r="G6034" s="55">
        <f t="shared" si="142"/>
        <v>491.76</v>
      </c>
      <c r="H6034" s="55">
        <f t="shared" si="143"/>
        <v>6447.52</v>
      </c>
      <c r="I6034" s="362">
        <f t="shared" ref="I6034:I6037" si="144">E6034*C6034</f>
        <v>5464</v>
      </c>
    </row>
    <row r="6035" spans="1:9" x14ac:dyDescent="0.3">
      <c r="A6035" s="55"/>
      <c r="B6035" s="84"/>
      <c r="C6035" s="55"/>
      <c r="D6035" s="297"/>
      <c r="E6035" s="55"/>
      <c r="F6035" s="55"/>
      <c r="G6035" s="55"/>
      <c r="H6035" s="55"/>
      <c r="I6035" s="362">
        <f t="shared" si="144"/>
        <v>0</v>
      </c>
    </row>
    <row r="6036" spans="1:9" ht="15" x14ac:dyDescent="0.3">
      <c r="A6036" s="353"/>
      <c r="B6036" s="84"/>
      <c r="C6036" s="55"/>
      <c r="D6036" s="297"/>
      <c r="E6036" s="55"/>
      <c r="F6036" s="55"/>
      <c r="G6036" s="55"/>
      <c r="H6036" s="55"/>
      <c r="I6036" s="362">
        <f t="shared" si="144"/>
        <v>0</v>
      </c>
    </row>
    <row r="6037" spans="1:9" x14ac:dyDescent="0.3">
      <c r="A6037" s="55"/>
      <c r="B6037" s="84"/>
      <c r="C6037" s="55"/>
      <c r="D6037" s="86"/>
      <c r="E6037" s="55"/>
      <c r="F6037" s="55"/>
      <c r="G6037" s="55"/>
      <c r="H6037" s="55"/>
      <c r="I6037" s="362">
        <f t="shared" si="144"/>
        <v>0</v>
      </c>
    </row>
    <row r="6038" spans="1:9" x14ac:dyDescent="0.3">
      <c r="A6038" s="55"/>
      <c r="B6038" s="84"/>
      <c r="C6038" s="55"/>
      <c r="D6038" s="86"/>
      <c r="E6038" s="55"/>
      <c r="F6038" s="55"/>
      <c r="G6038" s="55"/>
      <c r="H6038" s="55"/>
    </row>
    <row r="6039" spans="1:9" ht="15" x14ac:dyDescent="0.3">
      <c r="A6039" s="353"/>
      <c r="B6039" s="84"/>
      <c r="C6039" s="55"/>
      <c r="D6039" s="86"/>
      <c r="E6039" s="55"/>
      <c r="F6039" s="55"/>
      <c r="G6039" s="55"/>
      <c r="H6039" s="55"/>
    </row>
    <row r="6040" spans="1:9" x14ac:dyDescent="0.3">
      <c r="A6040" s="55"/>
      <c r="B6040" s="84"/>
      <c r="C6040" s="55"/>
      <c r="D6040" s="86"/>
      <c r="E6040" s="55"/>
      <c r="F6040" s="55"/>
      <c r="G6040" s="55"/>
      <c r="H6040" s="55"/>
    </row>
    <row r="6041" spans="1:9" x14ac:dyDescent="0.3">
      <c r="A6041" s="55"/>
      <c r="B6041" s="84"/>
      <c r="C6041" s="20"/>
      <c r="D6041" s="86"/>
      <c r="E6041" s="55"/>
      <c r="F6041" s="55"/>
      <c r="G6041" s="55"/>
      <c r="H6041" s="55"/>
    </row>
    <row r="6042" spans="1:9" ht="15" x14ac:dyDescent="0.3">
      <c r="A6042" s="353"/>
      <c r="B6042" s="257"/>
      <c r="C6042" s="20"/>
      <c r="D6042" s="86"/>
      <c r="E6042" s="55"/>
      <c r="F6042" s="55"/>
      <c r="G6042" s="55"/>
      <c r="H6042" s="55"/>
    </row>
    <row r="6043" spans="1:9" x14ac:dyDescent="0.3">
      <c r="A6043" s="55"/>
      <c r="B6043" s="257"/>
      <c r="C6043" s="20"/>
      <c r="D6043" s="86"/>
      <c r="E6043" s="55"/>
      <c r="F6043" s="55"/>
      <c r="G6043" s="55"/>
      <c r="H6043" s="55"/>
    </row>
    <row r="6044" spans="1:9" x14ac:dyDescent="0.3">
      <c r="A6044" s="55"/>
      <c r="B6044" s="257"/>
      <c r="C6044" s="20"/>
      <c r="D6044" s="86"/>
      <c r="E6044" s="55"/>
      <c r="F6044" s="55"/>
      <c r="G6044" s="55"/>
      <c r="H6044" s="55"/>
    </row>
    <row r="6045" spans="1:9" x14ac:dyDescent="0.3">
      <c r="A6045" s="163"/>
      <c r="B6045" s="163"/>
      <c r="C6045" s="163"/>
      <c r="D6045" s="163"/>
      <c r="E6045" s="163"/>
      <c r="F6045" s="163"/>
      <c r="G6045" s="163"/>
      <c r="H6045" s="163"/>
    </row>
    <row r="6046" spans="1:9" x14ac:dyDescent="0.3">
      <c r="A6046" s="55"/>
      <c r="B6046" s="257"/>
      <c r="C6046" s="55"/>
      <c r="D6046" s="55"/>
      <c r="E6046" s="55"/>
      <c r="F6046" s="55"/>
      <c r="G6046" s="55"/>
      <c r="H6046" s="55"/>
    </row>
    <row r="6047" spans="1:9" x14ac:dyDescent="0.3">
      <c r="A6047" s="57"/>
      <c r="B6047" s="84"/>
      <c r="C6047" s="85"/>
      <c r="D6047" s="86"/>
      <c r="E6047" s="87"/>
      <c r="F6047" s="47"/>
      <c r="G6047" s="47"/>
      <c r="H6047" s="47"/>
    </row>
    <row r="6048" spans="1:9" x14ac:dyDescent="0.3">
      <c r="A6048" s="57"/>
      <c r="B6048" s="84"/>
      <c r="C6048" s="85"/>
      <c r="D6048" s="86"/>
      <c r="E6048" s="47"/>
      <c r="F6048" s="47"/>
      <c r="G6048" s="47"/>
      <c r="H6048" s="47"/>
    </row>
    <row r="6049" spans="1:8" x14ac:dyDescent="0.3">
      <c r="A6049" s="55"/>
      <c r="B6049" s="84"/>
      <c r="C6049" s="55"/>
      <c r="D6049" s="86"/>
      <c r="E6049" s="47"/>
      <c r="F6049" s="47"/>
      <c r="G6049" s="47"/>
      <c r="H6049" s="47"/>
    </row>
    <row r="6050" spans="1:8" x14ac:dyDescent="0.3">
      <c r="A6050" s="27"/>
      <c r="B6050" s="28"/>
      <c r="C6050" s="24"/>
      <c r="D6050" s="25"/>
      <c r="E6050" s="25"/>
      <c r="F6050" s="28"/>
      <c r="G6050" s="28"/>
      <c r="H6050" s="32"/>
    </row>
    <row r="6051" spans="1:8" ht="15.6" x14ac:dyDescent="0.3">
      <c r="A6051" s="448" t="s">
        <v>45</v>
      </c>
      <c r="B6051" s="449"/>
      <c r="C6051" s="24"/>
      <c r="D6051" s="25"/>
      <c r="E6051" s="25"/>
      <c r="F6051" s="447" t="s">
        <v>46</v>
      </c>
      <c r="G6051" s="447"/>
      <c r="H6051" s="66">
        <v>10164</v>
      </c>
    </row>
    <row r="6052" spans="1:8" ht="15.6" x14ac:dyDescent="0.3">
      <c r="A6052" s="497" t="s">
        <v>1128</v>
      </c>
      <c r="B6052" s="498"/>
      <c r="C6052" s="498"/>
      <c r="D6052" s="498"/>
      <c r="E6052" s="498"/>
      <c r="F6052" s="447" t="s">
        <v>47</v>
      </c>
      <c r="G6052" s="447"/>
      <c r="H6052" s="66">
        <f>H6051*9%</f>
        <v>914.76</v>
      </c>
    </row>
    <row r="6053" spans="1:8" ht="15.6" x14ac:dyDescent="0.3">
      <c r="A6053" s="27"/>
      <c r="B6053" s="28" t="s">
        <v>687</v>
      </c>
      <c r="C6053" s="24"/>
      <c r="D6053" s="25"/>
      <c r="E6053" s="25"/>
      <c r="F6053" s="447" t="s">
        <v>48</v>
      </c>
      <c r="G6053" s="447"/>
      <c r="H6053" s="66">
        <f>H6052</f>
        <v>914.76</v>
      </c>
    </row>
    <row r="6054" spans="1:8" ht="15.6" x14ac:dyDescent="0.3">
      <c r="A6054" s="64" t="s">
        <v>49</v>
      </c>
      <c r="B6054" s="65"/>
      <c r="C6054" s="24"/>
      <c r="D6054" s="25"/>
      <c r="E6054" s="25"/>
      <c r="F6054" s="447" t="s">
        <v>50</v>
      </c>
      <c r="G6054" s="447"/>
      <c r="H6054" s="66">
        <v>11994</v>
      </c>
    </row>
    <row r="6055" spans="1:8" ht="27" x14ac:dyDescent="0.3">
      <c r="A6055" s="68" t="s">
        <v>22</v>
      </c>
      <c r="B6055" s="30" t="s">
        <v>51</v>
      </c>
      <c r="C6055" s="70" t="s">
        <v>24</v>
      </c>
      <c r="D6055" s="31" t="s">
        <v>25</v>
      </c>
      <c r="E6055" s="450" t="s">
        <v>52</v>
      </c>
      <c r="F6055" s="450"/>
      <c r="G6055" s="28"/>
      <c r="H6055" s="32"/>
    </row>
    <row r="6056" spans="1:8" x14ac:dyDescent="0.3">
      <c r="A6056" s="72">
        <v>0.18</v>
      </c>
      <c r="B6056" s="73">
        <f>H6051</f>
        <v>10164</v>
      </c>
      <c r="C6056" s="91">
        <f>H6052</f>
        <v>914.76</v>
      </c>
      <c r="D6056" s="91">
        <f>H6052</f>
        <v>914.76</v>
      </c>
      <c r="E6056" s="506">
        <f>C6056+D6056</f>
        <v>1829.52</v>
      </c>
      <c r="F6056" s="507"/>
      <c r="G6056" s="74"/>
      <c r="H6056" s="75"/>
    </row>
    <row r="6057" spans="1:8" x14ac:dyDescent="0.3">
      <c r="A6057" s="508" t="s">
        <v>1129</v>
      </c>
      <c r="B6057" s="509"/>
      <c r="C6057" s="509"/>
      <c r="D6057" s="509"/>
      <c r="E6057" s="453"/>
      <c r="F6057" s="453"/>
      <c r="G6057" s="453"/>
      <c r="H6057" s="454"/>
    </row>
    <row r="6058" spans="1:8" ht="15.6" x14ac:dyDescent="0.3">
      <c r="A6058" s="455" t="s">
        <v>53</v>
      </c>
      <c r="B6058" s="456"/>
      <c r="C6058" s="456"/>
      <c r="D6058" s="457"/>
      <c r="E6058" s="458" t="s">
        <v>54</v>
      </c>
      <c r="F6058" s="459"/>
      <c r="G6058" s="459"/>
      <c r="H6058" s="460"/>
    </row>
    <row r="6059" spans="1:8" x14ac:dyDescent="0.3">
      <c r="A6059" s="461" t="s">
        <v>55</v>
      </c>
      <c r="B6059" s="462"/>
      <c r="C6059" s="462"/>
      <c r="D6059" s="463"/>
      <c r="E6059" s="39"/>
      <c r="F6059" s="28"/>
      <c r="G6059" s="28"/>
      <c r="H6059" s="32"/>
    </row>
    <row r="6060" spans="1:8" x14ac:dyDescent="0.3">
      <c r="A6060" s="461" t="s">
        <v>56</v>
      </c>
      <c r="B6060" s="462"/>
      <c r="C6060" s="462"/>
      <c r="D6060" s="463"/>
      <c r="E6060" s="39"/>
      <c r="F6060" s="28"/>
      <c r="G6060" s="28"/>
      <c r="H6060" s="32"/>
    </row>
    <row r="6061" spans="1:8" x14ac:dyDescent="0.3">
      <c r="A6061" s="461" t="s">
        <v>57</v>
      </c>
      <c r="B6061" s="462"/>
      <c r="C6061" s="462"/>
      <c r="D6061" s="463"/>
      <c r="E6061" s="39"/>
      <c r="F6061" s="28"/>
      <c r="G6061" s="28"/>
      <c r="H6061" s="32"/>
    </row>
    <row r="6062" spans="1:8" ht="15.6" x14ac:dyDescent="0.3">
      <c r="A6062" s="464" t="s">
        <v>58</v>
      </c>
      <c r="B6062" s="465"/>
      <c r="C6062" s="465"/>
      <c r="D6062" s="465"/>
      <c r="E6062" s="466" t="s">
        <v>59</v>
      </c>
      <c r="F6062" s="467"/>
      <c r="G6062" s="467"/>
      <c r="H6062" s="468"/>
    </row>
    <row r="6066" spans="1:8" ht="44.4" x14ac:dyDescent="0.7">
      <c r="A6066" s="469" t="s">
        <v>0</v>
      </c>
      <c r="B6066" s="470"/>
      <c r="C6066" s="470"/>
      <c r="D6066" s="470"/>
      <c r="E6066" s="531" t="s">
        <v>1</v>
      </c>
      <c r="F6066" s="544"/>
      <c r="G6066" s="544"/>
      <c r="H6066" s="545"/>
    </row>
    <row r="6067" spans="1:8" ht="20.399999999999999" x14ac:dyDescent="0.35">
      <c r="A6067" s="1"/>
      <c r="B6067" s="476" t="s">
        <v>2</v>
      </c>
      <c r="C6067" s="476"/>
      <c r="D6067" s="476"/>
      <c r="E6067" s="546"/>
      <c r="F6067" s="546"/>
      <c r="G6067" s="546"/>
      <c r="H6067" s="547"/>
    </row>
    <row r="6068" spans="1:8" x14ac:dyDescent="0.3">
      <c r="A6068" s="477" t="s">
        <v>3</v>
      </c>
      <c r="B6068" s="478"/>
      <c r="C6068" s="479" t="s">
        <v>4</v>
      </c>
      <c r="D6068" s="479"/>
      <c r="E6068" s="548" t="s">
        <v>5</v>
      </c>
      <c r="F6068" s="549"/>
      <c r="G6068" s="549"/>
      <c r="H6068" s="550"/>
    </row>
    <row r="6069" spans="1:8" ht="15.6" x14ac:dyDescent="0.3">
      <c r="A6069" s="138" t="s">
        <v>6</v>
      </c>
      <c r="B6069" s="5"/>
      <c r="C6069" s="512" t="s">
        <v>7</v>
      </c>
      <c r="D6069" s="513"/>
      <c r="E6069" s="594">
        <v>132</v>
      </c>
      <c r="F6069" s="594"/>
      <c r="G6069" s="179" t="s">
        <v>8</v>
      </c>
      <c r="H6069" s="122">
        <v>45971</v>
      </c>
    </row>
    <row r="6070" spans="1:8" ht="15.6" x14ac:dyDescent="0.3">
      <c r="A6070" s="514" t="s">
        <v>310</v>
      </c>
      <c r="B6070" s="515"/>
      <c r="C6070" s="516" t="s">
        <v>10</v>
      </c>
      <c r="D6070" s="481"/>
      <c r="E6070" s="482"/>
      <c r="F6070" s="482"/>
      <c r="G6070" s="7" t="s">
        <v>8</v>
      </c>
      <c r="H6070" s="9"/>
    </row>
    <row r="6071" spans="1:8" ht="15" x14ac:dyDescent="0.3">
      <c r="A6071" s="517" t="s">
        <v>311</v>
      </c>
      <c r="B6071" s="518"/>
      <c r="C6071" s="484" t="s">
        <v>12</v>
      </c>
      <c r="D6071" s="519"/>
      <c r="E6071" s="520"/>
      <c r="F6071" s="520"/>
      <c r="G6071" s="10" t="s">
        <v>8</v>
      </c>
      <c r="H6071" s="11"/>
    </row>
    <row r="6072" spans="1:8" ht="16.5" customHeight="1" x14ac:dyDescent="0.3">
      <c r="A6072" s="210" t="s">
        <v>14</v>
      </c>
      <c r="B6072" s="211"/>
      <c r="C6072" s="521" t="s">
        <v>15</v>
      </c>
      <c r="D6072" s="522"/>
      <c r="E6072" s="523" t="s">
        <v>312</v>
      </c>
      <c r="F6072" s="524"/>
      <c r="G6072" s="524"/>
      <c r="H6072" s="6"/>
    </row>
    <row r="6073" spans="1:8" ht="15.6" x14ac:dyDescent="0.3">
      <c r="A6073" s="180" t="s">
        <v>13</v>
      </c>
      <c r="B6073" s="181" t="s">
        <v>1130</v>
      </c>
      <c r="C6073" s="182"/>
      <c r="D6073" s="50"/>
      <c r="E6073" s="183"/>
      <c r="F6073" s="183"/>
      <c r="G6073" s="183"/>
      <c r="H6073" s="52"/>
    </row>
    <row r="6074" spans="1:8" ht="15" x14ac:dyDescent="0.3">
      <c r="A6074" s="527" t="s">
        <v>17</v>
      </c>
      <c r="B6074" s="505" t="s">
        <v>18</v>
      </c>
      <c r="C6074" s="505" t="s">
        <v>19</v>
      </c>
      <c r="D6074" s="505" t="s">
        <v>20</v>
      </c>
      <c r="E6074" s="505" t="s">
        <v>21</v>
      </c>
      <c r="F6074" s="505" t="s">
        <v>22</v>
      </c>
      <c r="G6074" s="505"/>
      <c r="H6074" s="527" t="s">
        <v>23</v>
      </c>
    </row>
    <row r="6075" spans="1:8" ht="27.6" x14ac:dyDescent="0.3">
      <c r="A6075" s="492"/>
      <c r="B6075" s="494"/>
      <c r="C6075" s="494"/>
      <c r="D6075" s="494"/>
      <c r="E6075" s="494"/>
      <c r="F6075" s="53" t="s">
        <v>24</v>
      </c>
      <c r="G6075" s="53" t="s">
        <v>25</v>
      </c>
      <c r="H6075" s="492"/>
    </row>
    <row r="6076" spans="1:8" ht="27.6" x14ac:dyDescent="0.3">
      <c r="A6076" s="186">
        <v>1</v>
      </c>
      <c r="B6076" s="60" t="s">
        <v>1145</v>
      </c>
      <c r="C6076" s="188">
        <v>1</v>
      </c>
      <c r="D6076" s="56">
        <v>998719</v>
      </c>
      <c r="E6076" s="57">
        <v>8000</v>
      </c>
      <c r="F6076" s="58">
        <f>E6076*C6076*9%</f>
        <v>720</v>
      </c>
      <c r="G6076" s="58">
        <f>F6076</f>
        <v>720</v>
      </c>
      <c r="H6076" s="59">
        <f>E6076*C6076+F6076+G6076</f>
        <v>9440</v>
      </c>
    </row>
    <row r="6077" spans="1:8" x14ac:dyDescent="0.3">
      <c r="A6077" s="57"/>
      <c r="B6077" s="60"/>
      <c r="C6077" s="57"/>
      <c r="D6077" s="56"/>
      <c r="E6077" s="57"/>
      <c r="F6077" s="58"/>
      <c r="G6077" s="58"/>
      <c r="H6077" s="59"/>
    </row>
    <row r="6078" spans="1:8" x14ac:dyDescent="0.3">
      <c r="A6078" s="173"/>
      <c r="B6078" s="174"/>
      <c r="C6078" s="175"/>
      <c r="D6078" s="152"/>
      <c r="E6078" s="175"/>
      <c r="F6078" s="165"/>
      <c r="G6078" s="165"/>
      <c r="H6078" s="166"/>
    </row>
    <row r="6079" spans="1:8" x14ac:dyDescent="0.3">
      <c r="A6079" s="173"/>
      <c r="B6079" s="174"/>
      <c r="C6079" s="175"/>
      <c r="D6079" s="152"/>
      <c r="E6079" s="175"/>
      <c r="F6079" s="165"/>
      <c r="G6079" s="165"/>
      <c r="H6079" s="166"/>
    </row>
    <row r="6080" spans="1:8" x14ac:dyDescent="0.3">
      <c r="A6080" s="173"/>
      <c r="B6080" s="174"/>
      <c r="C6080" s="175"/>
      <c r="D6080" s="152"/>
      <c r="E6080" s="175"/>
      <c r="F6080" s="165"/>
      <c r="G6080" s="165"/>
      <c r="H6080" s="166"/>
    </row>
    <row r="6081" spans="1:8" x14ac:dyDescent="0.3">
      <c r="A6081" s="173"/>
      <c r="B6081" s="174"/>
      <c r="C6081" s="175"/>
      <c r="D6081" s="152"/>
      <c r="E6081" s="175"/>
      <c r="F6081" s="165"/>
      <c r="G6081" s="165"/>
      <c r="H6081" s="166"/>
    </row>
    <row r="6082" spans="1:8" x14ac:dyDescent="0.3">
      <c r="A6082" s="173"/>
      <c r="B6082" s="174"/>
      <c r="C6082" s="175"/>
      <c r="D6082" s="152"/>
      <c r="E6082" s="175"/>
      <c r="F6082" s="165"/>
      <c r="G6082" s="165"/>
      <c r="H6082" s="166"/>
    </row>
    <row r="6083" spans="1:8" x14ac:dyDescent="0.3">
      <c r="A6083" s="173"/>
      <c r="B6083" s="174"/>
      <c r="C6083" s="175"/>
      <c r="D6083" s="152"/>
      <c r="E6083" s="175"/>
      <c r="F6083" s="165"/>
      <c r="G6083" s="165"/>
      <c r="H6083" s="166"/>
    </row>
    <row r="6084" spans="1:8" x14ac:dyDescent="0.3">
      <c r="A6084" s="173"/>
      <c r="B6084" s="174"/>
      <c r="C6084" s="175"/>
      <c r="D6084" s="152"/>
      <c r="E6084" s="175"/>
      <c r="F6084" s="165"/>
      <c r="G6084" s="165"/>
      <c r="H6084" s="166"/>
    </row>
    <row r="6085" spans="1:8" x14ac:dyDescent="0.3">
      <c r="A6085" s="173"/>
      <c r="B6085" s="174"/>
      <c r="C6085" s="175"/>
      <c r="D6085" s="152"/>
      <c r="E6085" s="175"/>
      <c r="F6085" s="165"/>
      <c r="G6085" s="165"/>
      <c r="H6085" s="166"/>
    </row>
    <row r="6086" spans="1:8" x14ac:dyDescent="0.3">
      <c r="A6086" s="173"/>
      <c r="B6086" s="174"/>
      <c r="C6086" s="175"/>
      <c r="D6086" s="152"/>
      <c r="E6086" s="175"/>
      <c r="F6086" s="165"/>
      <c r="G6086" s="165"/>
      <c r="H6086" s="166"/>
    </row>
    <row r="6087" spans="1:8" x14ac:dyDescent="0.3">
      <c r="A6087" s="173"/>
      <c r="B6087" s="174"/>
      <c r="C6087" s="175"/>
      <c r="D6087" s="152"/>
      <c r="E6087" s="175"/>
      <c r="F6087" s="165"/>
      <c r="G6087" s="165"/>
      <c r="H6087" s="166"/>
    </row>
    <row r="6088" spans="1:8" x14ac:dyDescent="0.3">
      <c r="A6088" s="173"/>
      <c r="B6088" s="174"/>
      <c r="C6088" s="175"/>
      <c r="D6088" s="152"/>
      <c r="E6088" s="175"/>
      <c r="F6088" s="165"/>
      <c r="G6088" s="165"/>
      <c r="H6088" s="166"/>
    </row>
    <row r="6089" spans="1:8" x14ac:dyDescent="0.3">
      <c r="A6089" s="173"/>
      <c r="B6089" s="174"/>
      <c r="C6089" s="175"/>
      <c r="D6089" s="152"/>
      <c r="E6089" s="175"/>
      <c r="F6089" s="165"/>
      <c r="G6089" s="165"/>
      <c r="H6089" s="166"/>
    </row>
    <row r="6090" spans="1:8" x14ac:dyDescent="0.3">
      <c r="A6090" s="173"/>
      <c r="B6090" s="174"/>
      <c r="C6090" s="175"/>
      <c r="D6090" s="152"/>
      <c r="E6090" s="175"/>
      <c r="F6090" s="165"/>
      <c r="G6090" s="165"/>
      <c r="H6090" s="166"/>
    </row>
    <row r="6091" spans="1:8" x14ac:dyDescent="0.3">
      <c r="A6091" s="27"/>
      <c r="B6091" s="174"/>
      <c r="C6091" s="24"/>
      <c r="D6091" s="152"/>
      <c r="E6091" s="175"/>
      <c r="F6091" s="175"/>
      <c r="G6091" s="162"/>
      <c r="H6091" s="154"/>
    </row>
    <row r="6092" spans="1:8" x14ac:dyDescent="0.3">
      <c r="A6092" s="27"/>
      <c r="B6092" s="174"/>
      <c r="C6092" s="24"/>
      <c r="D6092" s="152"/>
      <c r="E6092" s="25"/>
      <c r="F6092" s="175"/>
      <c r="G6092" s="162"/>
      <c r="H6092" s="154"/>
    </row>
    <row r="6093" spans="1:8" x14ac:dyDescent="0.3">
      <c r="A6093" s="27"/>
      <c r="B6093" s="28"/>
      <c r="C6093" s="24"/>
      <c r="D6093" s="152"/>
      <c r="E6093" s="25"/>
      <c r="F6093" s="175"/>
      <c r="G6093" s="162"/>
      <c r="H6093" s="154"/>
    </row>
    <row r="6094" spans="1:8" x14ac:dyDescent="0.3">
      <c r="A6094" s="27"/>
      <c r="B6094" s="28"/>
      <c r="C6094" s="24"/>
      <c r="D6094" s="25"/>
      <c r="E6094" s="25"/>
      <c r="F6094" s="25"/>
      <c r="G6094" s="28"/>
      <c r="H6094" s="32"/>
    </row>
    <row r="6095" spans="1:8" ht="15.6" x14ac:dyDescent="0.3">
      <c r="A6095" s="448" t="s">
        <v>45</v>
      </c>
      <c r="B6095" s="449"/>
      <c r="C6095" s="24"/>
      <c r="D6095" s="25"/>
      <c r="E6095" s="25"/>
      <c r="F6095" s="447" t="s">
        <v>46</v>
      </c>
      <c r="G6095" s="447"/>
      <c r="H6095" s="66">
        <v>8000</v>
      </c>
    </row>
    <row r="6096" spans="1:8" ht="15.6" x14ac:dyDescent="0.3">
      <c r="A6096" s="497" t="s">
        <v>1131</v>
      </c>
      <c r="B6096" s="498"/>
      <c r="C6096" s="498"/>
      <c r="D6096" s="498"/>
      <c r="E6096" s="498"/>
      <c r="F6096" s="447" t="s">
        <v>47</v>
      </c>
      <c r="G6096" s="447"/>
      <c r="H6096" s="66">
        <f>H6095*9%</f>
        <v>720</v>
      </c>
    </row>
    <row r="6097" spans="1:8" ht="15.6" x14ac:dyDescent="0.3">
      <c r="A6097" s="27"/>
      <c r="B6097" s="28"/>
      <c r="C6097" s="24"/>
      <c r="D6097" s="25"/>
      <c r="E6097" s="25"/>
      <c r="F6097" s="447" t="s">
        <v>48</v>
      </c>
      <c r="G6097" s="447"/>
      <c r="H6097" s="66">
        <f>H6096</f>
        <v>720</v>
      </c>
    </row>
    <row r="6098" spans="1:8" ht="15.6" x14ac:dyDescent="0.3">
      <c r="A6098" s="448" t="s">
        <v>49</v>
      </c>
      <c r="B6098" s="449"/>
      <c r="C6098" s="24"/>
      <c r="D6098" s="25"/>
      <c r="E6098" s="25"/>
      <c r="F6098" s="447" t="s">
        <v>50</v>
      </c>
      <c r="G6098" s="447"/>
      <c r="H6098" s="66">
        <f>H6095+H6096+H6097</f>
        <v>9440</v>
      </c>
    </row>
    <row r="6099" spans="1:8" ht="15.6" x14ac:dyDescent="0.3">
      <c r="A6099" s="90"/>
      <c r="B6099" s="177"/>
      <c r="C6099" s="24"/>
      <c r="D6099" s="25"/>
      <c r="E6099" s="25"/>
      <c r="F6099" s="26"/>
      <c r="G6099" s="26"/>
      <c r="H6099" s="66"/>
    </row>
    <row r="6100" spans="1:8" ht="27" x14ac:dyDescent="0.3">
      <c r="A6100" s="29" t="s">
        <v>22</v>
      </c>
      <c r="B6100" s="30" t="s">
        <v>51</v>
      </c>
      <c r="C6100" s="31" t="s">
        <v>24</v>
      </c>
      <c r="D6100" s="31" t="s">
        <v>25</v>
      </c>
      <c r="E6100" s="528" t="s">
        <v>52</v>
      </c>
      <c r="F6100" s="528"/>
      <c r="G6100" s="28"/>
      <c r="H6100" s="32"/>
    </row>
    <row r="6101" spans="1:8" x14ac:dyDescent="0.3">
      <c r="A6101" s="33">
        <v>0.18</v>
      </c>
      <c r="B6101" s="34">
        <f>H6095</f>
        <v>8000</v>
      </c>
      <c r="C6101" s="35">
        <f>H6096</f>
        <v>720</v>
      </c>
      <c r="D6101" s="35">
        <f>H6097</f>
        <v>720</v>
      </c>
      <c r="E6101" s="529">
        <f>C6101+D6101</f>
        <v>1440</v>
      </c>
      <c r="F6101" s="530"/>
      <c r="G6101" s="28"/>
      <c r="H6101" s="32"/>
    </row>
    <row r="6102" spans="1:8" x14ac:dyDescent="0.3">
      <c r="A6102" s="452" t="s">
        <v>1132</v>
      </c>
      <c r="B6102" s="453"/>
      <c r="C6102" s="453"/>
      <c r="D6102" s="453"/>
      <c r="E6102" s="453"/>
      <c r="F6102" s="453"/>
      <c r="G6102" s="453"/>
      <c r="H6102" s="454"/>
    </row>
    <row r="6103" spans="1:8" ht="15.6" x14ac:dyDescent="0.3">
      <c r="A6103" s="455" t="s">
        <v>53</v>
      </c>
      <c r="B6103" s="456"/>
      <c r="C6103" s="456"/>
      <c r="D6103" s="457"/>
      <c r="E6103" s="458" t="s">
        <v>54</v>
      </c>
      <c r="F6103" s="459"/>
      <c r="G6103" s="459"/>
      <c r="H6103" s="460"/>
    </row>
    <row r="6104" spans="1:8" x14ac:dyDescent="0.3">
      <c r="A6104" s="461" t="s">
        <v>55</v>
      </c>
      <c r="B6104" s="462"/>
      <c r="C6104" s="462"/>
      <c r="D6104" s="463"/>
      <c r="E6104" s="39"/>
      <c r="F6104" s="25"/>
      <c r="G6104" s="28"/>
      <c r="H6104" s="32"/>
    </row>
    <row r="6105" spans="1:8" x14ac:dyDescent="0.3">
      <c r="A6105" s="461" t="s">
        <v>56</v>
      </c>
      <c r="B6105" s="462"/>
      <c r="C6105" s="462"/>
      <c r="D6105" s="463"/>
      <c r="E6105" s="39"/>
      <c r="F6105" s="25"/>
      <c r="G6105" s="28"/>
      <c r="H6105" s="32"/>
    </row>
    <row r="6106" spans="1:8" x14ac:dyDescent="0.3">
      <c r="A6106" s="461" t="s">
        <v>57</v>
      </c>
      <c r="B6106" s="462"/>
      <c r="C6106" s="462"/>
      <c r="D6106" s="463"/>
      <c r="E6106" s="25"/>
      <c r="F6106" s="25"/>
      <c r="G6106" s="28"/>
      <c r="H6106" s="32"/>
    </row>
    <row r="6107" spans="1:8" ht="15.6" x14ac:dyDescent="0.3">
      <c r="A6107" s="464" t="s">
        <v>58</v>
      </c>
      <c r="B6107" s="465"/>
      <c r="C6107" s="465"/>
      <c r="D6107" s="510"/>
      <c r="E6107" s="466" t="s">
        <v>59</v>
      </c>
      <c r="F6107" s="467"/>
      <c r="G6107" s="467"/>
      <c r="H6107" s="468"/>
    </row>
    <row r="6112" spans="1:8" ht="44.4" x14ac:dyDescent="0.7">
      <c r="A6112" s="469" t="s">
        <v>0</v>
      </c>
      <c r="B6112" s="470"/>
      <c r="C6112" s="470"/>
      <c r="D6112" s="470"/>
      <c r="E6112" s="531" t="s">
        <v>1</v>
      </c>
      <c r="F6112" s="544"/>
      <c r="G6112" s="544"/>
      <c r="H6112" s="545"/>
    </row>
    <row r="6113" spans="1:9" ht="20.399999999999999" x14ac:dyDescent="0.35">
      <c r="A6113" s="1"/>
      <c r="B6113" s="476" t="s">
        <v>2</v>
      </c>
      <c r="C6113" s="476"/>
      <c r="D6113" s="476"/>
      <c r="E6113" s="546"/>
      <c r="F6113" s="546"/>
      <c r="G6113" s="546"/>
      <c r="H6113" s="547"/>
    </row>
    <row r="6114" spans="1:9" x14ac:dyDescent="0.3">
      <c r="A6114" s="477" t="s">
        <v>3</v>
      </c>
      <c r="B6114" s="478"/>
      <c r="C6114" s="479" t="s">
        <v>4</v>
      </c>
      <c r="D6114" s="479"/>
      <c r="E6114" s="548" t="s">
        <v>5</v>
      </c>
      <c r="F6114" s="549"/>
      <c r="G6114" s="549"/>
      <c r="H6114" s="550"/>
    </row>
    <row r="6115" spans="1:9" ht="15.6" x14ac:dyDescent="0.3">
      <c r="A6115" s="138" t="s">
        <v>6</v>
      </c>
      <c r="B6115" s="5"/>
      <c r="C6115" s="512" t="s">
        <v>7</v>
      </c>
      <c r="D6115" s="513"/>
      <c r="E6115" s="594">
        <v>133</v>
      </c>
      <c r="F6115" s="594"/>
      <c r="G6115" s="179" t="s">
        <v>8</v>
      </c>
      <c r="H6115" s="122" t="s">
        <v>1133</v>
      </c>
    </row>
    <row r="6116" spans="1:9" ht="15.6" x14ac:dyDescent="0.3">
      <c r="A6116" s="514" t="s">
        <v>1134</v>
      </c>
      <c r="B6116" s="515"/>
      <c r="C6116" s="516" t="s">
        <v>10</v>
      </c>
      <c r="D6116" s="481"/>
      <c r="E6116" s="482"/>
      <c r="F6116" s="482"/>
      <c r="G6116" s="7" t="s">
        <v>8</v>
      </c>
      <c r="H6116" s="9"/>
    </row>
    <row r="6117" spans="1:9" ht="15" x14ac:dyDescent="0.3">
      <c r="A6117" s="517" t="s">
        <v>1135</v>
      </c>
      <c r="B6117" s="518"/>
      <c r="C6117" s="484" t="s">
        <v>12</v>
      </c>
      <c r="D6117" s="519"/>
      <c r="E6117" s="520"/>
      <c r="F6117" s="520"/>
      <c r="G6117" s="10" t="s">
        <v>8</v>
      </c>
      <c r="H6117" s="11"/>
    </row>
    <row r="6118" spans="1:9" ht="15.6" x14ac:dyDescent="0.3">
      <c r="A6118" s="517" t="s">
        <v>1136</v>
      </c>
      <c r="B6118" s="518"/>
      <c r="C6118" s="521" t="s">
        <v>15</v>
      </c>
      <c r="D6118" s="522"/>
      <c r="E6118" s="523" t="s">
        <v>1138</v>
      </c>
      <c r="F6118" s="524"/>
      <c r="G6118" s="524"/>
      <c r="H6118" s="6"/>
    </row>
    <row r="6119" spans="1:9" ht="15.6" x14ac:dyDescent="0.3">
      <c r="A6119" s="180" t="s">
        <v>13</v>
      </c>
      <c r="B6119" s="181" t="s">
        <v>1137</v>
      </c>
      <c r="C6119" s="182"/>
      <c r="D6119" s="50"/>
      <c r="E6119" s="183"/>
      <c r="F6119" s="183"/>
      <c r="G6119" s="183"/>
      <c r="H6119" s="52"/>
    </row>
    <row r="6120" spans="1:9" ht="15" x14ac:dyDescent="0.3">
      <c r="A6120" s="527" t="s">
        <v>17</v>
      </c>
      <c r="B6120" s="505" t="s">
        <v>18</v>
      </c>
      <c r="C6120" s="505" t="s">
        <v>19</v>
      </c>
      <c r="D6120" s="505" t="s">
        <v>20</v>
      </c>
      <c r="E6120" s="505" t="s">
        <v>21</v>
      </c>
      <c r="F6120" s="505" t="s">
        <v>22</v>
      </c>
      <c r="G6120" s="505"/>
      <c r="H6120" s="527" t="s">
        <v>23</v>
      </c>
    </row>
    <row r="6121" spans="1:9" ht="27.6" x14ac:dyDescent="0.3">
      <c r="A6121" s="492"/>
      <c r="B6121" s="494"/>
      <c r="C6121" s="494"/>
      <c r="D6121" s="494"/>
      <c r="E6121" s="494"/>
      <c r="F6121" s="53" t="s">
        <v>24</v>
      </c>
      <c r="G6121" s="53" t="s">
        <v>25</v>
      </c>
      <c r="H6121" s="492"/>
    </row>
    <row r="6122" spans="1:9" ht="45" customHeight="1" x14ac:dyDescent="0.3">
      <c r="A6122" s="184">
        <v>1</v>
      </c>
      <c r="B6122" s="358" t="s">
        <v>1139</v>
      </c>
      <c r="C6122" s="57">
        <v>2</v>
      </c>
      <c r="D6122" s="56">
        <v>998719</v>
      </c>
      <c r="E6122" s="185">
        <v>32500</v>
      </c>
      <c r="F6122" s="58">
        <f>E6122*C6122*9%</f>
        <v>5850</v>
      </c>
      <c r="G6122" s="58">
        <f>F6122</f>
        <v>5850</v>
      </c>
      <c r="H6122" s="59">
        <f>E6122*C6122+F6122+G6122</f>
        <v>76700</v>
      </c>
      <c r="I6122" s="362">
        <f>E6122*C6122</f>
        <v>65000</v>
      </c>
    </row>
    <row r="6123" spans="1:9" ht="27.6" x14ac:dyDescent="0.3">
      <c r="A6123" s="186">
        <v>2</v>
      </c>
      <c r="B6123" s="358" t="s">
        <v>1140</v>
      </c>
      <c r="C6123" s="188">
        <v>2</v>
      </c>
      <c r="D6123" s="56">
        <v>854690</v>
      </c>
      <c r="E6123" s="57">
        <v>2730</v>
      </c>
      <c r="F6123" s="58">
        <f>E6123*C6123*9%</f>
        <v>491.4</v>
      </c>
      <c r="G6123" s="58">
        <f>F6123</f>
        <v>491.4</v>
      </c>
      <c r="H6123" s="59">
        <f>E6123*C6123+F6123+G6123</f>
        <v>6442.7999999999993</v>
      </c>
      <c r="I6123" s="362">
        <f t="shared" ref="I6123:I6125" si="145">E6123*C6123</f>
        <v>5460</v>
      </c>
    </row>
    <row r="6124" spans="1:9" x14ac:dyDescent="0.3">
      <c r="A6124" s="57">
        <v>3</v>
      </c>
      <c r="B6124" s="60" t="s">
        <v>1141</v>
      </c>
      <c r="C6124" s="57">
        <v>2</v>
      </c>
      <c r="D6124" s="56">
        <v>998719</v>
      </c>
      <c r="E6124" s="57">
        <v>1000</v>
      </c>
      <c r="F6124" s="58">
        <f t="shared" ref="F6124:F6125" si="146">E6124*C6124*9%</f>
        <v>180</v>
      </c>
      <c r="G6124" s="58">
        <f t="shared" ref="G6124:G6125" si="147">F6124</f>
        <v>180</v>
      </c>
      <c r="H6124" s="59">
        <f t="shared" ref="H6124:H6125" si="148">E6124*C6124+F6124+G6124</f>
        <v>2360</v>
      </c>
      <c r="I6124" s="362">
        <f t="shared" si="145"/>
        <v>2000</v>
      </c>
    </row>
    <row r="6125" spans="1:9" x14ac:dyDescent="0.3">
      <c r="A6125" s="57">
        <v>4</v>
      </c>
      <c r="B6125" s="60" t="s">
        <v>1142</v>
      </c>
      <c r="C6125" s="57">
        <v>2</v>
      </c>
      <c r="D6125" s="56">
        <v>864690</v>
      </c>
      <c r="E6125" s="57">
        <v>2300</v>
      </c>
      <c r="F6125" s="58">
        <f t="shared" si="146"/>
        <v>414</v>
      </c>
      <c r="G6125" s="58">
        <f t="shared" si="147"/>
        <v>414</v>
      </c>
      <c r="H6125" s="59">
        <f t="shared" si="148"/>
        <v>5428</v>
      </c>
      <c r="I6125" s="362">
        <f t="shared" si="145"/>
        <v>4600</v>
      </c>
    </row>
    <row r="6126" spans="1:9" x14ac:dyDescent="0.3">
      <c r="A6126" s="173"/>
      <c r="B6126" s="174"/>
      <c r="C6126" s="175"/>
      <c r="D6126" s="152"/>
      <c r="E6126" s="175"/>
      <c r="F6126" s="165"/>
      <c r="G6126" s="165"/>
      <c r="H6126" s="166"/>
    </row>
    <row r="6127" spans="1:9" x14ac:dyDescent="0.3">
      <c r="A6127" s="173"/>
      <c r="B6127" s="174"/>
      <c r="C6127" s="175"/>
      <c r="D6127" s="152"/>
      <c r="E6127" s="175"/>
      <c r="F6127" s="165"/>
      <c r="G6127" s="165"/>
      <c r="H6127" s="166"/>
    </row>
    <row r="6128" spans="1:9" x14ac:dyDescent="0.3">
      <c r="A6128" s="173"/>
      <c r="B6128" s="174"/>
      <c r="C6128" s="175"/>
      <c r="D6128" s="152"/>
      <c r="E6128" s="175"/>
      <c r="F6128" s="165"/>
      <c r="G6128" s="165"/>
      <c r="H6128" s="166"/>
    </row>
    <row r="6129" spans="1:8" x14ac:dyDescent="0.3">
      <c r="A6129" s="173"/>
      <c r="B6129" s="174"/>
      <c r="C6129" s="175"/>
      <c r="D6129" s="152"/>
      <c r="E6129" s="175"/>
      <c r="F6129" s="165"/>
      <c r="G6129" s="165"/>
      <c r="H6129" s="166"/>
    </row>
    <row r="6130" spans="1:8" x14ac:dyDescent="0.3">
      <c r="A6130" s="173"/>
      <c r="B6130" s="174"/>
      <c r="C6130" s="175"/>
      <c r="D6130" s="152"/>
      <c r="E6130" s="175"/>
      <c r="F6130" s="165"/>
      <c r="G6130" s="165"/>
      <c r="H6130" s="166"/>
    </row>
    <row r="6131" spans="1:8" x14ac:dyDescent="0.3">
      <c r="A6131" s="173"/>
      <c r="B6131" s="174"/>
      <c r="C6131" s="175"/>
      <c r="D6131" s="152"/>
      <c r="E6131" s="175"/>
      <c r="F6131" s="165"/>
      <c r="G6131" s="165"/>
      <c r="H6131" s="166"/>
    </row>
    <row r="6132" spans="1:8" x14ac:dyDescent="0.3">
      <c r="A6132" s="173"/>
      <c r="B6132" s="174"/>
      <c r="C6132" s="175"/>
      <c r="D6132" s="152"/>
      <c r="E6132" s="175"/>
      <c r="F6132" s="165"/>
      <c r="G6132" s="165"/>
      <c r="H6132" s="166"/>
    </row>
    <row r="6133" spans="1:8" x14ac:dyDescent="0.3">
      <c r="A6133" s="173"/>
      <c r="B6133" s="174"/>
      <c r="C6133" s="175"/>
      <c r="D6133" s="152"/>
      <c r="E6133" s="175"/>
      <c r="F6133" s="165"/>
      <c r="G6133" s="165"/>
      <c r="H6133" s="166"/>
    </row>
    <row r="6134" spans="1:8" x14ac:dyDescent="0.3">
      <c r="A6134" s="173"/>
      <c r="B6134" s="174"/>
      <c r="C6134" s="175"/>
      <c r="D6134" s="152"/>
      <c r="E6134" s="175"/>
      <c r="F6134" s="165"/>
      <c r="G6134" s="165"/>
      <c r="H6134" s="166"/>
    </row>
    <row r="6135" spans="1:8" x14ac:dyDescent="0.3">
      <c r="A6135" s="173"/>
      <c r="B6135" s="174"/>
      <c r="C6135" s="175"/>
      <c r="D6135" s="152"/>
      <c r="E6135" s="175"/>
      <c r="F6135" s="165"/>
      <c r="G6135" s="165"/>
      <c r="H6135" s="166"/>
    </row>
    <row r="6136" spans="1:8" x14ac:dyDescent="0.3">
      <c r="A6136" s="173"/>
      <c r="B6136" s="174"/>
      <c r="C6136" s="175"/>
      <c r="D6136" s="152"/>
      <c r="E6136" s="175"/>
      <c r="F6136" s="165"/>
      <c r="G6136" s="165"/>
      <c r="H6136" s="166"/>
    </row>
    <row r="6137" spans="1:8" x14ac:dyDescent="0.3">
      <c r="A6137" s="173"/>
      <c r="B6137" s="174"/>
      <c r="C6137" s="175"/>
      <c r="D6137" s="152"/>
      <c r="E6137" s="175"/>
      <c r="F6137" s="165"/>
      <c r="G6137" s="165"/>
      <c r="H6137" s="166"/>
    </row>
    <row r="6138" spans="1:8" x14ac:dyDescent="0.3">
      <c r="A6138" s="27"/>
      <c r="B6138" s="174"/>
      <c r="C6138" s="24"/>
      <c r="D6138" s="152"/>
      <c r="E6138" s="175"/>
      <c r="F6138" s="175"/>
      <c r="G6138" s="162"/>
      <c r="H6138" s="154"/>
    </row>
    <row r="6139" spans="1:8" x14ac:dyDescent="0.3">
      <c r="A6139" s="27"/>
      <c r="B6139" s="174"/>
      <c r="C6139" s="24"/>
      <c r="D6139" s="152"/>
      <c r="E6139" s="25"/>
      <c r="F6139" s="175"/>
      <c r="G6139" s="162"/>
      <c r="H6139" s="154"/>
    </row>
    <row r="6140" spans="1:8" x14ac:dyDescent="0.3">
      <c r="A6140" s="27"/>
      <c r="B6140" s="28"/>
      <c r="C6140" s="24"/>
      <c r="D6140" s="152"/>
      <c r="E6140" s="25"/>
      <c r="F6140" s="175"/>
      <c r="G6140" s="162"/>
      <c r="H6140" s="154"/>
    </row>
    <row r="6141" spans="1:8" x14ac:dyDescent="0.3">
      <c r="A6141" s="27"/>
      <c r="B6141" s="28"/>
      <c r="C6141" s="24"/>
      <c r="D6141" s="25"/>
      <c r="E6141" s="25"/>
      <c r="F6141" s="25"/>
      <c r="G6141" s="28"/>
      <c r="H6141" s="32"/>
    </row>
    <row r="6142" spans="1:8" ht="15.6" x14ac:dyDescent="0.3">
      <c r="A6142" s="448" t="s">
        <v>45</v>
      </c>
      <c r="B6142" s="449"/>
      <c r="C6142" s="24"/>
      <c r="D6142" s="25"/>
      <c r="E6142" s="25"/>
      <c r="F6142" s="447" t="s">
        <v>46</v>
      </c>
      <c r="G6142" s="447"/>
      <c r="H6142" s="66">
        <v>77060</v>
      </c>
    </row>
    <row r="6143" spans="1:8" ht="15.6" x14ac:dyDescent="0.3">
      <c r="A6143" s="497" t="s">
        <v>1143</v>
      </c>
      <c r="B6143" s="498"/>
      <c r="C6143" s="498"/>
      <c r="D6143" s="498"/>
      <c r="E6143" s="498"/>
      <c r="F6143" s="447" t="s">
        <v>47</v>
      </c>
      <c r="G6143" s="447"/>
      <c r="H6143" s="66">
        <f>H6142*9%</f>
        <v>6935.4</v>
      </c>
    </row>
    <row r="6144" spans="1:8" ht="15.6" x14ac:dyDescent="0.3">
      <c r="A6144" s="27"/>
      <c r="B6144" s="28"/>
      <c r="C6144" s="24"/>
      <c r="D6144" s="25"/>
      <c r="E6144" s="25"/>
      <c r="F6144" s="447" t="s">
        <v>48</v>
      </c>
      <c r="G6144" s="447"/>
      <c r="H6144" s="66">
        <f>H6143</f>
        <v>6935.4</v>
      </c>
    </row>
    <row r="6145" spans="1:8" ht="15.6" x14ac:dyDescent="0.3">
      <c r="A6145" s="448" t="s">
        <v>49</v>
      </c>
      <c r="B6145" s="449"/>
      <c r="C6145" s="24"/>
      <c r="D6145" s="25"/>
      <c r="E6145" s="25"/>
      <c r="F6145" s="447" t="s">
        <v>50</v>
      </c>
      <c r="G6145" s="447"/>
      <c r="H6145" s="66">
        <v>90931</v>
      </c>
    </row>
    <row r="6146" spans="1:8" ht="15.6" x14ac:dyDescent="0.3">
      <c r="A6146" s="90"/>
      <c r="B6146" s="177"/>
      <c r="C6146" s="24"/>
      <c r="D6146" s="25"/>
      <c r="E6146" s="25"/>
      <c r="F6146" s="26"/>
      <c r="G6146" s="26"/>
      <c r="H6146" s="66"/>
    </row>
    <row r="6147" spans="1:8" ht="27" x14ac:dyDescent="0.3">
      <c r="A6147" s="29" t="s">
        <v>22</v>
      </c>
      <c r="B6147" s="30" t="s">
        <v>51</v>
      </c>
      <c r="C6147" s="31" t="s">
        <v>24</v>
      </c>
      <c r="D6147" s="31" t="s">
        <v>25</v>
      </c>
      <c r="E6147" s="528" t="s">
        <v>52</v>
      </c>
      <c r="F6147" s="528"/>
      <c r="G6147" s="28"/>
      <c r="H6147" s="32"/>
    </row>
    <row r="6148" spans="1:8" x14ac:dyDescent="0.3">
      <c r="A6148" s="33">
        <v>0.18</v>
      </c>
      <c r="B6148" s="34">
        <f>H6142</f>
        <v>77060</v>
      </c>
      <c r="C6148" s="35">
        <f>H6143</f>
        <v>6935.4</v>
      </c>
      <c r="D6148" s="35">
        <f>H6144</f>
        <v>6935.4</v>
      </c>
      <c r="E6148" s="529">
        <f>C6148+D6148</f>
        <v>13870.8</v>
      </c>
      <c r="F6148" s="530"/>
      <c r="G6148" s="28"/>
      <c r="H6148" s="32"/>
    </row>
    <row r="6149" spans="1:8" x14ac:dyDescent="0.3">
      <c r="A6149" s="452" t="s">
        <v>1144</v>
      </c>
      <c r="B6149" s="453"/>
      <c r="C6149" s="453"/>
      <c r="D6149" s="453"/>
      <c r="E6149" s="453"/>
      <c r="F6149" s="453"/>
      <c r="G6149" s="453"/>
      <c r="H6149" s="454"/>
    </row>
    <row r="6150" spans="1:8" ht="15.6" x14ac:dyDescent="0.3">
      <c r="A6150" s="455" t="s">
        <v>53</v>
      </c>
      <c r="B6150" s="456"/>
      <c r="C6150" s="456"/>
      <c r="D6150" s="457"/>
      <c r="E6150" s="458" t="s">
        <v>54</v>
      </c>
      <c r="F6150" s="459"/>
      <c r="G6150" s="459"/>
      <c r="H6150" s="460"/>
    </row>
    <row r="6151" spans="1:8" x14ac:dyDescent="0.3">
      <c r="A6151" s="461" t="s">
        <v>55</v>
      </c>
      <c r="B6151" s="462"/>
      <c r="C6151" s="462"/>
      <c r="D6151" s="463"/>
      <c r="E6151" s="39"/>
      <c r="F6151" s="25"/>
      <c r="G6151" s="28"/>
      <c r="H6151" s="32"/>
    </row>
    <row r="6152" spans="1:8" x14ac:dyDescent="0.3">
      <c r="A6152" s="461" t="s">
        <v>56</v>
      </c>
      <c r="B6152" s="462"/>
      <c r="C6152" s="462"/>
      <c r="D6152" s="463"/>
      <c r="E6152" s="39"/>
      <c r="F6152" s="25"/>
      <c r="G6152" s="28"/>
      <c r="H6152" s="32"/>
    </row>
    <row r="6153" spans="1:8" x14ac:dyDescent="0.3">
      <c r="A6153" s="461" t="s">
        <v>57</v>
      </c>
      <c r="B6153" s="462"/>
      <c r="C6153" s="462"/>
      <c r="D6153" s="463"/>
      <c r="E6153" s="25"/>
      <c r="F6153" s="25"/>
      <c r="G6153" s="28"/>
      <c r="H6153" s="32"/>
    </row>
    <row r="6154" spans="1:8" ht="15.6" x14ac:dyDescent="0.3">
      <c r="A6154" s="464" t="s">
        <v>58</v>
      </c>
      <c r="B6154" s="465"/>
      <c r="C6154" s="465"/>
      <c r="D6154" s="510"/>
      <c r="E6154" s="466" t="s">
        <v>59</v>
      </c>
      <c r="F6154" s="467"/>
      <c r="G6154" s="467"/>
      <c r="H6154" s="468"/>
    </row>
    <row r="6157" spans="1:8" ht="44.4" x14ac:dyDescent="0.7">
      <c r="A6157" s="469" t="s">
        <v>0</v>
      </c>
      <c r="B6157" s="470"/>
      <c r="C6157" s="470"/>
      <c r="D6157" s="470"/>
      <c r="E6157" s="531" t="s">
        <v>1</v>
      </c>
      <c r="F6157" s="544"/>
      <c r="G6157" s="544"/>
      <c r="H6157" s="545"/>
    </row>
    <row r="6158" spans="1:8" ht="20.399999999999999" x14ac:dyDescent="0.35">
      <c r="A6158" s="1"/>
      <c r="B6158" s="476" t="s">
        <v>2</v>
      </c>
      <c r="C6158" s="476"/>
      <c r="D6158" s="476"/>
      <c r="E6158" s="546"/>
      <c r="F6158" s="546"/>
      <c r="G6158" s="546"/>
      <c r="H6158" s="547"/>
    </row>
    <row r="6159" spans="1:8" x14ac:dyDescent="0.3">
      <c r="A6159" s="477" t="s">
        <v>1150</v>
      </c>
      <c r="B6159" s="478"/>
      <c r="C6159" s="479" t="s">
        <v>4</v>
      </c>
      <c r="D6159" s="479"/>
      <c r="E6159" s="548" t="s">
        <v>5</v>
      </c>
      <c r="F6159" s="549"/>
      <c r="G6159" s="549"/>
      <c r="H6159" s="550"/>
    </row>
    <row r="6160" spans="1:8" ht="15.6" x14ac:dyDescent="0.3">
      <c r="A6160" s="138" t="s">
        <v>6</v>
      </c>
      <c r="B6160" s="5"/>
      <c r="C6160" s="512" t="s">
        <v>7</v>
      </c>
      <c r="D6160" s="513"/>
      <c r="E6160" s="594">
        <v>134</v>
      </c>
      <c r="F6160" s="594"/>
      <c r="G6160" s="179" t="s">
        <v>8</v>
      </c>
      <c r="H6160" s="8">
        <v>45727</v>
      </c>
    </row>
    <row r="6161" spans="1:8" ht="15.6" x14ac:dyDescent="0.3">
      <c r="A6161" s="514" t="s">
        <v>1169</v>
      </c>
      <c r="B6161" s="515"/>
      <c r="C6161" s="516" t="s">
        <v>10</v>
      </c>
      <c r="D6161" s="481"/>
      <c r="E6161" s="482"/>
      <c r="F6161" s="482"/>
      <c r="G6161" s="7" t="s">
        <v>8</v>
      </c>
      <c r="H6161" s="9"/>
    </row>
    <row r="6162" spans="1:8" ht="15" x14ac:dyDescent="0.3">
      <c r="A6162" s="517" t="s">
        <v>1170</v>
      </c>
      <c r="B6162" s="518"/>
      <c r="C6162" s="484" t="s">
        <v>12</v>
      </c>
      <c r="D6162" s="519"/>
      <c r="E6162" s="520"/>
      <c r="F6162" s="520"/>
      <c r="G6162" s="10" t="s">
        <v>8</v>
      </c>
      <c r="H6162" s="11"/>
    </row>
    <row r="6163" spans="1:8" ht="18" customHeight="1" x14ac:dyDescent="0.3">
      <c r="A6163" s="595" t="s">
        <v>1171</v>
      </c>
      <c r="B6163" s="553"/>
      <c r="C6163" s="521" t="s">
        <v>15</v>
      </c>
      <c r="D6163" s="522"/>
      <c r="E6163" s="523" t="s">
        <v>1172</v>
      </c>
      <c r="F6163" s="524"/>
      <c r="G6163" s="524"/>
      <c r="H6163" s="6"/>
    </row>
    <row r="6164" spans="1:8" ht="15.6" x14ac:dyDescent="0.3">
      <c r="A6164" s="180" t="s">
        <v>13</v>
      </c>
      <c r="B6164" s="181" t="s">
        <v>14</v>
      </c>
      <c r="C6164" s="182"/>
      <c r="D6164" s="50"/>
      <c r="E6164" s="183"/>
      <c r="F6164" s="183"/>
      <c r="G6164" s="183"/>
      <c r="H6164" s="52"/>
    </row>
    <row r="6165" spans="1:8" ht="15" x14ac:dyDescent="0.3">
      <c r="A6165" s="527" t="s">
        <v>17</v>
      </c>
      <c r="B6165" s="505" t="s">
        <v>18</v>
      </c>
      <c r="C6165" s="505" t="s">
        <v>19</v>
      </c>
      <c r="D6165" s="505" t="s">
        <v>20</v>
      </c>
      <c r="E6165" s="505" t="s">
        <v>21</v>
      </c>
      <c r="F6165" s="505" t="s">
        <v>22</v>
      </c>
      <c r="G6165" s="505"/>
      <c r="H6165" s="527" t="s">
        <v>23</v>
      </c>
    </row>
    <row r="6166" spans="1:8" ht="27.6" x14ac:dyDescent="0.3">
      <c r="A6166" s="492"/>
      <c r="B6166" s="494"/>
      <c r="C6166" s="494"/>
      <c r="D6166" s="494"/>
      <c r="E6166" s="494"/>
      <c r="F6166" s="53" t="s">
        <v>24</v>
      </c>
      <c r="G6166" s="53" t="s">
        <v>25</v>
      </c>
      <c r="H6166" s="492"/>
    </row>
    <row r="6167" spans="1:8" x14ac:dyDescent="0.3">
      <c r="A6167" s="186">
        <v>1</v>
      </c>
      <c r="B6167" s="60" t="s">
        <v>1173</v>
      </c>
      <c r="C6167" s="188">
        <v>2</v>
      </c>
      <c r="D6167" s="56">
        <v>998719</v>
      </c>
      <c r="E6167" s="57">
        <v>2500</v>
      </c>
      <c r="F6167" s="58">
        <f>E6167*C6167*9%</f>
        <v>450</v>
      </c>
      <c r="G6167" s="58">
        <f>F6167</f>
        <v>450</v>
      </c>
      <c r="H6167" s="59">
        <f>E6167*C6167+F6167+G6167</f>
        <v>5900</v>
      </c>
    </row>
    <row r="6168" spans="1:8" x14ac:dyDescent="0.3">
      <c r="A6168" s="57"/>
      <c r="B6168" s="60"/>
      <c r="C6168" s="57"/>
      <c r="D6168" s="56"/>
      <c r="E6168" s="57"/>
      <c r="F6168" s="58"/>
      <c r="G6168" s="58"/>
      <c r="H6168" s="59"/>
    </row>
    <row r="6169" spans="1:8" x14ac:dyDescent="0.3">
      <c r="A6169" s="173"/>
      <c r="B6169" s="174"/>
      <c r="C6169" s="175"/>
      <c r="D6169" s="152"/>
      <c r="E6169" s="175"/>
      <c r="F6169" s="165"/>
      <c r="G6169" s="165"/>
      <c r="H6169" s="166"/>
    </row>
    <row r="6170" spans="1:8" x14ac:dyDescent="0.3">
      <c r="A6170" s="173"/>
      <c r="B6170" s="174"/>
      <c r="C6170" s="175"/>
      <c r="D6170" s="152"/>
      <c r="E6170" s="175"/>
      <c r="F6170" s="165"/>
      <c r="G6170" s="165"/>
      <c r="H6170" s="166"/>
    </row>
    <row r="6171" spans="1:8" x14ac:dyDescent="0.3">
      <c r="A6171" s="173"/>
      <c r="B6171" s="174"/>
      <c r="C6171" s="175"/>
      <c r="D6171" s="152"/>
      <c r="E6171" s="175"/>
      <c r="F6171" s="165"/>
      <c r="G6171" s="165"/>
      <c r="H6171" s="166"/>
    </row>
    <row r="6172" spans="1:8" x14ac:dyDescent="0.3">
      <c r="A6172" s="173"/>
      <c r="B6172" s="174"/>
      <c r="C6172" s="175"/>
      <c r="D6172" s="152"/>
      <c r="E6172" s="175"/>
      <c r="F6172" s="165"/>
      <c r="G6172" s="165"/>
      <c r="H6172" s="166"/>
    </row>
    <row r="6173" spans="1:8" x14ac:dyDescent="0.3">
      <c r="A6173" s="173"/>
      <c r="B6173" s="174"/>
      <c r="C6173" s="175"/>
      <c r="D6173" s="152"/>
      <c r="E6173" s="175"/>
      <c r="F6173" s="165"/>
      <c r="G6173" s="165"/>
      <c r="H6173" s="166"/>
    </row>
    <row r="6174" spans="1:8" x14ac:dyDescent="0.3">
      <c r="A6174" s="173"/>
      <c r="B6174" s="174"/>
      <c r="C6174" s="175"/>
      <c r="D6174" s="152"/>
      <c r="E6174" s="175"/>
      <c r="F6174" s="165"/>
      <c r="G6174" s="165"/>
      <c r="H6174" s="166"/>
    </row>
    <row r="6175" spans="1:8" x14ac:dyDescent="0.3">
      <c r="A6175" s="173"/>
      <c r="B6175" s="174"/>
      <c r="C6175" s="175"/>
      <c r="D6175" s="152"/>
      <c r="E6175" s="175"/>
      <c r="F6175" s="165"/>
      <c r="G6175" s="165"/>
      <c r="H6175" s="166"/>
    </row>
    <row r="6176" spans="1:8" x14ac:dyDescent="0.3">
      <c r="A6176" s="173"/>
      <c r="B6176" s="174"/>
      <c r="C6176" s="175"/>
      <c r="D6176" s="152"/>
      <c r="E6176" s="175"/>
      <c r="F6176" s="165"/>
      <c r="G6176" s="165"/>
      <c r="H6176" s="166"/>
    </row>
    <row r="6177" spans="1:8" x14ac:dyDescent="0.3">
      <c r="A6177" s="173"/>
      <c r="B6177" s="174"/>
      <c r="C6177" s="175"/>
      <c r="D6177" s="152"/>
      <c r="E6177" s="175"/>
      <c r="F6177" s="165"/>
      <c r="G6177" s="165"/>
      <c r="H6177" s="166"/>
    </row>
    <row r="6178" spans="1:8" x14ac:dyDescent="0.3">
      <c r="A6178" s="173"/>
      <c r="B6178" s="174"/>
      <c r="C6178" s="175"/>
      <c r="D6178" s="152"/>
      <c r="E6178" s="175"/>
      <c r="F6178" s="165"/>
      <c r="G6178" s="165"/>
      <c r="H6178" s="166"/>
    </row>
    <row r="6179" spans="1:8" x14ac:dyDescent="0.3">
      <c r="A6179" s="173"/>
      <c r="B6179" s="174"/>
      <c r="C6179" s="175"/>
      <c r="D6179" s="152"/>
      <c r="E6179" s="175"/>
      <c r="F6179" s="165"/>
      <c r="G6179" s="165"/>
      <c r="H6179" s="166"/>
    </row>
    <row r="6180" spans="1:8" x14ac:dyDescent="0.3">
      <c r="A6180" s="173"/>
      <c r="B6180" s="174"/>
      <c r="C6180" s="175"/>
      <c r="D6180" s="152"/>
      <c r="E6180" s="175"/>
      <c r="F6180" s="165"/>
      <c r="G6180" s="165"/>
      <c r="H6180" s="166"/>
    </row>
    <row r="6181" spans="1:8" x14ac:dyDescent="0.3">
      <c r="A6181" s="173"/>
      <c r="B6181" s="174"/>
      <c r="C6181" s="175"/>
      <c r="D6181" s="152"/>
      <c r="E6181" s="175"/>
      <c r="F6181" s="165"/>
      <c r="G6181" s="165"/>
      <c r="H6181" s="166"/>
    </row>
    <row r="6182" spans="1:8" x14ac:dyDescent="0.3">
      <c r="A6182" s="27"/>
      <c r="B6182" s="174"/>
      <c r="C6182" s="24"/>
      <c r="D6182" s="152"/>
      <c r="E6182" s="175"/>
      <c r="F6182" s="175"/>
      <c r="G6182" s="162"/>
      <c r="H6182" s="154"/>
    </row>
    <row r="6183" spans="1:8" x14ac:dyDescent="0.3">
      <c r="A6183" s="27"/>
      <c r="B6183" s="174"/>
      <c r="C6183" s="24"/>
      <c r="D6183" s="152"/>
      <c r="E6183" s="25"/>
      <c r="F6183" s="175"/>
      <c r="G6183" s="162"/>
      <c r="H6183" s="154"/>
    </row>
    <row r="6184" spans="1:8" x14ac:dyDescent="0.3">
      <c r="A6184" s="27"/>
      <c r="B6184" s="28"/>
      <c r="C6184" s="24"/>
      <c r="D6184" s="152"/>
      <c r="E6184" s="25"/>
      <c r="F6184" s="175"/>
      <c r="G6184" s="162"/>
      <c r="H6184" s="154"/>
    </row>
    <row r="6185" spans="1:8" x14ac:dyDescent="0.3">
      <c r="A6185" s="27"/>
      <c r="B6185" s="28"/>
      <c r="C6185" s="24"/>
      <c r="D6185" s="25"/>
      <c r="E6185" s="25"/>
      <c r="F6185" s="25"/>
      <c r="G6185" s="28"/>
      <c r="H6185" s="32"/>
    </row>
    <row r="6186" spans="1:8" ht="15.6" x14ac:dyDescent="0.3">
      <c r="A6186" s="448" t="s">
        <v>45</v>
      </c>
      <c r="B6186" s="449"/>
      <c r="C6186" s="24"/>
      <c r="D6186" s="25"/>
      <c r="E6186" s="25"/>
      <c r="F6186" s="447" t="s">
        <v>46</v>
      </c>
      <c r="G6186" s="447"/>
      <c r="H6186" s="66">
        <v>5000</v>
      </c>
    </row>
    <row r="6187" spans="1:8" ht="15.6" x14ac:dyDescent="0.3">
      <c r="A6187" s="497" t="s">
        <v>1174</v>
      </c>
      <c r="B6187" s="498"/>
      <c r="C6187" s="498"/>
      <c r="D6187" s="498"/>
      <c r="E6187" s="498"/>
      <c r="F6187" s="447" t="s">
        <v>47</v>
      </c>
      <c r="G6187" s="447"/>
      <c r="H6187" s="66">
        <f>H6186*9%</f>
        <v>450</v>
      </c>
    </row>
    <row r="6188" spans="1:8" ht="15.6" x14ac:dyDescent="0.3">
      <c r="A6188" s="27"/>
      <c r="B6188" s="28"/>
      <c r="C6188" s="24"/>
      <c r="D6188" s="25"/>
      <c r="E6188" s="25"/>
      <c r="F6188" s="447" t="s">
        <v>48</v>
      </c>
      <c r="G6188" s="447"/>
      <c r="H6188" s="66">
        <f>H6187</f>
        <v>450</v>
      </c>
    </row>
    <row r="6189" spans="1:8" ht="15.6" x14ac:dyDescent="0.3">
      <c r="A6189" s="448" t="s">
        <v>49</v>
      </c>
      <c r="B6189" s="449"/>
      <c r="C6189" s="24"/>
      <c r="D6189" s="25"/>
      <c r="E6189" s="25"/>
      <c r="F6189" s="447" t="s">
        <v>50</v>
      </c>
      <c r="G6189" s="447"/>
      <c r="H6189" s="66">
        <f>H6186+H6187+H6188</f>
        <v>5900</v>
      </c>
    </row>
    <row r="6190" spans="1:8" ht="15.6" x14ac:dyDescent="0.3">
      <c r="A6190" s="90"/>
      <c r="B6190" s="177"/>
      <c r="C6190" s="24"/>
      <c r="D6190" s="25"/>
      <c r="E6190" s="25"/>
      <c r="F6190" s="26"/>
      <c r="G6190" s="26"/>
      <c r="H6190" s="66"/>
    </row>
    <row r="6191" spans="1:8" ht="27" x14ac:dyDescent="0.3">
      <c r="A6191" s="29" t="s">
        <v>22</v>
      </c>
      <c r="B6191" s="30" t="s">
        <v>51</v>
      </c>
      <c r="C6191" s="31" t="s">
        <v>24</v>
      </c>
      <c r="D6191" s="31" t="s">
        <v>25</v>
      </c>
      <c r="E6191" s="528" t="s">
        <v>52</v>
      </c>
      <c r="F6191" s="528"/>
      <c r="G6191" s="28"/>
      <c r="H6191" s="32"/>
    </row>
    <row r="6192" spans="1:8" x14ac:dyDescent="0.3">
      <c r="A6192" s="33">
        <v>0.18</v>
      </c>
      <c r="B6192" s="34">
        <f>H6186</f>
        <v>5000</v>
      </c>
      <c r="C6192" s="35">
        <f>H6187</f>
        <v>450</v>
      </c>
      <c r="D6192" s="35">
        <f>H6188</f>
        <v>450</v>
      </c>
      <c r="E6192" s="529">
        <f>C6192+D6192</f>
        <v>900</v>
      </c>
      <c r="F6192" s="530"/>
      <c r="G6192" s="28"/>
      <c r="H6192" s="32"/>
    </row>
    <row r="6193" spans="1:8" x14ac:dyDescent="0.3">
      <c r="A6193" s="452" t="s">
        <v>1175</v>
      </c>
      <c r="B6193" s="453"/>
      <c r="C6193" s="453"/>
      <c r="D6193" s="453"/>
      <c r="E6193" s="453"/>
      <c r="F6193" s="453"/>
      <c r="G6193" s="453"/>
      <c r="H6193" s="454"/>
    </row>
    <row r="6194" spans="1:8" ht="15.6" x14ac:dyDescent="0.3">
      <c r="A6194" s="455" t="s">
        <v>53</v>
      </c>
      <c r="B6194" s="456"/>
      <c r="C6194" s="456"/>
      <c r="D6194" s="457"/>
      <c r="E6194" s="458" t="s">
        <v>54</v>
      </c>
      <c r="F6194" s="459"/>
      <c r="G6194" s="459"/>
      <c r="H6194" s="460"/>
    </row>
    <row r="6195" spans="1:8" x14ac:dyDescent="0.3">
      <c r="A6195" s="461" t="s">
        <v>55</v>
      </c>
      <c r="B6195" s="462"/>
      <c r="C6195" s="462"/>
      <c r="D6195" s="463"/>
      <c r="E6195" s="39"/>
      <c r="F6195" s="25"/>
      <c r="G6195" s="28"/>
      <c r="H6195" s="32"/>
    </row>
    <row r="6196" spans="1:8" x14ac:dyDescent="0.3">
      <c r="A6196" s="461" t="s">
        <v>56</v>
      </c>
      <c r="B6196" s="462"/>
      <c r="C6196" s="462"/>
      <c r="D6196" s="463"/>
      <c r="E6196" s="39"/>
      <c r="F6196" s="25"/>
      <c r="G6196" s="28"/>
      <c r="H6196" s="32"/>
    </row>
    <row r="6197" spans="1:8" x14ac:dyDescent="0.3">
      <c r="A6197" s="461" t="s">
        <v>57</v>
      </c>
      <c r="B6197" s="462"/>
      <c r="C6197" s="462"/>
      <c r="D6197" s="463"/>
      <c r="E6197" s="25"/>
      <c r="F6197" s="25"/>
      <c r="G6197" s="28"/>
      <c r="H6197" s="32"/>
    </row>
    <row r="6198" spans="1:8" ht="15.6" x14ac:dyDescent="0.3">
      <c r="A6198" s="464" t="s">
        <v>58</v>
      </c>
      <c r="B6198" s="465"/>
      <c r="C6198" s="465"/>
      <c r="D6198" s="510"/>
      <c r="E6198" s="466" t="s">
        <v>59</v>
      </c>
      <c r="F6198" s="467"/>
      <c r="G6198" s="467"/>
      <c r="H6198" s="468"/>
    </row>
    <row r="6201" spans="1:8" ht="44.4" x14ac:dyDescent="0.7">
      <c r="A6201" s="469" t="s">
        <v>0</v>
      </c>
      <c r="B6201" s="470"/>
      <c r="C6201" s="470"/>
      <c r="D6201" s="470"/>
      <c r="E6201" s="531" t="s">
        <v>1</v>
      </c>
      <c r="F6201" s="544"/>
      <c r="G6201" s="544"/>
      <c r="H6201" s="545"/>
    </row>
    <row r="6202" spans="1:8" ht="20.399999999999999" x14ac:dyDescent="0.35">
      <c r="A6202" s="1"/>
      <c r="B6202" s="476" t="s">
        <v>2</v>
      </c>
      <c r="C6202" s="476"/>
      <c r="D6202" s="476"/>
      <c r="E6202" s="546"/>
      <c r="F6202" s="546"/>
      <c r="G6202" s="546"/>
      <c r="H6202" s="547"/>
    </row>
    <row r="6203" spans="1:8" x14ac:dyDescent="0.3">
      <c r="A6203" s="477" t="s">
        <v>1150</v>
      </c>
      <c r="B6203" s="478"/>
      <c r="C6203" s="479" t="s">
        <v>4</v>
      </c>
      <c r="D6203" s="479"/>
      <c r="E6203" s="548" t="s">
        <v>5</v>
      </c>
      <c r="F6203" s="549"/>
      <c r="G6203" s="549"/>
      <c r="H6203" s="550"/>
    </row>
    <row r="6204" spans="1:8" ht="15.6" x14ac:dyDescent="0.3">
      <c r="A6204" s="138" t="s">
        <v>6</v>
      </c>
      <c r="B6204" s="5"/>
      <c r="C6204" s="512" t="s">
        <v>7</v>
      </c>
      <c r="D6204" s="513"/>
      <c r="E6204" s="594">
        <v>135</v>
      </c>
      <c r="F6204" s="594"/>
      <c r="G6204" s="179" t="s">
        <v>8</v>
      </c>
      <c r="H6204" s="122">
        <v>45727</v>
      </c>
    </row>
    <row r="6205" spans="1:8" ht="15.6" x14ac:dyDescent="0.3">
      <c r="A6205" s="514" t="s">
        <v>1151</v>
      </c>
      <c r="B6205" s="515"/>
      <c r="C6205" s="516" t="s">
        <v>10</v>
      </c>
      <c r="D6205" s="481"/>
      <c r="E6205" s="482"/>
      <c r="F6205" s="482"/>
      <c r="G6205" s="7" t="s">
        <v>8</v>
      </c>
      <c r="H6205" s="9"/>
    </row>
    <row r="6206" spans="1:8" ht="15" x14ac:dyDescent="0.3">
      <c r="A6206" s="517" t="s">
        <v>1153</v>
      </c>
      <c r="B6206" s="518"/>
      <c r="C6206" s="484" t="s">
        <v>12</v>
      </c>
      <c r="D6206" s="519"/>
      <c r="E6206" s="520"/>
      <c r="F6206" s="520"/>
      <c r="G6206" s="10" t="s">
        <v>8</v>
      </c>
      <c r="H6206" s="11"/>
    </row>
    <row r="6207" spans="1:8" ht="15.6" x14ac:dyDescent="0.3">
      <c r="A6207" s="595" t="s">
        <v>1152</v>
      </c>
      <c r="B6207" s="553"/>
      <c r="C6207" s="521" t="s">
        <v>15</v>
      </c>
      <c r="D6207" s="522"/>
      <c r="E6207" s="523" t="s">
        <v>1162</v>
      </c>
      <c r="F6207" s="524"/>
      <c r="G6207" s="524"/>
      <c r="H6207" s="6"/>
    </row>
    <row r="6208" spans="1:8" ht="15.6" x14ac:dyDescent="0.3">
      <c r="A6208" s="180" t="s">
        <v>13</v>
      </c>
      <c r="B6208" s="181" t="s">
        <v>1154</v>
      </c>
      <c r="C6208" s="182"/>
      <c r="D6208" s="50"/>
      <c r="E6208" s="183"/>
      <c r="F6208" s="183"/>
      <c r="G6208" s="183"/>
      <c r="H6208" s="52"/>
    </row>
    <row r="6209" spans="1:9" ht="15" x14ac:dyDescent="0.3">
      <c r="A6209" s="527" t="s">
        <v>17</v>
      </c>
      <c r="B6209" s="505" t="s">
        <v>18</v>
      </c>
      <c r="C6209" s="505" t="s">
        <v>19</v>
      </c>
      <c r="D6209" s="505" t="s">
        <v>20</v>
      </c>
      <c r="E6209" s="505" t="s">
        <v>21</v>
      </c>
      <c r="F6209" s="505" t="s">
        <v>22</v>
      </c>
      <c r="G6209" s="505"/>
      <c r="H6209" s="527" t="s">
        <v>23</v>
      </c>
    </row>
    <row r="6210" spans="1:9" ht="27.6" x14ac:dyDescent="0.3">
      <c r="A6210" s="492"/>
      <c r="B6210" s="494"/>
      <c r="C6210" s="494"/>
      <c r="D6210" s="494"/>
      <c r="E6210" s="494"/>
      <c r="F6210" s="53" t="s">
        <v>24</v>
      </c>
      <c r="G6210" s="53" t="s">
        <v>25</v>
      </c>
      <c r="H6210" s="492"/>
    </row>
    <row r="6211" spans="1:9" x14ac:dyDescent="0.3">
      <c r="A6211" s="261">
        <v>1</v>
      </c>
      <c r="B6211" s="60" t="s">
        <v>1155</v>
      </c>
      <c r="C6211" s="188">
        <v>7</v>
      </c>
      <c r="D6211" s="56">
        <v>998719</v>
      </c>
      <c r="E6211" s="57">
        <v>2000</v>
      </c>
      <c r="F6211" s="58">
        <f>E6211*C6211*9%</f>
        <v>1260</v>
      </c>
      <c r="G6211" s="58">
        <f>F6211</f>
        <v>1260</v>
      </c>
      <c r="H6211" s="59">
        <f>E6211*C6211+F6211+G6211</f>
        <v>16520</v>
      </c>
      <c r="I6211" s="362">
        <f>E6211*C6211</f>
        <v>14000</v>
      </c>
    </row>
    <row r="6212" spans="1:9" ht="27.6" x14ac:dyDescent="0.3">
      <c r="A6212" s="55">
        <v>2</v>
      </c>
      <c r="B6212" s="60" t="s">
        <v>1156</v>
      </c>
      <c r="C6212" s="57">
        <v>1</v>
      </c>
      <c r="D6212" s="56">
        <v>998719</v>
      </c>
      <c r="E6212" s="57">
        <v>6000</v>
      </c>
      <c r="F6212" s="58">
        <f>E6212*C6212*9%</f>
        <v>540</v>
      </c>
      <c r="G6212" s="58">
        <f>F6212</f>
        <v>540</v>
      </c>
      <c r="H6212" s="59">
        <f>E6212*C6212+F6212+G6212</f>
        <v>7080</v>
      </c>
      <c r="I6212" s="362">
        <f t="shared" ref="I6212:I6214" si="149">E6212*C6212</f>
        <v>6000</v>
      </c>
    </row>
    <row r="6213" spans="1:9" x14ac:dyDescent="0.3">
      <c r="A6213" s="261">
        <v>3</v>
      </c>
      <c r="B6213" s="60" t="s">
        <v>1157</v>
      </c>
      <c r="C6213" s="188">
        <v>1</v>
      </c>
      <c r="D6213" s="150">
        <v>85365010</v>
      </c>
      <c r="E6213" s="57">
        <v>1850</v>
      </c>
      <c r="F6213" s="58">
        <f>E6213*C6213*9%</f>
        <v>166.5</v>
      </c>
      <c r="G6213" s="58">
        <f>F6213</f>
        <v>166.5</v>
      </c>
      <c r="H6213" s="59">
        <f>E6213*C6213+F6213+G6213</f>
        <v>2183</v>
      </c>
      <c r="I6213" s="362">
        <f t="shared" si="149"/>
        <v>1850</v>
      </c>
    </row>
    <row r="6214" spans="1:9" ht="41.4" x14ac:dyDescent="0.3">
      <c r="A6214" s="55">
        <v>4</v>
      </c>
      <c r="B6214" s="60" t="s">
        <v>1158</v>
      </c>
      <c r="C6214" s="57">
        <v>2</v>
      </c>
      <c r="D6214" s="56">
        <v>998719</v>
      </c>
      <c r="E6214" s="57">
        <v>8575</v>
      </c>
      <c r="F6214" s="58">
        <f>E6214*C6214*9%</f>
        <v>1543.5</v>
      </c>
      <c r="G6214" s="58">
        <f>F6214</f>
        <v>1543.5</v>
      </c>
      <c r="H6214" s="59">
        <f>E6214*C6214+F6214+G6214</f>
        <v>20237</v>
      </c>
      <c r="I6214" s="362">
        <f t="shared" si="149"/>
        <v>17150</v>
      </c>
    </row>
    <row r="6215" spans="1:9" x14ac:dyDescent="0.3">
      <c r="A6215" s="173"/>
      <c r="B6215" s="174"/>
      <c r="C6215" s="175"/>
      <c r="D6215" s="152"/>
      <c r="E6215" s="175"/>
      <c r="F6215" s="165"/>
      <c r="G6215" s="165"/>
      <c r="H6215" s="166"/>
    </row>
    <row r="6216" spans="1:9" x14ac:dyDescent="0.3">
      <c r="A6216" s="173"/>
      <c r="B6216" s="174"/>
      <c r="C6216" s="175"/>
      <c r="D6216" s="152"/>
      <c r="E6216" s="175"/>
      <c r="F6216" s="165"/>
      <c r="G6216" s="165"/>
      <c r="H6216" s="166"/>
    </row>
    <row r="6217" spans="1:9" x14ac:dyDescent="0.3">
      <c r="A6217" s="173"/>
      <c r="B6217" s="174"/>
      <c r="C6217" s="175"/>
      <c r="D6217" s="152"/>
      <c r="E6217" s="175"/>
      <c r="F6217" s="165"/>
      <c r="G6217" s="165"/>
      <c r="H6217" s="166"/>
    </row>
    <row r="6218" spans="1:9" x14ac:dyDescent="0.3">
      <c r="A6218" s="173"/>
      <c r="B6218" s="174"/>
      <c r="C6218" s="175"/>
      <c r="D6218" s="152"/>
      <c r="E6218" s="175"/>
      <c r="F6218" s="165"/>
      <c r="G6218" s="165"/>
      <c r="H6218" s="166"/>
    </row>
    <row r="6219" spans="1:9" x14ac:dyDescent="0.3">
      <c r="A6219" s="173"/>
      <c r="B6219" s="174"/>
      <c r="C6219" s="175"/>
      <c r="D6219" s="152"/>
      <c r="E6219" s="175"/>
      <c r="F6219" s="165"/>
      <c r="G6219" s="165"/>
      <c r="H6219" s="166"/>
    </row>
    <row r="6220" spans="1:9" x14ac:dyDescent="0.3">
      <c r="A6220" s="173"/>
      <c r="B6220" s="174"/>
      <c r="C6220" s="175"/>
      <c r="D6220" s="152"/>
      <c r="E6220" s="175"/>
      <c r="F6220" s="165"/>
      <c r="G6220" s="165"/>
      <c r="H6220" s="166"/>
    </row>
    <row r="6221" spans="1:9" x14ac:dyDescent="0.3">
      <c r="A6221" s="173"/>
      <c r="B6221" s="174"/>
      <c r="C6221" s="175"/>
      <c r="D6221" s="152"/>
      <c r="E6221" s="175"/>
      <c r="F6221" s="165"/>
      <c r="G6221" s="165"/>
      <c r="H6221" s="166"/>
    </row>
    <row r="6222" spans="1:9" x14ac:dyDescent="0.3">
      <c r="A6222" s="173"/>
      <c r="B6222" s="174"/>
      <c r="C6222" s="175"/>
      <c r="D6222" s="152"/>
      <c r="E6222" s="175"/>
      <c r="F6222" s="165"/>
      <c r="G6222" s="165"/>
      <c r="H6222" s="166"/>
    </row>
    <row r="6223" spans="1:9" x14ac:dyDescent="0.3">
      <c r="A6223" s="173"/>
      <c r="B6223" s="174"/>
      <c r="C6223" s="175"/>
      <c r="D6223" s="152"/>
      <c r="E6223" s="175"/>
      <c r="F6223" s="165"/>
      <c r="G6223" s="165"/>
      <c r="H6223" s="166"/>
    </row>
    <row r="6224" spans="1:9" x14ac:dyDescent="0.3">
      <c r="A6224" s="173"/>
      <c r="B6224" s="174"/>
      <c r="C6224" s="175"/>
      <c r="D6224" s="152"/>
      <c r="E6224" s="175"/>
      <c r="F6224" s="165"/>
      <c r="G6224" s="165"/>
      <c r="H6224" s="166"/>
    </row>
    <row r="6225" spans="1:8" x14ac:dyDescent="0.3">
      <c r="A6225" s="173"/>
      <c r="B6225" s="174"/>
      <c r="C6225" s="175"/>
      <c r="D6225" s="152"/>
      <c r="E6225" s="175"/>
      <c r="F6225" s="165"/>
      <c r="G6225" s="165"/>
      <c r="H6225" s="166"/>
    </row>
    <row r="6226" spans="1:8" x14ac:dyDescent="0.3">
      <c r="A6226" s="27"/>
      <c r="B6226" s="174"/>
      <c r="C6226" s="24"/>
      <c r="D6226" s="152"/>
      <c r="E6226" s="175"/>
      <c r="F6226" s="175"/>
      <c r="G6226" s="162"/>
      <c r="H6226" s="154"/>
    </row>
    <row r="6227" spans="1:8" x14ac:dyDescent="0.3">
      <c r="A6227" s="27"/>
      <c r="B6227" s="174"/>
      <c r="C6227" s="24"/>
      <c r="D6227" s="152"/>
      <c r="E6227" s="25"/>
      <c r="F6227" s="175"/>
      <c r="G6227" s="162"/>
      <c r="H6227" s="154"/>
    </row>
    <row r="6228" spans="1:8" x14ac:dyDescent="0.3">
      <c r="A6228" s="27"/>
      <c r="B6228" s="28"/>
      <c r="C6228" s="24"/>
      <c r="D6228" s="152"/>
      <c r="E6228" s="25"/>
      <c r="F6228" s="175"/>
      <c r="G6228" s="162"/>
      <c r="H6228" s="154"/>
    </row>
    <row r="6229" spans="1:8" x14ac:dyDescent="0.3">
      <c r="A6229" s="27"/>
      <c r="B6229" s="28"/>
      <c r="C6229" s="24"/>
      <c r="D6229" s="25"/>
      <c r="E6229" s="25"/>
      <c r="F6229" s="25"/>
      <c r="G6229" s="28"/>
      <c r="H6229" s="32"/>
    </row>
    <row r="6230" spans="1:8" ht="15.6" x14ac:dyDescent="0.3">
      <c r="A6230" s="448" t="s">
        <v>45</v>
      </c>
      <c r="B6230" s="449"/>
      <c r="C6230" s="24"/>
      <c r="D6230" s="25"/>
      <c r="E6230" s="25"/>
      <c r="F6230" s="447" t="s">
        <v>46</v>
      </c>
      <c r="G6230" s="447"/>
      <c r="H6230" s="66">
        <v>39000</v>
      </c>
    </row>
    <row r="6231" spans="1:8" ht="15.6" x14ac:dyDescent="0.3">
      <c r="A6231" s="497" t="s">
        <v>1163</v>
      </c>
      <c r="B6231" s="498"/>
      <c r="C6231" s="498"/>
      <c r="D6231" s="498"/>
      <c r="E6231" s="498"/>
      <c r="F6231" s="447" t="s">
        <v>47</v>
      </c>
      <c r="G6231" s="447"/>
      <c r="H6231" s="66">
        <f>H6230*9%</f>
        <v>3510</v>
      </c>
    </row>
    <row r="6232" spans="1:8" ht="15.6" x14ac:dyDescent="0.3">
      <c r="A6232" s="27"/>
      <c r="B6232" s="28"/>
      <c r="C6232" s="24"/>
      <c r="D6232" s="25"/>
      <c r="E6232" s="25"/>
      <c r="F6232" s="447" t="s">
        <v>48</v>
      </c>
      <c r="G6232" s="447"/>
      <c r="H6232" s="66">
        <f>H6231</f>
        <v>3510</v>
      </c>
    </row>
    <row r="6233" spans="1:8" ht="15.6" x14ac:dyDescent="0.3">
      <c r="A6233" s="448" t="s">
        <v>49</v>
      </c>
      <c r="B6233" s="449"/>
      <c r="C6233" s="24"/>
      <c r="D6233" s="25"/>
      <c r="E6233" s="25"/>
      <c r="F6233" s="447" t="s">
        <v>50</v>
      </c>
      <c r="G6233" s="447"/>
      <c r="H6233" s="66">
        <f>H6230+H6231+H6232</f>
        <v>46020</v>
      </c>
    </row>
    <row r="6234" spans="1:8" ht="15.6" x14ac:dyDescent="0.3">
      <c r="A6234" s="90"/>
      <c r="B6234" s="177"/>
      <c r="C6234" s="24"/>
      <c r="D6234" s="25"/>
      <c r="E6234" s="25"/>
      <c r="F6234" s="26"/>
      <c r="G6234" s="26"/>
      <c r="H6234" s="66"/>
    </row>
    <row r="6235" spans="1:8" ht="27" x14ac:dyDescent="0.3">
      <c r="A6235" s="29" t="s">
        <v>22</v>
      </c>
      <c r="B6235" s="30" t="s">
        <v>51</v>
      </c>
      <c r="C6235" s="31" t="s">
        <v>24</v>
      </c>
      <c r="D6235" s="31" t="s">
        <v>25</v>
      </c>
      <c r="E6235" s="528" t="s">
        <v>52</v>
      </c>
      <c r="F6235" s="528"/>
      <c r="G6235" s="28"/>
      <c r="H6235" s="32"/>
    </row>
    <row r="6236" spans="1:8" x14ac:dyDescent="0.3">
      <c r="A6236" s="33">
        <v>0.18</v>
      </c>
      <c r="B6236" s="34">
        <f>H6230</f>
        <v>39000</v>
      </c>
      <c r="C6236" s="35">
        <f>H6231</f>
        <v>3510</v>
      </c>
      <c r="D6236" s="35">
        <f>H6232</f>
        <v>3510</v>
      </c>
      <c r="E6236" s="529">
        <f>C6236+D6236</f>
        <v>7020</v>
      </c>
      <c r="F6236" s="530"/>
      <c r="G6236" s="28"/>
      <c r="H6236" s="32"/>
    </row>
    <row r="6237" spans="1:8" x14ac:dyDescent="0.3">
      <c r="A6237" s="452" t="s">
        <v>1164</v>
      </c>
      <c r="B6237" s="453"/>
      <c r="C6237" s="453"/>
      <c r="D6237" s="453"/>
      <c r="E6237" s="453"/>
      <c r="F6237" s="453"/>
      <c r="G6237" s="453"/>
      <c r="H6237" s="454"/>
    </row>
    <row r="6238" spans="1:8" ht="15.6" x14ac:dyDescent="0.3">
      <c r="A6238" s="455" t="s">
        <v>53</v>
      </c>
      <c r="B6238" s="456"/>
      <c r="C6238" s="456"/>
      <c r="D6238" s="457"/>
      <c r="E6238" s="458" t="s">
        <v>54</v>
      </c>
      <c r="F6238" s="459"/>
      <c r="G6238" s="459"/>
      <c r="H6238" s="460"/>
    </row>
    <row r="6239" spans="1:8" x14ac:dyDescent="0.3">
      <c r="A6239" s="461" t="s">
        <v>55</v>
      </c>
      <c r="B6239" s="462"/>
      <c r="C6239" s="462"/>
      <c r="D6239" s="463"/>
      <c r="E6239" s="39"/>
      <c r="F6239" s="25"/>
      <c r="G6239" s="28"/>
      <c r="H6239" s="32"/>
    </row>
    <row r="6240" spans="1:8" x14ac:dyDescent="0.3">
      <c r="A6240" s="461" t="s">
        <v>56</v>
      </c>
      <c r="B6240" s="462"/>
      <c r="C6240" s="462"/>
      <c r="D6240" s="463"/>
      <c r="E6240" s="39"/>
      <c r="F6240" s="25"/>
      <c r="G6240" s="28"/>
      <c r="H6240" s="32"/>
    </row>
    <row r="6241" spans="1:9" x14ac:dyDescent="0.3">
      <c r="A6241" s="461" t="s">
        <v>57</v>
      </c>
      <c r="B6241" s="462"/>
      <c r="C6241" s="462"/>
      <c r="D6241" s="463"/>
      <c r="E6241" s="25"/>
      <c r="F6241" s="25"/>
      <c r="G6241" s="28"/>
      <c r="H6241" s="32"/>
    </row>
    <row r="6242" spans="1:9" ht="15.6" x14ac:dyDescent="0.3">
      <c r="A6242" s="464" t="s">
        <v>58</v>
      </c>
      <c r="B6242" s="465"/>
      <c r="C6242" s="465"/>
      <c r="D6242" s="510"/>
      <c r="E6242" s="466" t="s">
        <v>59</v>
      </c>
      <c r="F6242" s="467"/>
      <c r="G6242" s="467"/>
      <c r="H6242" s="468"/>
    </row>
    <row r="6245" spans="1:9" ht="44.4" x14ac:dyDescent="0.7">
      <c r="A6245" s="469" t="s">
        <v>0</v>
      </c>
      <c r="B6245" s="470"/>
      <c r="C6245" s="470"/>
      <c r="D6245" s="470"/>
      <c r="E6245" s="531" t="s">
        <v>1</v>
      </c>
      <c r="F6245" s="544"/>
      <c r="G6245" s="544"/>
      <c r="H6245" s="545"/>
    </row>
    <row r="6246" spans="1:9" ht="20.399999999999999" x14ac:dyDescent="0.35">
      <c r="A6246" s="1"/>
      <c r="B6246" s="476" t="s">
        <v>2</v>
      </c>
      <c r="C6246" s="476"/>
      <c r="D6246" s="476"/>
      <c r="E6246" s="546"/>
      <c r="F6246" s="546"/>
      <c r="G6246" s="546"/>
      <c r="H6246" s="547"/>
    </row>
    <row r="6247" spans="1:9" x14ac:dyDescent="0.3">
      <c r="A6247" s="477" t="s">
        <v>3</v>
      </c>
      <c r="B6247" s="478"/>
      <c r="C6247" s="479" t="s">
        <v>4</v>
      </c>
      <c r="D6247" s="479"/>
      <c r="E6247" s="548" t="s">
        <v>5</v>
      </c>
      <c r="F6247" s="549"/>
      <c r="G6247" s="549"/>
      <c r="H6247" s="550"/>
    </row>
    <row r="6248" spans="1:9" ht="15.6" x14ac:dyDescent="0.3">
      <c r="A6248" s="4" t="s">
        <v>6</v>
      </c>
      <c r="B6248" s="5"/>
      <c r="C6248" s="481" t="s">
        <v>7</v>
      </c>
      <c r="D6248" s="481"/>
      <c r="E6248" s="482">
        <v>136</v>
      </c>
      <c r="F6248" s="482"/>
      <c r="G6248" s="7" t="s">
        <v>8</v>
      </c>
      <c r="H6248" s="8">
        <v>45727</v>
      </c>
    </row>
    <row r="6249" spans="1:9" ht="15.6" x14ac:dyDescent="0.3">
      <c r="A6249" s="551" t="s">
        <v>287</v>
      </c>
      <c r="B6249" s="552"/>
      <c r="C6249" s="481" t="s">
        <v>10</v>
      </c>
      <c r="D6249" s="481"/>
      <c r="E6249" s="482"/>
      <c r="F6249" s="482"/>
      <c r="G6249" s="7" t="s">
        <v>8</v>
      </c>
      <c r="H6249" s="9"/>
    </row>
    <row r="6250" spans="1:9" ht="24.75" customHeight="1" x14ac:dyDescent="0.3">
      <c r="A6250" s="517" t="s">
        <v>288</v>
      </c>
      <c r="B6250" s="553"/>
      <c r="C6250" s="483" t="s">
        <v>12</v>
      </c>
      <c r="D6250" s="484"/>
      <c r="E6250" s="652" t="s">
        <v>1159</v>
      </c>
      <c r="F6250" s="653"/>
      <c r="G6250" s="10" t="s">
        <v>8</v>
      </c>
      <c r="H6250" s="109">
        <v>45934</v>
      </c>
    </row>
    <row r="6251" spans="1:9" ht="15.6" x14ac:dyDescent="0.3">
      <c r="A6251" s="556"/>
      <c r="B6251" s="557"/>
      <c r="C6251" s="481" t="s">
        <v>15</v>
      </c>
      <c r="D6251" s="481"/>
      <c r="E6251" s="502" t="s">
        <v>289</v>
      </c>
      <c r="F6251" s="503"/>
      <c r="G6251" s="503"/>
      <c r="H6251" s="504"/>
    </row>
    <row r="6252" spans="1:9" ht="15.6" x14ac:dyDescent="0.3">
      <c r="A6252" s="558" t="s">
        <v>1165</v>
      </c>
      <c r="B6252" s="559"/>
      <c r="C6252" s="489"/>
      <c r="D6252" s="490"/>
      <c r="E6252" s="490"/>
      <c r="F6252" s="490"/>
      <c r="G6252" s="490"/>
      <c r="H6252" s="491"/>
    </row>
    <row r="6253" spans="1:9" ht="15" x14ac:dyDescent="0.3">
      <c r="A6253" s="492" t="s">
        <v>17</v>
      </c>
      <c r="B6253" s="494" t="s">
        <v>18</v>
      </c>
      <c r="C6253" s="494" t="s">
        <v>19</v>
      </c>
      <c r="D6253" s="494" t="s">
        <v>20</v>
      </c>
      <c r="E6253" s="494" t="s">
        <v>21</v>
      </c>
      <c r="F6253" s="494" t="s">
        <v>22</v>
      </c>
      <c r="G6253" s="494"/>
      <c r="H6253" s="492" t="s">
        <v>23</v>
      </c>
    </row>
    <row r="6254" spans="1:9" ht="27.6" x14ac:dyDescent="0.3">
      <c r="A6254" s="492"/>
      <c r="B6254" s="494"/>
      <c r="C6254" s="494"/>
      <c r="D6254" s="494"/>
      <c r="E6254" s="494"/>
      <c r="F6254" s="53" t="s">
        <v>24</v>
      </c>
      <c r="G6254" s="53" t="s">
        <v>25</v>
      </c>
      <c r="H6254" s="492"/>
    </row>
    <row r="6255" spans="1:9" ht="27.6" x14ac:dyDescent="0.3">
      <c r="A6255" s="57">
        <v>1</v>
      </c>
      <c r="B6255" s="60" t="s">
        <v>1166</v>
      </c>
      <c r="C6255" s="57">
        <v>60</v>
      </c>
      <c r="D6255" s="359">
        <v>85446020</v>
      </c>
      <c r="E6255" s="57">
        <v>190</v>
      </c>
      <c r="F6255" s="57">
        <f>E6255*C6255*9%</f>
        <v>1026</v>
      </c>
      <c r="G6255" s="57">
        <f>F6255</f>
        <v>1026</v>
      </c>
      <c r="H6255" s="57">
        <f>G6255+F6255+E6255*C6255</f>
        <v>13452</v>
      </c>
      <c r="I6255" s="362">
        <f>E6255*C6255</f>
        <v>11400</v>
      </c>
    </row>
    <row r="6256" spans="1:9" x14ac:dyDescent="0.3">
      <c r="A6256" s="55">
        <v>2</v>
      </c>
      <c r="B6256" s="60" t="s">
        <v>1167</v>
      </c>
      <c r="C6256" s="57">
        <v>1</v>
      </c>
      <c r="D6256" s="208">
        <v>998719</v>
      </c>
      <c r="E6256" s="57">
        <v>2000</v>
      </c>
      <c r="F6256" s="57">
        <f t="shared" ref="F6256:F6257" si="150">E6256*C6256*9%</f>
        <v>180</v>
      </c>
      <c r="G6256" s="57">
        <f t="shared" ref="G6256:G6257" si="151">F6256</f>
        <v>180</v>
      </c>
      <c r="H6256" s="57">
        <f t="shared" ref="H6256:H6257" si="152">G6256+F6256+E6256*C6256</f>
        <v>2360</v>
      </c>
      <c r="I6256" s="362">
        <f t="shared" ref="I6256:I6257" si="153">E6256*C6256</f>
        <v>2000</v>
      </c>
    </row>
    <row r="6257" spans="1:9" x14ac:dyDescent="0.3">
      <c r="A6257" s="55">
        <v>3</v>
      </c>
      <c r="B6257" s="60" t="s">
        <v>1168</v>
      </c>
      <c r="C6257" s="57">
        <v>2</v>
      </c>
      <c r="D6257" s="208">
        <v>998719</v>
      </c>
      <c r="E6257" s="57">
        <v>300</v>
      </c>
      <c r="F6257" s="57">
        <f t="shared" si="150"/>
        <v>54</v>
      </c>
      <c r="G6257" s="57">
        <f t="shared" si="151"/>
        <v>54</v>
      </c>
      <c r="H6257" s="57">
        <f t="shared" si="152"/>
        <v>708</v>
      </c>
      <c r="I6257" s="362">
        <f t="shared" si="153"/>
        <v>600</v>
      </c>
    </row>
    <row r="6258" spans="1:9" x14ac:dyDescent="0.3">
      <c r="A6258" s="55"/>
      <c r="B6258" s="130"/>
      <c r="C6258" s="83"/>
      <c r="D6258" s="83"/>
      <c r="E6258" s="57"/>
      <c r="F6258" s="57"/>
      <c r="G6258" s="57"/>
      <c r="H6258" s="57"/>
    </row>
    <row r="6259" spans="1:9" x14ac:dyDescent="0.3">
      <c r="A6259" s="55"/>
      <c r="B6259" s="130"/>
      <c r="C6259" s="83"/>
      <c r="D6259" s="83"/>
      <c r="E6259" s="57"/>
      <c r="F6259" s="57"/>
      <c r="G6259" s="57"/>
      <c r="H6259" s="57"/>
    </row>
    <row r="6260" spans="1:9" x14ac:dyDescent="0.3">
      <c r="A6260" s="55"/>
      <c r="B6260" s="130"/>
      <c r="C6260" s="83"/>
      <c r="D6260" s="83"/>
      <c r="E6260" s="57"/>
      <c r="F6260" s="57"/>
      <c r="G6260" s="57"/>
      <c r="H6260" s="57"/>
    </row>
    <row r="6261" spans="1:9" x14ac:dyDescent="0.3">
      <c r="A6261" s="55"/>
      <c r="B6261" s="130"/>
      <c r="C6261" s="83"/>
      <c r="D6261" s="83"/>
      <c r="E6261" s="57"/>
      <c r="F6261" s="57"/>
      <c r="G6261" s="57"/>
      <c r="H6261" s="57"/>
    </row>
    <row r="6262" spans="1:9" x14ac:dyDescent="0.3">
      <c r="A6262" s="55"/>
      <c r="B6262" s="130"/>
      <c r="C6262" s="83"/>
      <c r="D6262" s="57"/>
      <c r="E6262" s="57"/>
      <c r="F6262" s="57"/>
      <c r="G6262" s="57"/>
      <c r="H6262" s="57"/>
    </row>
    <row r="6263" spans="1:9" x14ac:dyDescent="0.3">
      <c r="A6263" s="194"/>
      <c r="B6263" s="195"/>
      <c r="C6263" s="196"/>
      <c r="D6263" s="194"/>
      <c r="E6263" s="194"/>
      <c r="F6263" s="145"/>
      <c r="G6263" s="197"/>
      <c r="H6263" s="198"/>
    </row>
    <row r="6264" spans="1:9" x14ac:dyDescent="0.3">
      <c r="A6264" s="199"/>
      <c r="B6264" s="200"/>
      <c r="C6264" s="201"/>
      <c r="D6264" s="202"/>
      <c r="E6264" s="203"/>
      <c r="F6264" s="204"/>
      <c r="G6264" s="204"/>
      <c r="H6264" s="205"/>
    </row>
    <row r="6265" spans="1:9" x14ac:dyDescent="0.3">
      <c r="A6265" s="173"/>
      <c r="B6265" s="88"/>
      <c r="C6265" s="206"/>
      <c r="D6265" s="89"/>
      <c r="E6265" s="207"/>
      <c r="F6265" s="25"/>
      <c r="G6265" s="25"/>
      <c r="H6265" s="32"/>
    </row>
    <row r="6266" spans="1:9" x14ac:dyDescent="0.3">
      <c r="A6266" s="173"/>
      <c r="B6266" s="88"/>
      <c r="C6266" s="206"/>
      <c r="D6266" s="89"/>
      <c r="E6266" s="207"/>
      <c r="F6266" s="25"/>
      <c r="G6266" s="25"/>
      <c r="H6266" s="32"/>
    </row>
    <row r="6267" spans="1:9" x14ac:dyDescent="0.3">
      <c r="A6267" s="173"/>
      <c r="B6267" s="88"/>
      <c r="C6267" s="206"/>
      <c r="D6267" s="89"/>
      <c r="E6267" s="207"/>
      <c r="F6267" s="25"/>
      <c r="G6267" s="25"/>
      <c r="H6267" s="32"/>
    </row>
    <row r="6268" spans="1:9" x14ac:dyDescent="0.3">
      <c r="A6268" s="173"/>
      <c r="B6268" s="88"/>
      <c r="C6268" s="206"/>
      <c r="D6268" s="89"/>
      <c r="E6268" s="207"/>
      <c r="F6268" s="25"/>
      <c r="G6268" s="25"/>
      <c r="H6268" s="32"/>
    </row>
    <row r="6269" spans="1:9" x14ac:dyDescent="0.3">
      <c r="A6269" s="173"/>
      <c r="B6269" s="88"/>
      <c r="C6269" s="206"/>
      <c r="D6269" s="89"/>
      <c r="E6269" s="207"/>
      <c r="F6269" s="25"/>
      <c r="G6269" s="25"/>
      <c r="H6269" s="32"/>
    </row>
    <row r="6270" spans="1:9" x14ac:dyDescent="0.3">
      <c r="A6270" s="173"/>
      <c r="B6270" s="88"/>
      <c r="C6270" s="206"/>
      <c r="D6270" s="89"/>
      <c r="E6270" s="207"/>
      <c r="F6270" s="25"/>
      <c r="G6270" s="25"/>
      <c r="H6270" s="32"/>
    </row>
    <row r="6271" spans="1:9" x14ac:dyDescent="0.3">
      <c r="A6271" s="173"/>
      <c r="B6271" s="88"/>
      <c r="C6271" s="206"/>
      <c r="D6271" s="89"/>
      <c r="E6271" s="207"/>
      <c r="F6271" s="25"/>
      <c r="G6271" s="25"/>
      <c r="H6271" s="32"/>
    </row>
    <row r="6272" spans="1:9" x14ac:dyDescent="0.3">
      <c r="A6272" s="173"/>
      <c r="B6272" s="88"/>
      <c r="C6272" s="206"/>
      <c r="D6272" s="89"/>
      <c r="E6272" s="207"/>
      <c r="F6272" s="25"/>
      <c r="G6272" s="25"/>
      <c r="H6272" s="32"/>
    </row>
    <row r="6273" spans="1:8" x14ac:dyDescent="0.3">
      <c r="A6273" s="173"/>
      <c r="B6273" s="88"/>
      <c r="C6273" s="206"/>
      <c r="D6273" s="89"/>
      <c r="E6273" s="207"/>
      <c r="F6273" s="25"/>
      <c r="G6273" s="25"/>
      <c r="H6273" s="32"/>
    </row>
    <row r="6274" spans="1:8" x14ac:dyDescent="0.3">
      <c r="A6274" s="173"/>
      <c r="B6274" s="88"/>
      <c r="C6274" s="206"/>
      <c r="D6274" s="89"/>
      <c r="E6274" s="25"/>
      <c r="F6274" s="25"/>
      <c r="G6274" s="25"/>
      <c r="H6274" s="32"/>
    </row>
    <row r="6275" spans="1:8" x14ac:dyDescent="0.3">
      <c r="A6275" s="27"/>
      <c r="B6275" s="88"/>
      <c r="C6275" s="24"/>
      <c r="D6275" s="89"/>
      <c r="E6275" s="25"/>
      <c r="F6275" s="25"/>
      <c r="G6275" s="25"/>
      <c r="H6275" s="32"/>
    </row>
    <row r="6276" spans="1:8" x14ac:dyDescent="0.3">
      <c r="A6276" s="27"/>
      <c r="B6276" s="28"/>
      <c r="C6276" s="24"/>
      <c r="D6276" s="25"/>
      <c r="E6276" s="25"/>
      <c r="F6276" s="28"/>
      <c r="G6276" s="28"/>
      <c r="H6276" s="32"/>
    </row>
    <row r="6277" spans="1:8" ht="15.6" x14ac:dyDescent="0.3">
      <c r="A6277" s="448" t="s">
        <v>45</v>
      </c>
      <c r="B6277" s="449"/>
      <c r="C6277" s="24"/>
      <c r="D6277" s="25"/>
      <c r="E6277" s="25"/>
      <c r="F6277" s="447" t="s">
        <v>46</v>
      </c>
      <c r="G6277" s="447"/>
      <c r="H6277" s="66">
        <v>14000</v>
      </c>
    </row>
    <row r="6278" spans="1:8" ht="15.6" x14ac:dyDescent="0.3">
      <c r="A6278" s="497" t="s">
        <v>1160</v>
      </c>
      <c r="B6278" s="498"/>
      <c r="C6278" s="498"/>
      <c r="D6278" s="498"/>
      <c r="E6278" s="498"/>
      <c r="F6278" s="447" t="s">
        <v>47</v>
      </c>
      <c r="G6278" s="447"/>
      <c r="H6278" s="66">
        <f>H6277*9%</f>
        <v>1260</v>
      </c>
    </row>
    <row r="6279" spans="1:8" ht="15.6" x14ac:dyDescent="0.3">
      <c r="A6279" s="27"/>
      <c r="B6279" s="28"/>
      <c r="C6279" s="24"/>
      <c r="D6279" s="25"/>
      <c r="E6279" s="25"/>
      <c r="F6279" s="447" t="s">
        <v>48</v>
      </c>
      <c r="G6279" s="447"/>
      <c r="H6279" s="66">
        <f>H6278</f>
        <v>1260</v>
      </c>
    </row>
    <row r="6280" spans="1:8" ht="15.6" x14ac:dyDescent="0.3">
      <c r="A6280" s="448" t="s">
        <v>49</v>
      </c>
      <c r="B6280" s="449"/>
      <c r="C6280" s="24"/>
      <c r="D6280" s="25"/>
      <c r="E6280" s="25"/>
      <c r="F6280" s="447" t="s">
        <v>50</v>
      </c>
      <c r="G6280" s="447"/>
      <c r="H6280" s="66">
        <f>SUM(H6277:H6279)</f>
        <v>16520</v>
      </c>
    </row>
    <row r="6281" spans="1:8" ht="26.4" x14ac:dyDescent="0.3">
      <c r="A6281" s="68" t="s">
        <v>22</v>
      </c>
      <c r="B6281" s="30" t="s">
        <v>51</v>
      </c>
      <c r="C6281" s="70" t="s">
        <v>24</v>
      </c>
      <c r="D6281" s="70" t="s">
        <v>25</v>
      </c>
      <c r="E6281" s="543" t="s">
        <v>52</v>
      </c>
      <c r="F6281" s="543"/>
      <c r="G6281" s="28"/>
      <c r="H6281" s="32"/>
    </row>
    <row r="6282" spans="1:8" x14ac:dyDescent="0.3">
      <c r="A6282" s="72">
        <v>0.18</v>
      </c>
      <c r="B6282" s="73">
        <f>H6277</f>
        <v>14000</v>
      </c>
      <c r="C6282" s="91">
        <f>H6278</f>
        <v>1260</v>
      </c>
      <c r="D6282" s="91">
        <f>H6278</f>
        <v>1260</v>
      </c>
      <c r="E6282" s="506">
        <f>C6282+D6282</f>
        <v>2520</v>
      </c>
      <c r="F6282" s="507"/>
      <c r="G6282" s="74"/>
      <c r="H6282" s="75"/>
    </row>
    <row r="6283" spans="1:8" x14ac:dyDescent="0.3">
      <c r="A6283" s="508" t="s">
        <v>1161</v>
      </c>
      <c r="B6283" s="509"/>
      <c r="C6283" s="509"/>
      <c r="D6283" s="509"/>
      <c r="E6283" s="453"/>
      <c r="F6283" s="453"/>
      <c r="G6283" s="453"/>
      <c r="H6283" s="454"/>
    </row>
    <row r="6284" spans="1:8" ht="15.6" x14ac:dyDescent="0.3">
      <c r="A6284" s="455" t="s">
        <v>53</v>
      </c>
      <c r="B6284" s="456"/>
      <c r="C6284" s="456"/>
      <c r="D6284" s="457"/>
      <c r="E6284" s="458" t="s">
        <v>54</v>
      </c>
      <c r="F6284" s="459"/>
      <c r="G6284" s="459"/>
      <c r="H6284" s="460"/>
    </row>
    <row r="6285" spans="1:8" x14ac:dyDescent="0.3">
      <c r="A6285" s="461" t="s">
        <v>55</v>
      </c>
      <c r="B6285" s="462"/>
      <c r="C6285" s="462"/>
      <c r="D6285" s="463"/>
      <c r="E6285" s="39"/>
      <c r="F6285" s="28"/>
      <c r="G6285" s="28"/>
      <c r="H6285" s="32"/>
    </row>
    <row r="6286" spans="1:8" x14ac:dyDescent="0.3">
      <c r="A6286" s="461" t="s">
        <v>56</v>
      </c>
      <c r="B6286" s="462"/>
      <c r="C6286" s="462"/>
      <c r="D6286" s="463"/>
      <c r="E6286" s="39"/>
      <c r="F6286" s="28"/>
      <c r="G6286" s="28"/>
      <c r="H6286" s="32"/>
    </row>
    <row r="6287" spans="1:8" x14ac:dyDescent="0.3">
      <c r="A6287" s="461" t="s">
        <v>57</v>
      </c>
      <c r="B6287" s="462"/>
      <c r="C6287" s="462"/>
      <c r="D6287" s="463"/>
      <c r="E6287" s="39"/>
      <c r="F6287" s="28"/>
      <c r="G6287" s="28"/>
      <c r="H6287" s="32"/>
    </row>
    <row r="6288" spans="1:8" ht="15.6" x14ac:dyDescent="0.3">
      <c r="A6288" s="464" t="s">
        <v>58</v>
      </c>
      <c r="B6288" s="465"/>
      <c r="C6288" s="465"/>
      <c r="D6288" s="465"/>
      <c r="E6288" s="466" t="s">
        <v>59</v>
      </c>
      <c r="F6288" s="467"/>
      <c r="G6288" s="467"/>
      <c r="H6288" s="468"/>
    </row>
    <row r="6292" spans="1:9" ht="44.4" x14ac:dyDescent="0.7">
      <c r="A6292" s="469" t="s">
        <v>0</v>
      </c>
      <c r="B6292" s="470"/>
      <c r="C6292" s="470"/>
      <c r="D6292" s="470"/>
      <c r="E6292" s="531" t="s">
        <v>1</v>
      </c>
      <c r="F6292" s="544"/>
      <c r="G6292" s="544"/>
      <c r="H6292" s="545"/>
    </row>
    <row r="6293" spans="1:9" ht="20.399999999999999" x14ac:dyDescent="0.35">
      <c r="A6293" s="1"/>
      <c r="B6293" s="476" t="s">
        <v>2</v>
      </c>
      <c r="C6293" s="476"/>
      <c r="D6293" s="476"/>
      <c r="E6293" s="546"/>
      <c r="F6293" s="546"/>
      <c r="G6293" s="546"/>
      <c r="H6293" s="547"/>
    </row>
    <row r="6294" spans="1:9" x14ac:dyDescent="0.3">
      <c r="A6294" s="477" t="s">
        <v>1150</v>
      </c>
      <c r="B6294" s="478"/>
      <c r="C6294" s="479" t="s">
        <v>4</v>
      </c>
      <c r="D6294" s="479"/>
      <c r="E6294" s="548" t="s">
        <v>5</v>
      </c>
      <c r="F6294" s="549"/>
      <c r="G6294" s="549"/>
      <c r="H6294" s="550"/>
    </row>
    <row r="6295" spans="1:9" ht="15.6" x14ac:dyDescent="0.3">
      <c r="A6295" s="138" t="s">
        <v>6</v>
      </c>
      <c r="B6295" s="5"/>
      <c r="C6295" s="512" t="s">
        <v>7</v>
      </c>
      <c r="D6295" s="513"/>
      <c r="E6295" s="594">
        <v>137</v>
      </c>
      <c r="F6295" s="594"/>
      <c r="G6295" s="179" t="s">
        <v>8</v>
      </c>
      <c r="H6295" s="8">
        <v>45788</v>
      </c>
    </row>
    <row r="6296" spans="1:9" ht="15.6" x14ac:dyDescent="0.3">
      <c r="A6296" s="514" t="s">
        <v>1146</v>
      </c>
      <c r="B6296" s="515"/>
      <c r="C6296" s="516" t="s">
        <v>10</v>
      </c>
      <c r="D6296" s="481"/>
      <c r="E6296" s="482"/>
      <c r="F6296" s="482"/>
      <c r="G6296" s="7" t="s">
        <v>8</v>
      </c>
      <c r="H6296" s="9"/>
    </row>
    <row r="6297" spans="1:9" ht="15" x14ac:dyDescent="0.3">
      <c r="A6297" s="517" t="s">
        <v>1147</v>
      </c>
      <c r="B6297" s="518"/>
      <c r="C6297" s="484" t="s">
        <v>12</v>
      </c>
      <c r="D6297" s="519"/>
      <c r="E6297" s="520"/>
      <c r="F6297" s="520"/>
      <c r="G6297" s="10" t="s">
        <v>8</v>
      </c>
      <c r="H6297" s="11"/>
    </row>
    <row r="6298" spans="1:9" ht="15.6" x14ac:dyDescent="0.3">
      <c r="A6298" s="595" t="s">
        <v>1148</v>
      </c>
      <c r="B6298" s="553"/>
      <c r="C6298" s="521" t="s">
        <v>15</v>
      </c>
      <c r="D6298" s="522"/>
      <c r="E6298" s="523" t="s">
        <v>1149</v>
      </c>
      <c r="F6298" s="524"/>
      <c r="G6298" s="524"/>
      <c r="H6298" s="6"/>
    </row>
    <row r="6299" spans="1:9" ht="15.6" x14ac:dyDescent="0.3">
      <c r="A6299" s="180" t="s">
        <v>13</v>
      </c>
      <c r="B6299" s="181" t="s">
        <v>14</v>
      </c>
      <c r="C6299" s="182"/>
      <c r="D6299" s="50"/>
      <c r="E6299" s="183"/>
      <c r="F6299" s="183"/>
      <c r="G6299" s="183"/>
      <c r="H6299" s="52"/>
    </row>
    <row r="6300" spans="1:9" ht="15" x14ac:dyDescent="0.3">
      <c r="A6300" s="527" t="s">
        <v>17</v>
      </c>
      <c r="B6300" s="505" t="s">
        <v>18</v>
      </c>
      <c r="C6300" s="505" t="s">
        <v>19</v>
      </c>
      <c r="D6300" s="505" t="s">
        <v>20</v>
      </c>
      <c r="E6300" s="505" t="s">
        <v>21</v>
      </c>
      <c r="F6300" s="505" t="s">
        <v>22</v>
      </c>
      <c r="G6300" s="505"/>
      <c r="H6300" s="527" t="s">
        <v>23</v>
      </c>
    </row>
    <row r="6301" spans="1:9" ht="27.6" x14ac:dyDescent="0.3">
      <c r="A6301" s="492"/>
      <c r="B6301" s="494"/>
      <c r="C6301" s="494"/>
      <c r="D6301" s="494"/>
      <c r="E6301" s="494"/>
      <c r="F6301" s="53" t="s">
        <v>24</v>
      </c>
      <c r="G6301" s="53" t="s">
        <v>25</v>
      </c>
      <c r="H6301" s="492"/>
    </row>
    <row r="6302" spans="1:9" x14ac:dyDescent="0.3">
      <c r="A6302" s="186">
        <v>1</v>
      </c>
      <c r="B6302" s="60" t="s">
        <v>1176</v>
      </c>
      <c r="C6302" s="188">
        <v>3</v>
      </c>
      <c r="D6302" s="56">
        <v>998719</v>
      </c>
      <c r="E6302" s="57">
        <v>2400</v>
      </c>
      <c r="F6302" s="58">
        <f>E6302*C6302*9%</f>
        <v>648</v>
      </c>
      <c r="G6302" s="58">
        <f>F6302</f>
        <v>648</v>
      </c>
      <c r="H6302" s="59">
        <f>E6302*C6302+F6302+G6302</f>
        <v>8496</v>
      </c>
      <c r="I6302" s="362">
        <f>E6302*C6302</f>
        <v>7200</v>
      </c>
    </row>
    <row r="6303" spans="1:9" x14ac:dyDescent="0.3">
      <c r="A6303" s="57">
        <v>2</v>
      </c>
      <c r="B6303" s="60" t="s">
        <v>1177</v>
      </c>
      <c r="C6303" s="57">
        <v>1</v>
      </c>
      <c r="D6303" s="56">
        <v>998719</v>
      </c>
      <c r="E6303" s="57">
        <v>3800</v>
      </c>
      <c r="F6303" s="58">
        <f>E6303*C6303*9%</f>
        <v>342</v>
      </c>
      <c r="G6303" s="58">
        <f>F6303</f>
        <v>342</v>
      </c>
      <c r="H6303" s="59">
        <f>E6303*C6303+F6303+G6303</f>
        <v>4484</v>
      </c>
      <c r="I6303" s="362">
        <f t="shared" ref="I6303:I6304" si="154">E6303*C6303</f>
        <v>3800</v>
      </c>
    </row>
    <row r="6304" spans="1:9" x14ac:dyDescent="0.3">
      <c r="A6304" s="57"/>
      <c r="B6304" s="60"/>
      <c r="C6304" s="57"/>
      <c r="D6304" s="56"/>
      <c r="E6304" s="57"/>
      <c r="F6304" s="58"/>
      <c r="G6304" s="58"/>
      <c r="H6304" s="59"/>
      <c r="I6304" s="362">
        <f t="shared" si="154"/>
        <v>0</v>
      </c>
    </row>
    <row r="6305" spans="1:8" x14ac:dyDescent="0.3">
      <c r="A6305" s="173"/>
      <c r="B6305" s="174"/>
      <c r="C6305" s="175"/>
      <c r="D6305" s="152"/>
      <c r="E6305" s="175"/>
      <c r="F6305" s="165"/>
      <c r="G6305" s="165"/>
      <c r="H6305" s="166"/>
    </row>
    <row r="6306" spans="1:8" x14ac:dyDescent="0.3">
      <c r="A6306" s="173"/>
      <c r="B6306" s="174"/>
      <c r="C6306" s="175"/>
      <c r="D6306" s="152"/>
      <c r="E6306" s="175"/>
      <c r="F6306" s="165"/>
      <c r="G6306" s="165"/>
      <c r="H6306" s="166"/>
    </row>
    <row r="6307" spans="1:8" x14ac:dyDescent="0.3">
      <c r="A6307" s="173"/>
      <c r="B6307" s="174"/>
      <c r="C6307" s="175"/>
      <c r="D6307" s="152"/>
      <c r="E6307" s="175"/>
      <c r="F6307" s="165"/>
      <c r="G6307" s="165"/>
      <c r="H6307" s="166"/>
    </row>
    <row r="6308" spans="1:8" x14ac:dyDescent="0.3">
      <c r="A6308" s="173"/>
      <c r="B6308" s="174"/>
      <c r="C6308" s="175"/>
      <c r="D6308" s="152"/>
      <c r="E6308" s="175"/>
      <c r="F6308" s="165"/>
      <c r="G6308" s="165"/>
      <c r="H6308" s="166"/>
    </row>
    <row r="6309" spans="1:8" x14ac:dyDescent="0.3">
      <c r="A6309" s="173"/>
      <c r="B6309" s="174"/>
      <c r="C6309" s="175"/>
      <c r="D6309" s="152"/>
      <c r="E6309" s="175"/>
      <c r="F6309" s="165"/>
      <c r="G6309" s="165"/>
      <c r="H6309" s="166"/>
    </row>
    <row r="6310" spans="1:8" x14ac:dyDescent="0.3">
      <c r="A6310" s="173"/>
      <c r="B6310" s="174"/>
      <c r="C6310" s="175"/>
      <c r="D6310" s="152"/>
      <c r="E6310" s="175"/>
      <c r="F6310" s="165"/>
      <c r="G6310" s="165"/>
      <c r="H6310" s="166"/>
    </row>
    <row r="6311" spans="1:8" x14ac:dyDescent="0.3">
      <c r="A6311" s="173"/>
      <c r="B6311" s="174"/>
      <c r="C6311" s="175"/>
      <c r="D6311" s="152"/>
      <c r="E6311" s="175"/>
      <c r="F6311" s="165"/>
      <c r="G6311" s="165"/>
      <c r="H6311" s="166"/>
    </row>
    <row r="6312" spans="1:8" x14ac:dyDescent="0.3">
      <c r="A6312" s="173"/>
      <c r="B6312" s="174"/>
      <c r="C6312" s="175"/>
      <c r="D6312" s="152"/>
      <c r="E6312" s="175"/>
      <c r="F6312" s="165"/>
      <c r="G6312" s="165"/>
      <c r="H6312" s="166"/>
    </row>
    <row r="6313" spans="1:8" x14ac:dyDescent="0.3">
      <c r="A6313" s="173"/>
      <c r="B6313" s="174"/>
      <c r="C6313" s="175"/>
      <c r="D6313" s="152"/>
      <c r="E6313" s="175"/>
      <c r="F6313" s="165"/>
      <c r="G6313" s="165"/>
      <c r="H6313" s="166"/>
    </row>
    <row r="6314" spans="1:8" x14ac:dyDescent="0.3">
      <c r="A6314" s="173"/>
      <c r="B6314" s="174"/>
      <c r="C6314" s="175"/>
      <c r="D6314" s="152"/>
      <c r="E6314" s="175"/>
      <c r="F6314" s="165"/>
      <c r="G6314" s="165"/>
      <c r="H6314" s="166"/>
    </row>
    <row r="6315" spans="1:8" x14ac:dyDescent="0.3">
      <c r="A6315" s="173"/>
      <c r="B6315" s="174"/>
      <c r="C6315" s="175"/>
      <c r="D6315" s="152"/>
      <c r="E6315" s="175"/>
      <c r="F6315" s="165"/>
      <c r="G6315" s="165"/>
      <c r="H6315" s="166"/>
    </row>
    <row r="6316" spans="1:8" x14ac:dyDescent="0.3">
      <c r="A6316" s="173"/>
      <c r="B6316" s="174"/>
      <c r="C6316" s="175"/>
      <c r="D6316" s="152"/>
      <c r="E6316" s="175"/>
      <c r="F6316" s="165"/>
      <c r="G6316" s="165"/>
      <c r="H6316" s="166"/>
    </row>
    <row r="6317" spans="1:8" x14ac:dyDescent="0.3">
      <c r="A6317" s="173"/>
      <c r="B6317" s="174"/>
      <c r="C6317" s="175"/>
      <c r="D6317" s="152"/>
      <c r="E6317" s="175"/>
      <c r="F6317" s="165"/>
      <c r="G6317" s="165"/>
      <c r="H6317" s="166"/>
    </row>
    <row r="6318" spans="1:8" x14ac:dyDescent="0.3">
      <c r="A6318" s="173"/>
      <c r="B6318" s="174"/>
      <c r="C6318" s="175"/>
      <c r="D6318" s="152"/>
      <c r="E6318" s="175"/>
      <c r="F6318" s="165"/>
      <c r="G6318" s="165"/>
      <c r="H6318" s="166"/>
    </row>
    <row r="6319" spans="1:8" x14ac:dyDescent="0.3">
      <c r="A6319" s="27"/>
      <c r="B6319" s="174"/>
      <c r="C6319" s="24"/>
      <c r="D6319" s="152"/>
      <c r="E6319" s="175"/>
      <c r="F6319" s="175"/>
      <c r="G6319" s="162"/>
      <c r="H6319" s="154"/>
    </row>
    <row r="6320" spans="1:8" x14ac:dyDescent="0.3">
      <c r="A6320" s="27"/>
      <c r="B6320" s="174"/>
      <c r="C6320" s="24"/>
      <c r="D6320" s="152"/>
      <c r="E6320" s="25"/>
      <c r="F6320" s="175"/>
      <c r="G6320" s="162"/>
      <c r="H6320" s="154"/>
    </row>
    <row r="6321" spans="1:8" x14ac:dyDescent="0.3">
      <c r="A6321" s="27"/>
      <c r="B6321" s="28"/>
      <c r="C6321" s="24"/>
      <c r="D6321" s="152"/>
      <c r="E6321" s="25"/>
      <c r="F6321" s="175"/>
      <c r="G6321" s="162"/>
      <c r="H6321" s="154"/>
    </row>
    <row r="6322" spans="1:8" x14ac:dyDescent="0.3">
      <c r="A6322" s="27"/>
      <c r="B6322" s="28"/>
      <c r="C6322" s="24"/>
      <c r="D6322" s="25"/>
      <c r="E6322" s="25"/>
      <c r="F6322" s="25"/>
      <c r="G6322" s="28"/>
      <c r="H6322" s="32"/>
    </row>
    <row r="6323" spans="1:8" ht="15.6" x14ac:dyDescent="0.3">
      <c r="A6323" s="448" t="s">
        <v>45</v>
      </c>
      <c r="B6323" s="449"/>
      <c r="C6323" s="24"/>
      <c r="D6323" s="25"/>
      <c r="E6323" s="25"/>
      <c r="F6323" s="447" t="s">
        <v>46</v>
      </c>
      <c r="G6323" s="447"/>
      <c r="H6323" s="66">
        <v>11000</v>
      </c>
    </row>
    <row r="6324" spans="1:8" ht="15.6" x14ac:dyDescent="0.3">
      <c r="A6324" s="497" t="s">
        <v>1310</v>
      </c>
      <c r="B6324" s="498"/>
      <c r="C6324" s="498"/>
      <c r="D6324" s="498"/>
      <c r="E6324" s="498"/>
      <c r="F6324" s="447" t="s">
        <v>47</v>
      </c>
      <c r="G6324" s="447"/>
      <c r="H6324" s="66">
        <f>H6323*9%</f>
        <v>990</v>
      </c>
    </row>
    <row r="6325" spans="1:8" ht="15.6" x14ac:dyDescent="0.3">
      <c r="A6325" s="27"/>
      <c r="B6325" s="28"/>
      <c r="C6325" s="24"/>
      <c r="D6325" s="25"/>
      <c r="E6325" s="25"/>
      <c r="F6325" s="447" t="s">
        <v>48</v>
      </c>
      <c r="G6325" s="447"/>
      <c r="H6325" s="66">
        <f>H6324</f>
        <v>990</v>
      </c>
    </row>
    <row r="6326" spans="1:8" ht="15.6" x14ac:dyDescent="0.3">
      <c r="A6326" s="448" t="s">
        <v>49</v>
      </c>
      <c r="B6326" s="449"/>
      <c r="C6326" s="24"/>
      <c r="D6326" s="25"/>
      <c r="E6326" s="25"/>
      <c r="F6326" s="447" t="s">
        <v>50</v>
      </c>
      <c r="G6326" s="447"/>
      <c r="H6326" s="66">
        <f>H6323+H6324+H6325</f>
        <v>12980</v>
      </c>
    </row>
    <row r="6327" spans="1:8" ht="15.6" x14ac:dyDescent="0.3">
      <c r="A6327" s="90"/>
      <c r="B6327" s="177"/>
      <c r="C6327" s="24"/>
      <c r="D6327" s="25"/>
      <c r="E6327" s="25"/>
      <c r="F6327" s="26"/>
      <c r="G6327" s="26"/>
      <c r="H6327" s="66"/>
    </row>
    <row r="6328" spans="1:8" ht="27" x14ac:dyDescent="0.3">
      <c r="A6328" s="29" t="s">
        <v>22</v>
      </c>
      <c r="B6328" s="30" t="s">
        <v>51</v>
      </c>
      <c r="C6328" s="31" t="s">
        <v>24</v>
      </c>
      <c r="D6328" s="31" t="s">
        <v>25</v>
      </c>
      <c r="E6328" s="528" t="s">
        <v>52</v>
      </c>
      <c r="F6328" s="528"/>
      <c r="G6328" s="28"/>
      <c r="H6328" s="32"/>
    </row>
    <row r="6329" spans="1:8" x14ac:dyDescent="0.3">
      <c r="A6329" s="33">
        <v>0.18</v>
      </c>
      <c r="B6329" s="34">
        <f>H6323</f>
        <v>11000</v>
      </c>
      <c r="C6329" s="35">
        <f>H6324</f>
        <v>990</v>
      </c>
      <c r="D6329" s="35">
        <f>H6325</f>
        <v>990</v>
      </c>
      <c r="E6329" s="529">
        <f>C6329+D6329</f>
        <v>1980</v>
      </c>
      <c r="F6329" s="530"/>
      <c r="G6329" s="28"/>
      <c r="H6329" s="32"/>
    </row>
    <row r="6330" spans="1:8" x14ac:dyDescent="0.3">
      <c r="A6330" s="452" t="s">
        <v>1309</v>
      </c>
      <c r="B6330" s="453"/>
      <c r="C6330" s="453"/>
      <c r="D6330" s="453"/>
      <c r="E6330" s="453"/>
      <c r="F6330" s="453"/>
      <c r="G6330" s="453"/>
      <c r="H6330" s="454"/>
    </row>
    <row r="6331" spans="1:8" ht="15.6" x14ac:dyDescent="0.3">
      <c r="A6331" s="455" t="s">
        <v>53</v>
      </c>
      <c r="B6331" s="456"/>
      <c r="C6331" s="456"/>
      <c r="D6331" s="457"/>
      <c r="E6331" s="458" t="s">
        <v>54</v>
      </c>
      <c r="F6331" s="459"/>
      <c r="G6331" s="459"/>
      <c r="H6331" s="460"/>
    </row>
    <row r="6332" spans="1:8" x14ac:dyDescent="0.3">
      <c r="A6332" s="461" t="s">
        <v>55</v>
      </c>
      <c r="B6332" s="462"/>
      <c r="C6332" s="462"/>
      <c r="D6332" s="463"/>
      <c r="E6332" s="39"/>
      <c r="F6332" s="25"/>
      <c r="G6332" s="28"/>
      <c r="H6332" s="32"/>
    </row>
    <row r="6333" spans="1:8" x14ac:dyDescent="0.3">
      <c r="A6333" s="461" t="s">
        <v>56</v>
      </c>
      <c r="B6333" s="462"/>
      <c r="C6333" s="462"/>
      <c r="D6333" s="463"/>
      <c r="E6333" s="39"/>
      <c r="F6333" s="25"/>
      <c r="G6333" s="28"/>
      <c r="H6333" s="32"/>
    </row>
    <row r="6334" spans="1:8" x14ac:dyDescent="0.3">
      <c r="A6334" s="461" t="s">
        <v>57</v>
      </c>
      <c r="B6334" s="462"/>
      <c r="C6334" s="462"/>
      <c r="D6334" s="463"/>
      <c r="E6334" s="25"/>
      <c r="F6334" s="25"/>
      <c r="G6334" s="28"/>
      <c r="H6334" s="32"/>
    </row>
    <row r="6335" spans="1:8" ht="15.6" x14ac:dyDescent="0.3">
      <c r="A6335" s="464" t="s">
        <v>58</v>
      </c>
      <c r="B6335" s="465"/>
      <c r="C6335" s="465"/>
      <c r="D6335" s="510"/>
      <c r="E6335" s="466" t="s">
        <v>59</v>
      </c>
      <c r="F6335" s="467"/>
      <c r="G6335" s="467"/>
      <c r="H6335" s="468"/>
    </row>
    <row r="6340" spans="1:8" ht="44.4" x14ac:dyDescent="0.7">
      <c r="A6340" s="469" t="s">
        <v>0</v>
      </c>
      <c r="B6340" s="470"/>
      <c r="C6340" s="470"/>
      <c r="D6340" s="470"/>
      <c r="E6340" s="531" t="s">
        <v>1</v>
      </c>
      <c r="F6340" s="544"/>
      <c r="G6340" s="544"/>
      <c r="H6340" s="545"/>
    </row>
    <row r="6341" spans="1:8" ht="20.399999999999999" x14ac:dyDescent="0.35">
      <c r="A6341" s="156"/>
      <c r="B6341" s="476" t="s">
        <v>2</v>
      </c>
      <c r="C6341" s="476"/>
      <c r="D6341" s="476"/>
      <c r="E6341" s="546"/>
      <c r="F6341" s="546"/>
      <c r="G6341" s="546"/>
      <c r="H6341" s="547"/>
    </row>
    <row r="6342" spans="1:8" x14ac:dyDescent="0.3">
      <c r="A6342" s="157" t="s">
        <v>3</v>
      </c>
      <c r="B6342" s="137"/>
      <c r="C6342" s="136"/>
      <c r="D6342" s="499" t="s">
        <v>4</v>
      </c>
      <c r="E6342" s="499"/>
      <c r="F6342" s="137"/>
      <c r="G6342" s="137" t="s">
        <v>134</v>
      </c>
      <c r="H6342" s="120"/>
    </row>
    <row r="6343" spans="1:8" ht="15.6" x14ac:dyDescent="0.3">
      <c r="A6343" s="158" t="s">
        <v>6</v>
      </c>
      <c r="B6343" s="5"/>
      <c r="C6343" s="481" t="s">
        <v>7</v>
      </c>
      <c r="D6343" s="481"/>
      <c r="E6343" s="482">
        <v>138</v>
      </c>
      <c r="F6343" s="482"/>
      <c r="G6343" s="7" t="s">
        <v>8</v>
      </c>
      <c r="H6343" s="122">
        <v>45972</v>
      </c>
    </row>
    <row r="6344" spans="1:8" ht="15.6" x14ac:dyDescent="0.3">
      <c r="A6344" s="551" t="s">
        <v>319</v>
      </c>
      <c r="B6344" s="552"/>
      <c r="C6344" s="481" t="s">
        <v>10</v>
      </c>
      <c r="D6344" s="481"/>
      <c r="E6344" s="482"/>
      <c r="F6344" s="482"/>
      <c r="G6344" s="7" t="s">
        <v>8</v>
      </c>
      <c r="H6344" s="9"/>
    </row>
    <row r="6345" spans="1:8" ht="15" x14ac:dyDescent="0.3">
      <c r="A6345" s="517" t="s">
        <v>320</v>
      </c>
      <c r="B6345" s="553"/>
      <c r="C6345" s="483" t="s">
        <v>12</v>
      </c>
      <c r="D6345" s="484"/>
      <c r="E6345" s="584"/>
      <c r="F6345" s="585"/>
      <c r="G6345" s="10" t="s">
        <v>8</v>
      </c>
      <c r="H6345" s="82"/>
    </row>
    <row r="6346" spans="1:8" ht="15.6" x14ac:dyDescent="0.3">
      <c r="A6346" s="556" t="s">
        <v>321</v>
      </c>
      <c r="B6346" s="557"/>
      <c r="C6346" s="481" t="s">
        <v>15</v>
      </c>
      <c r="D6346" s="481"/>
      <c r="E6346" s="502" t="s">
        <v>322</v>
      </c>
      <c r="F6346" s="503"/>
      <c r="G6346" s="503"/>
      <c r="H6346" s="504"/>
    </row>
    <row r="6347" spans="1:8" ht="15.6" x14ac:dyDescent="0.3">
      <c r="A6347" s="558" t="s">
        <v>1178</v>
      </c>
      <c r="B6347" s="559"/>
      <c r="C6347" s="489"/>
      <c r="D6347" s="490"/>
      <c r="E6347" s="490"/>
      <c r="F6347" s="490"/>
      <c r="G6347" s="490"/>
      <c r="H6347" s="491"/>
    </row>
    <row r="6348" spans="1:8" ht="15" x14ac:dyDescent="0.3">
      <c r="A6348" s="492" t="s">
        <v>17</v>
      </c>
      <c r="B6348" s="494" t="s">
        <v>18</v>
      </c>
      <c r="C6348" s="494" t="s">
        <v>19</v>
      </c>
      <c r="D6348" s="494" t="s">
        <v>20</v>
      </c>
      <c r="E6348" s="494" t="s">
        <v>21</v>
      </c>
      <c r="F6348" s="494" t="s">
        <v>22</v>
      </c>
      <c r="G6348" s="494"/>
      <c r="H6348" s="493" t="s">
        <v>23</v>
      </c>
    </row>
    <row r="6349" spans="1:8" ht="27.6" x14ac:dyDescent="0.3">
      <c r="A6349" s="492"/>
      <c r="B6349" s="494"/>
      <c r="C6349" s="494"/>
      <c r="D6349" s="494"/>
      <c r="E6349" s="494"/>
      <c r="F6349" s="53" t="s">
        <v>24</v>
      </c>
      <c r="G6349" s="53" t="s">
        <v>25</v>
      </c>
      <c r="H6349" s="527"/>
    </row>
    <row r="6350" spans="1:8" x14ac:dyDescent="0.3">
      <c r="A6350" s="55">
        <v>1</v>
      </c>
      <c r="B6350" s="130" t="s">
        <v>1179</v>
      </c>
      <c r="C6350" s="55">
        <v>1</v>
      </c>
      <c r="D6350" s="86">
        <v>998719</v>
      </c>
      <c r="E6350" s="55">
        <v>2200</v>
      </c>
      <c r="F6350" s="93">
        <f>E6350*C6350*9%</f>
        <v>198</v>
      </c>
      <c r="G6350" s="93">
        <f>F6350</f>
        <v>198</v>
      </c>
      <c r="H6350" s="62">
        <f>G6350+F6350+E6350*C6350</f>
        <v>2596</v>
      </c>
    </row>
    <row r="6351" spans="1:8" x14ac:dyDescent="0.3">
      <c r="A6351" s="57"/>
      <c r="B6351" s="60"/>
      <c r="C6351" s="57"/>
      <c r="D6351" s="83"/>
      <c r="E6351" s="57"/>
      <c r="F6351" s="58"/>
      <c r="G6351" s="58"/>
      <c r="H6351" s="59"/>
    </row>
    <row r="6352" spans="1:8" x14ac:dyDescent="0.3">
      <c r="A6352" s="57"/>
      <c r="B6352" s="60"/>
      <c r="C6352" s="57"/>
      <c r="D6352" s="83"/>
      <c r="E6352" s="57"/>
      <c r="F6352" s="58"/>
      <c r="G6352" s="58"/>
      <c r="H6352" s="59"/>
    </row>
    <row r="6353" spans="1:8" x14ac:dyDescent="0.3">
      <c r="A6353" s="57"/>
      <c r="B6353" s="60"/>
      <c r="C6353" s="57"/>
      <c r="D6353" s="83"/>
      <c r="E6353" s="57"/>
      <c r="F6353" s="58"/>
      <c r="G6353" s="58"/>
      <c r="H6353" s="59"/>
    </row>
    <row r="6354" spans="1:8" x14ac:dyDescent="0.3">
      <c r="A6354" s="27"/>
      <c r="B6354" s="88"/>
      <c r="C6354" s="24"/>
      <c r="D6354" s="89"/>
      <c r="E6354" s="24"/>
      <c r="F6354" s="133"/>
      <c r="G6354" s="133"/>
      <c r="H6354" s="134"/>
    </row>
    <row r="6355" spans="1:8" x14ac:dyDescent="0.3">
      <c r="A6355" s="27"/>
      <c r="B6355" s="88"/>
      <c r="C6355" s="24"/>
      <c r="D6355" s="89"/>
      <c r="E6355" s="24"/>
      <c r="F6355" s="133"/>
      <c r="G6355" s="133"/>
      <c r="H6355" s="134"/>
    </row>
    <row r="6356" spans="1:8" x14ac:dyDescent="0.3">
      <c r="A6356" s="27"/>
      <c r="B6356" s="88"/>
      <c r="C6356" s="24"/>
      <c r="D6356" s="89"/>
      <c r="E6356" s="24"/>
      <c r="F6356" s="133"/>
      <c r="G6356" s="133"/>
      <c r="H6356" s="134"/>
    </row>
    <row r="6357" spans="1:8" x14ac:dyDescent="0.3">
      <c r="A6357" s="27"/>
      <c r="B6357" s="88"/>
      <c r="C6357" s="24"/>
      <c r="D6357" s="89"/>
      <c r="E6357" s="24"/>
      <c r="F6357" s="133"/>
      <c r="G6357" s="133"/>
      <c r="H6357" s="134"/>
    </row>
    <row r="6358" spans="1:8" x14ac:dyDescent="0.3">
      <c r="A6358" s="27"/>
      <c r="B6358" s="88"/>
      <c r="C6358" s="24"/>
      <c r="D6358" s="89"/>
      <c r="E6358" s="24"/>
      <c r="F6358" s="133"/>
      <c r="G6358" s="133"/>
      <c r="H6358" s="134"/>
    </row>
    <row r="6359" spans="1:8" x14ac:dyDescent="0.3">
      <c r="A6359" s="27"/>
      <c r="B6359" s="88"/>
      <c r="C6359" s="24"/>
      <c r="D6359" s="89"/>
      <c r="E6359" s="24"/>
      <c r="F6359" s="133"/>
      <c r="G6359" s="133"/>
      <c r="H6359" s="134"/>
    </row>
    <row r="6360" spans="1:8" x14ac:dyDescent="0.3">
      <c r="A6360" s="27"/>
      <c r="B6360" s="28"/>
      <c r="C6360" s="24"/>
      <c r="D6360" s="89"/>
      <c r="E6360" s="25"/>
      <c r="F6360" s="25"/>
      <c r="G6360" s="25"/>
      <c r="H6360" s="32"/>
    </row>
    <row r="6361" spans="1:8" x14ac:dyDescent="0.3">
      <c r="A6361" s="27"/>
      <c r="B6361" s="28"/>
      <c r="C6361" s="24"/>
      <c r="D6361" s="89"/>
      <c r="E6361" s="25"/>
      <c r="F6361" s="25"/>
      <c r="G6361" s="25"/>
      <c r="H6361" s="32"/>
    </row>
    <row r="6362" spans="1:8" x14ac:dyDescent="0.3">
      <c r="A6362" s="27"/>
      <c r="B6362" s="28"/>
      <c r="C6362" s="24"/>
      <c r="D6362" s="89"/>
      <c r="E6362" s="25"/>
      <c r="F6362" s="25"/>
      <c r="G6362" s="25"/>
      <c r="H6362" s="32"/>
    </row>
    <row r="6363" spans="1:8" x14ac:dyDescent="0.3">
      <c r="A6363" s="27"/>
      <c r="B6363" s="28"/>
      <c r="C6363" s="24"/>
      <c r="D6363" s="89"/>
      <c r="E6363" s="25"/>
      <c r="F6363" s="25"/>
      <c r="G6363" s="25"/>
      <c r="H6363" s="32"/>
    </row>
    <row r="6364" spans="1:8" x14ac:dyDescent="0.3">
      <c r="A6364" s="27"/>
      <c r="B6364" s="28"/>
      <c r="C6364" s="24"/>
      <c r="D6364" s="89"/>
      <c r="E6364" s="25"/>
      <c r="F6364" s="25"/>
      <c r="G6364" s="25"/>
      <c r="H6364" s="32"/>
    </row>
    <row r="6365" spans="1:8" x14ac:dyDescent="0.3">
      <c r="A6365" s="27"/>
      <c r="B6365" s="28"/>
      <c r="C6365" s="24"/>
      <c r="D6365" s="89"/>
      <c r="E6365" s="25"/>
      <c r="F6365" s="25"/>
      <c r="G6365" s="25"/>
      <c r="H6365" s="32"/>
    </row>
    <row r="6366" spans="1:8" x14ac:dyDescent="0.3">
      <c r="A6366" s="27"/>
      <c r="B6366" s="28"/>
      <c r="C6366" s="24"/>
      <c r="D6366" s="89"/>
      <c r="E6366" s="25"/>
      <c r="F6366" s="25"/>
      <c r="G6366" s="25"/>
      <c r="H6366" s="32"/>
    </row>
    <row r="6367" spans="1:8" x14ac:dyDescent="0.3">
      <c r="A6367" s="27"/>
      <c r="B6367" s="28"/>
      <c r="C6367" s="24"/>
      <c r="D6367" s="89"/>
      <c r="E6367" s="25"/>
      <c r="F6367" s="25"/>
      <c r="G6367" s="25"/>
      <c r="H6367" s="32"/>
    </row>
    <row r="6368" spans="1:8" x14ac:dyDescent="0.3">
      <c r="A6368" s="159"/>
      <c r="B6368" s="28"/>
      <c r="C6368" s="24"/>
      <c r="D6368" s="25"/>
      <c r="E6368" s="25"/>
      <c r="F6368" s="28"/>
      <c r="G6368" s="28"/>
      <c r="H6368" s="32"/>
    </row>
    <row r="6369" spans="1:8" x14ac:dyDescent="0.3">
      <c r="A6369" s="159"/>
      <c r="B6369" s="28"/>
      <c r="C6369" s="24"/>
      <c r="D6369" s="25"/>
      <c r="E6369" s="25"/>
      <c r="F6369" s="28"/>
      <c r="G6369" s="28"/>
      <c r="H6369" s="32"/>
    </row>
    <row r="6370" spans="1:8" x14ac:dyDescent="0.3">
      <c r="A6370" s="159"/>
      <c r="B6370" s="28"/>
      <c r="C6370" s="24"/>
      <c r="D6370" s="25"/>
      <c r="E6370" s="25"/>
      <c r="F6370" s="28"/>
      <c r="G6370" s="28"/>
      <c r="H6370" s="32"/>
    </row>
    <row r="6371" spans="1:8" ht="15.6" x14ac:dyDescent="0.3">
      <c r="A6371" s="64" t="s">
        <v>45</v>
      </c>
      <c r="B6371" s="28"/>
      <c r="C6371" s="24"/>
      <c r="D6371" s="25"/>
      <c r="E6371" s="25"/>
      <c r="F6371" s="447" t="s">
        <v>46</v>
      </c>
      <c r="G6371" s="447"/>
      <c r="H6371" s="66">
        <v>2200</v>
      </c>
    </row>
    <row r="6372" spans="1:8" ht="15.6" x14ac:dyDescent="0.3">
      <c r="A6372" s="497" t="s">
        <v>1180</v>
      </c>
      <c r="B6372" s="498"/>
      <c r="C6372" s="498"/>
      <c r="D6372" s="498"/>
      <c r="E6372" s="498"/>
      <c r="F6372" s="447" t="s">
        <v>47</v>
      </c>
      <c r="G6372" s="447"/>
      <c r="H6372" s="66">
        <f>H6371*9%</f>
        <v>198</v>
      </c>
    </row>
    <row r="6373" spans="1:8" ht="15.6" x14ac:dyDescent="0.3">
      <c r="A6373" s="159"/>
      <c r="B6373" s="28"/>
      <c r="C6373" s="24"/>
      <c r="D6373" s="25"/>
      <c r="E6373" s="25"/>
      <c r="F6373" s="447" t="s">
        <v>48</v>
      </c>
      <c r="G6373" s="447"/>
      <c r="H6373" s="66">
        <f>H6371*9%</f>
        <v>198</v>
      </c>
    </row>
    <row r="6374" spans="1:8" ht="15.6" x14ac:dyDescent="0.3">
      <c r="A6374" s="64" t="s">
        <v>49</v>
      </c>
      <c r="B6374" s="28"/>
      <c r="C6374" s="24"/>
      <c r="D6374" s="25"/>
      <c r="E6374" s="25"/>
      <c r="F6374" s="447" t="s">
        <v>50</v>
      </c>
      <c r="G6374" s="447"/>
      <c r="H6374" s="66">
        <f>H6371+H6372+H6373</f>
        <v>2596</v>
      </c>
    </row>
    <row r="6375" spans="1:8" ht="26.4" x14ac:dyDescent="0.3">
      <c r="A6375" s="160" t="s">
        <v>22</v>
      </c>
      <c r="B6375" s="71" t="s">
        <v>51</v>
      </c>
      <c r="C6375" s="161" t="s">
        <v>24</v>
      </c>
      <c r="D6375" s="161" t="s">
        <v>25</v>
      </c>
      <c r="E6375" s="528" t="s">
        <v>52</v>
      </c>
      <c r="F6375" s="528"/>
      <c r="G6375" s="162"/>
      <c r="H6375" s="154"/>
    </row>
    <row r="6376" spans="1:8" x14ac:dyDescent="0.3">
      <c r="A6376" s="72">
        <v>0.18</v>
      </c>
      <c r="B6376" s="73">
        <f>H6371</f>
        <v>2200</v>
      </c>
      <c r="C6376" s="74">
        <f>H6372</f>
        <v>198</v>
      </c>
      <c r="D6376" s="74">
        <f>H6372</f>
        <v>198</v>
      </c>
      <c r="E6376" s="507">
        <f>C6376+D6376</f>
        <v>396</v>
      </c>
      <c r="F6376" s="507"/>
      <c r="G6376" s="74"/>
      <c r="H6376" s="75"/>
    </row>
    <row r="6377" spans="1:8" x14ac:dyDescent="0.3">
      <c r="A6377" s="508" t="s">
        <v>1181</v>
      </c>
      <c r="B6377" s="509"/>
      <c r="C6377" s="509"/>
      <c r="D6377" s="509"/>
      <c r="E6377" s="453"/>
      <c r="F6377" s="453"/>
      <c r="G6377" s="453"/>
      <c r="H6377" s="454"/>
    </row>
    <row r="6378" spans="1:8" ht="15.6" x14ac:dyDescent="0.3">
      <c r="A6378" s="455" t="s">
        <v>53</v>
      </c>
      <c r="B6378" s="456"/>
      <c r="C6378" s="456"/>
      <c r="D6378" s="457"/>
      <c r="E6378" s="458" t="s">
        <v>54</v>
      </c>
      <c r="F6378" s="459"/>
      <c r="G6378" s="459"/>
      <c r="H6378" s="460"/>
    </row>
    <row r="6379" spans="1:8" x14ac:dyDescent="0.3">
      <c r="A6379" s="461" t="s">
        <v>55</v>
      </c>
      <c r="B6379" s="462"/>
      <c r="C6379" s="462"/>
      <c r="D6379" s="463"/>
      <c r="E6379" s="39"/>
      <c r="F6379" s="25"/>
      <c r="G6379" s="28"/>
      <c r="H6379" s="32"/>
    </row>
    <row r="6380" spans="1:8" x14ac:dyDescent="0.3">
      <c r="A6380" s="461" t="s">
        <v>56</v>
      </c>
      <c r="B6380" s="462"/>
      <c r="C6380" s="462"/>
      <c r="D6380" s="463"/>
      <c r="E6380" s="39"/>
      <c r="F6380" s="25"/>
      <c r="G6380" s="28"/>
      <c r="H6380" s="32"/>
    </row>
    <row r="6381" spans="1:8" x14ac:dyDescent="0.3">
      <c r="A6381" s="461" t="s">
        <v>57</v>
      </c>
      <c r="B6381" s="462"/>
      <c r="C6381" s="462"/>
      <c r="D6381" s="463"/>
      <c r="E6381" s="25"/>
      <c r="F6381" s="25"/>
      <c r="G6381" s="28"/>
      <c r="H6381" s="32"/>
    </row>
    <row r="6382" spans="1:8" ht="15.6" x14ac:dyDescent="0.3">
      <c r="A6382" s="464" t="s">
        <v>58</v>
      </c>
      <c r="B6382" s="465"/>
      <c r="C6382" s="465"/>
      <c r="D6382" s="510"/>
      <c r="E6382" s="466" t="s">
        <v>59</v>
      </c>
      <c r="F6382" s="467"/>
      <c r="G6382" s="467"/>
      <c r="H6382" s="468"/>
    </row>
    <row r="6386" spans="1:8" ht="44.4" x14ac:dyDescent="0.7">
      <c r="A6386" s="469" t="s">
        <v>0</v>
      </c>
      <c r="B6386" s="470"/>
      <c r="C6386" s="470"/>
      <c r="D6386" s="470"/>
      <c r="E6386" s="531" t="s">
        <v>1</v>
      </c>
      <c r="F6386" s="544"/>
      <c r="G6386" s="544"/>
      <c r="H6386" s="545"/>
    </row>
    <row r="6387" spans="1:8" ht="20.399999999999999" x14ac:dyDescent="0.35">
      <c r="A6387" s="156"/>
      <c r="B6387" s="476" t="s">
        <v>2</v>
      </c>
      <c r="C6387" s="476"/>
      <c r="D6387" s="476"/>
      <c r="E6387" s="546"/>
      <c r="F6387" s="546"/>
      <c r="G6387" s="546"/>
      <c r="H6387" s="547"/>
    </row>
    <row r="6388" spans="1:8" x14ac:dyDescent="0.3">
      <c r="A6388" s="157" t="s">
        <v>3</v>
      </c>
      <c r="B6388" s="137"/>
      <c r="C6388" s="136"/>
      <c r="D6388" s="499" t="s">
        <v>4</v>
      </c>
      <c r="E6388" s="499"/>
      <c r="F6388" s="137"/>
      <c r="G6388" s="137" t="s">
        <v>134</v>
      </c>
      <c r="H6388" s="120"/>
    </row>
    <row r="6389" spans="1:8" ht="15.6" x14ac:dyDescent="0.3">
      <c r="A6389" s="158" t="s">
        <v>6</v>
      </c>
      <c r="B6389" s="5"/>
      <c r="C6389" s="481" t="s">
        <v>7</v>
      </c>
      <c r="D6389" s="481"/>
      <c r="E6389" s="482">
        <v>139</v>
      </c>
      <c r="F6389" s="482"/>
      <c r="G6389" s="7" t="s">
        <v>8</v>
      </c>
      <c r="H6389" s="122">
        <v>45972</v>
      </c>
    </row>
    <row r="6390" spans="1:8" ht="15.6" x14ac:dyDescent="0.3">
      <c r="A6390" s="551" t="s">
        <v>1183</v>
      </c>
      <c r="B6390" s="552"/>
      <c r="C6390" s="481" t="s">
        <v>10</v>
      </c>
      <c r="D6390" s="481"/>
      <c r="E6390" s="482"/>
      <c r="F6390" s="482"/>
      <c r="G6390" s="7" t="s">
        <v>8</v>
      </c>
      <c r="H6390" s="9"/>
    </row>
    <row r="6391" spans="1:8" ht="15" x14ac:dyDescent="0.3">
      <c r="A6391" s="517" t="s">
        <v>1395</v>
      </c>
      <c r="B6391" s="553"/>
      <c r="C6391" s="483" t="s">
        <v>12</v>
      </c>
      <c r="D6391" s="484"/>
      <c r="E6391" s="584"/>
      <c r="F6391" s="585"/>
      <c r="G6391" s="10" t="s">
        <v>8</v>
      </c>
      <c r="H6391" s="82"/>
    </row>
    <row r="6392" spans="1:8" ht="15.6" x14ac:dyDescent="0.3">
      <c r="A6392" s="556" t="s">
        <v>153</v>
      </c>
      <c r="B6392" s="557"/>
      <c r="C6392" s="481" t="s">
        <v>15</v>
      </c>
      <c r="D6392" s="481"/>
      <c r="E6392" s="502" t="s">
        <v>1182</v>
      </c>
      <c r="F6392" s="503"/>
      <c r="G6392" s="503"/>
      <c r="H6392" s="504"/>
    </row>
    <row r="6393" spans="1:8" ht="15.6" x14ac:dyDescent="0.3">
      <c r="A6393" s="558" t="s">
        <v>1184</v>
      </c>
      <c r="B6393" s="559"/>
      <c r="C6393" s="489"/>
      <c r="D6393" s="490"/>
      <c r="E6393" s="490"/>
      <c r="F6393" s="490"/>
      <c r="G6393" s="490"/>
      <c r="H6393" s="491"/>
    </row>
    <row r="6394" spans="1:8" ht="15" x14ac:dyDescent="0.3">
      <c r="A6394" s="492" t="s">
        <v>17</v>
      </c>
      <c r="B6394" s="494" t="s">
        <v>18</v>
      </c>
      <c r="C6394" s="494" t="s">
        <v>19</v>
      </c>
      <c r="D6394" s="494" t="s">
        <v>20</v>
      </c>
      <c r="E6394" s="494" t="s">
        <v>21</v>
      </c>
      <c r="F6394" s="494" t="s">
        <v>22</v>
      </c>
      <c r="G6394" s="494"/>
      <c r="H6394" s="493" t="s">
        <v>23</v>
      </c>
    </row>
    <row r="6395" spans="1:8" ht="27.6" x14ac:dyDescent="0.3">
      <c r="A6395" s="492"/>
      <c r="B6395" s="494"/>
      <c r="C6395" s="494"/>
      <c r="D6395" s="494"/>
      <c r="E6395" s="494"/>
      <c r="F6395" s="53" t="s">
        <v>24</v>
      </c>
      <c r="G6395" s="53" t="s">
        <v>25</v>
      </c>
      <c r="H6395" s="527"/>
    </row>
    <row r="6396" spans="1:8" x14ac:dyDescent="0.3">
      <c r="A6396" s="55">
        <v>1</v>
      </c>
      <c r="B6396" s="130" t="s">
        <v>1185</v>
      </c>
      <c r="C6396" s="55">
        <v>1</v>
      </c>
      <c r="D6396" s="86">
        <v>998719</v>
      </c>
      <c r="E6396" s="55">
        <v>11000</v>
      </c>
      <c r="F6396" s="93">
        <f>E6396*C6396*9%</f>
        <v>990</v>
      </c>
      <c r="G6396" s="93">
        <f>F6396</f>
        <v>990</v>
      </c>
      <c r="H6396" s="62">
        <f>G6396+F6396+E6396*C6396</f>
        <v>12980</v>
      </c>
    </row>
    <row r="6397" spans="1:8" x14ac:dyDescent="0.3">
      <c r="A6397" s="57"/>
      <c r="B6397" s="60"/>
      <c r="C6397" s="57"/>
      <c r="D6397" s="83"/>
      <c r="E6397" s="57"/>
      <c r="F6397" s="58"/>
      <c r="G6397" s="58"/>
      <c r="H6397" s="59"/>
    </row>
    <row r="6398" spans="1:8" x14ac:dyDescent="0.3">
      <c r="A6398" s="57"/>
      <c r="B6398" s="60"/>
      <c r="C6398" s="57"/>
      <c r="D6398" s="83"/>
      <c r="E6398" s="57"/>
      <c r="F6398" s="58"/>
      <c r="G6398" s="58"/>
      <c r="H6398" s="59"/>
    </row>
    <row r="6399" spans="1:8" x14ac:dyDescent="0.3">
      <c r="A6399" s="57"/>
      <c r="B6399" s="60"/>
      <c r="C6399" s="57"/>
      <c r="D6399" s="83"/>
      <c r="E6399" s="57"/>
      <c r="F6399" s="58"/>
      <c r="G6399" s="58"/>
      <c r="H6399" s="59"/>
    </row>
    <row r="6400" spans="1:8" x14ac:dyDescent="0.3">
      <c r="A6400" s="27"/>
      <c r="B6400" s="88"/>
      <c r="C6400" s="24"/>
      <c r="D6400" s="89"/>
      <c r="E6400" s="24"/>
      <c r="F6400" s="133"/>
      <c r="G6400" s="133"/>
      <c r="H6400" s="134"/>
    </row>
    <row r="6401" spans="1:8" x14ac:dyDescent="0.3">
      <c r="A6401" s="27"/>
      <c r="B6401" s="88"/>
      <c r="C6401" s="24"/>
      <c r="D6401" s="89"/>
      <c r="E6401" s="24"/>
      <c r="F6401" s="133"/>
      <c r="G6401" s="133"/>
      <c r="H6401" s="134"/>
    </row>
    <row r="6402" spans="1:8" x14ac:dyDescent="0.3">
      <c r="A6402" s="27"/>
      <c r="B6402" s="88"/>
      <c r="C6402" s="24"/>
      <c r="D6402" s="89"/>
      <c r="E6402" s="24"/>
      <c r="F6402" s="133"/>
      <c r="G6402" s="133"/>
      <c r="H6402" s="134"/>
    </row>
    <row r="6403" spans="1:8" x14ac:dyDescent="0.3">
      <c r="A6403" s="27"/>
      <c r="B6403" s="88"/>
      <c r="C6403" s="24"/>
      <c r="D6403" s="89"/>
      <c r="E6403" s="24"/>
      <c r="F6403" s="133"/>
      <c r="G6403" s="133"/>
      <c r="H6403" s="134"/>
    </row>
    <row r="6404" spans="1:8" x14ac:dyDescent="0.3">
      <c r="A6404" s="27"/>
      <c r="B6404" s="88"/>
      <c r="C6404" s="24"/>
      <c r="D6404" s="89"/>
      <c r="E6404" s="24"/>
      <c r="F6404" s="133"/>
      <c r="G6404" s="133"/>
      <c r="H6404" s="134"/>
    </row>
    <row r="6405" spans="1:8" x14ac:dyDescent="0.3">
      <c r="A6405" s="27"/>
      <c r="B6405" s="88"/>
      <c r="C6405" s="24"/>
      <c r="D6405" s="89"/>
      <c r="E6405" s="24"/>
      <c r="F6405" s="133"/>
      <c r="G6405" s="133"/>
      <c r="H6405" s="134"/>
    </row>
    <row r="6406" spans="1:8" x14ac:dyDescent="0.3">
      <c r="A6406" s="27"/>
      <c r="B6406" s="28"/>
      <c r="C6406" s="24"/>
      <c r="D6406" s="89"/>
      <c r="E6406" s="25"/>
      <c r="F6406" s="25"/>
      <c r="G6406" s="25"/>
      <c r="H6406" s="32"/>
    </row>
    <row r="6407" spans="1:8" x14ac:dyDescent="0.3">
      <c r="A6407" s="27"/>
      <c r="B6407" s="28"/>
      <c r="C6407" s="24"/>
      <c r="D6407" s="89"/>
      <c r="E6407" s="25"/>
      <c r="F6407" s="25"/>
      <c r="G6407" s="25"/>
      <c r="H6407" s="32"/>
    </row>
    <row r="6408" spans="1:8" x14ac:dyDescent="0.3">
      <c r="A6408" s="27"/>
      <c r="B6408" s="28"/>
      <c r="C6408" s="24"/>
      <c r="D6408" s="89"/>
      <c r="E6408" s="25"/>
      <c r="F6408" s="25"/>
      <c r="G6408" s="25"/>
      <c r="H6408" s="32"/>
    </row>
    <row r="6409" spans="1:8" x14ac:dyDescent="0.3">
      <c r="A6409" s="27"/>
      <c r="B6409" s="28"/>
      <c r="C6409" s="24"/>
      <c r="D6409" s="89"/>
      <c r="E6409" s="25"/>
      <c r="F6409" s="25"/>
      <c r="G6409" s="25"/>
      <c r="H6409" s="32"/>
    </row>
    <row r="6410" spans="1:8" x14ac:dyDescent="0.3">
      <c r="A6410" s="27"/>
      <c r="B6410" s="28"/>
      <c r="C6410" s="24"/>
      <c r="D6410" s="89"/>
      <c r="E6410" s="25"/>
      <c r="F6410" s="25"/>
      <c r="G6410" s="25"/>
      <c r="H6410" s="32"/>
    </row>
    <row r="6411" spans="1:8" x14ac:dyDescent="0.3">
      <c r="A6411" s="27"/>
      <c r="B6411" s="28"/>
      <c r="C6411" s="24"/>
      <c r="D6411" s="89"/>
      <c r="E6411" s="25"/>
      <c r="F6411" s="25"/>
      <c r="G6411" s="25"/>
      <c r="H6411" s="32"/>
    </row>
    <row r="6412" spans="1:8" x14ac:dyDescent="0.3">
      <c r="A6412" s="27"/>
      <c r="B6412" s="28"/>
      <c r="C6412" s="24"/>
      <c r="D6412" s="89"/>
      <c r="E6412" s="25"/>
      <c r="F6412" s="25"/>
      <c r="G6412" s="25"/>
      <c r="H6412" s="32"/>
    </row>
    <row r="6413" spans="1:8" x14ac:dyDescent="0.3">
      <c r="A6413" s="27"/>
      <c r="B6413" s="28"/>
      <c r="C6413" s="24"/>
      <c r="D6413" s="89"/>
      <c r="E6413" s="25"/>
      <c r="F6413" s="25"/>
      <c r="G6413" s="25"/>
      <c r="H6413" s="32"/>
    </row>
    <row r="6414" spans="1:8" x14ac:dyDescent="0.3">
      <c r="A6414" s="159"/>
      <c r="B6414" s="28"/>
      <c r="C6414" s="24"/>
      <c r="D6414" s="25"/>
      <c r="E6414" s="25"/>
      <c r="F6414" s="28"/>
      <c r="G6414" s="28"/>
      <c r="H6414" s="32"/>
    </row>
    <row r="6415" spans="1:8" x14ac:dyDescent="0.3">
      <c r="A6415" s="159"/>
      <c r="B6415" s="28"/>
      <c r="C6415" s="24"/>
      <c r="D6415" s="25"/>
      <c r="E6415" s="25"/>
      <c r="F6415" s="28"/>
      <c r="G6415" s="28"/>
      <c r="H6415" s="32"/>
    </row>
    <row r="6416" spans="1:8" x14ac:dyDescent="0.3">
      <c r="A6416" s="159"/>
      <c r="B6416" s="28"/>
      <c r="C6416" s="24"/>
      <c r="D6416" s="25"/>
      <c r="E6416" s="25"/>
      <c r="F6416" s="28"/>
      <c r="G6416" s="28"/>
      <c r="H6416" s="32"/>
    </row>
    <row r="6417" spans="1:8" ht="15.6" x14ac:dyDescent="0.3">
      <c r="A6417" s="64" t="s">
        <v>45</v>
      </c>
      <c r="B6417" s="28"/>
      <c r="C6417" s="24"/>
      <c r="D6417" s="25"/>
      <c r="E6417" s="25"/>
      <c r="F6417" s="447" t="s">
        <v>46</v>
      </c>
      <c r="G6417" s="447"/>
      <c r="H6417" s="66">
        <v>11000</v>
      </c>
    </row>
    <row r="6418" spans="1:8" ht="15.6" x14ac:dyDescent="0.3">
      <c r="A6418" s="497" t="s">
        <v>1186</v>
      </c>
      <c r="B6418" s="498"/>
      <c r="C6418" s="498"/>
      <c r="D6418" s="498"/>
      <c r="E6418" s="498"/>
      <c r="F6418" s="447" t="s">
        <v>47</v>
      </c>
      <c r="G6418" s="447"/>
      <c r="H6418" s="66">
        <f>H6417*9%</f>
        <v>990</v>
      </c>
    </row>
    <row r="6419" spans="1:8" ht="15.6" x14ac:dyDescent="0.3">
      <c r="A6419" s="159"/>
      <c r="B6419" s="28"/>
      <c r="C6419" s="24"/>
      <c r="D6419" s="25"/>
      <c r="E6419" s="25"/>
      <c r="F6419" s="447" t="s">
        <v>48</v>
      </c>
      <c r="G6419" s="447"/>
      <c r="H6419" s="66">
        <f>H6417*9%</f>
        <v>990</v>
      </c>
    </row>
    <row r="6420" spans="1:8" ht="15.6" x14ac:dyDescent="0.3">
      <c r="A6420" s="64" t="s">
        <v>49</v>
      </c>
      <c r="B6420" s="28"/>
      <c r="C6420" s="24"/>
      <c r="D6420" s="25"/>
      <c r="E6420" s="25"/>
      <c r="F6420" s="447" t="s">
        <v>50</v>
      </c>
      <c r="G6420" s="447"/>
      <c r="H6420" s="66">
        <f>H6417+H6418+H6419</f>
        <v>12980</v>
      </c>
    </row>
    <row r="6421" spans="1:8" ht="26.4" x14ac:dyDescent="0.3">
      <c r="A6421" s="160" t="s">
        <v>22</v>
      </c>
      <c r="B6421" s="71" t="s">
        <v>51</v>
      </c>
      <c r="C6421" s="161" t="s">
        <v>24</v>
      </c>
      <c r="D6421" s="161" t="s">
        <v>25</v>
      </c>
      <c r="E6421" s="528" t="s">
        <v>52</v>
      </c>
      <c r="F6421" s="528"/>
      <c r="G6421" s="162"/>
      <c r="H6421" s="154"/>
    </row>
    <row r="6422" spans="1:8" x14ac:dyDescent="0.3">
      <c r="A6422" s="72">
        <v>0.18</v>
      </c>
      <c r="B6422" s="73">
        <f>H6417</f>
        <v>11000</v>
      </c>
      <c r="C6422" s="74">
        <f>H6418</f>
        <v>990</v>
      </c>
      <c r="D6422" s="74">
        <f>H6418</f>
        <v>990</v>
      </c>
      <c r="E6422" s="507">
        <f>C6422+D6422</f>
        <v>1980</v>
      </c>
      <c r="F6422" s="507"/>
      <c r="G6422" s="74"/>
      <c r="H6422" s="75"/>
    </row>
    <row r="6423" spans="1:8" x14ac:dyDescent="0.3">
      <c r="A6423" s="508" t="s">
        <v>1187</v>
      </c>
      <c r="B6423" s="509"/>
      <c r="C6423" s="509"/>
      <c r="D6423" s="509"/>
      <c r="E6423" s="453"/>
      <c r="F6423" s="453"/>
      <c r="G6423" s="453"/>
      <c r="H6423" s="454"/>
    </row>
    <row r="6424" spans="1:8" ht="15.6" x14ac:dyDescent="0.3">
      <c r="A6424" s="455" t="s">
        <v>53</v>
      </c>
      <c r="B6424" s="456"/>
      <c r="C6424" s="456"/>
      <c r="D6424" s="457"/>
      <c r="E6424" s="458" t="s">
        <v>54</v>
      </c>
      <c r="F6424" s="459"/>
      <c r="G6424" s="459"/>
      <c r="H6424" s="460"/>
    </row>
    <row r="6425" spans="1:8" x14ac:dyDescent="0.3">
      <c r="A6425" s="461" t="s">
        <v>55</v>
      </c>
      <c r="B6425" s="462"/>
      <c r="C6425" s="462"/>
      <c r="D6425" s="463"/>
      <c r="E6425" s="39"/>
      <c r="F6425" s="25"/>
      <c r="G6425" s="28"/>
      <c r="H6425" s="32"/>
    </row>
    <row r="6426" spans="1:8" x14ac:dyDescent="0.3">
      <c r="A6426" s="461" t="s">
        <v>56</v>
      </c>
      <c r="B6426" s="462"/>
      <c r="C6426" s="462"/>
      <c r="D6426" s="463"/>
      <c r="E6426" s="39"/>
      <c r="F6426" s="25"/>
      <c r="G6426" s="28"/>
      <c r="H6426" s="32"/>
    </row>
    <row r="6427" spans="1:8" x14ac:dyDescent="0.3">
      <c r="A6427" s="461" t="s">
        <v>57</v>
      </c>
      <c r="B6427" s="462"/>
      <c r="C6427" s="462"/>
      <c r="D6427" s="463"/>
      <c r="E6427" s="25"/>
      <c r="F6427" s="25"/>
      <c r="G6427" s="28"/>
      <c r="H6427" s="32"/>
    </row>
    <row r="6428" spans="1:8" ht="15.6" x14ac:dyDescent="0.3">
      <c r="A6428" s="464" t="s">
        <v>58</v>
      </c>
      <c r="B6428" s="465"/>
      <c r="C6428" s="465"/>
      <c r="D6428" s="510"/>
      <c r="E6428" s="466" t="s">
        <v>59</v>
      </c>
      <c r="F6428" s="467"/>
      <c r="G6428" s="467"/>
      <c r="H6428" s="468"/>
    </row>
    <row r="6432" spans="1:8" ht="44.4" x14ac:dyDescent="0.7">
      <c r="A6432" s="469" t="s">
        <v>0</v>
      </c>
      <c r="B6432" s="470"/>
      <c r="C6432" s="470"/>
      <c r="D6432" s="470"/>
      <c r="E6432" s="531" t="s">
        <v>1</v>
      </c>
      <c r="F6432" s="544"/>
      <c r="G6432" s="544"/>
      <c r="H6432" s="545"/>
    </row>
    <row r="6433" spans="1:8" ht="20.399999999999999" x14ac:dyDescent="0.35">
      <c r="A6433" s="156"/>
      <c r="B6433" s="476" t="s">
        <v>2</v>
      </c>
      <c r="C6433" s="476"/>
      <c r="D6433" s="476"/>
      <c r="E6433" s="546"/>
      <c r="F6433" s="546"/>
      <c r="G6433" s="546"/>
      <c r="H6433" s="547"/>
    </row>
    <row r="6434" spans="1:8" x14ac:dyDescent="0.3">
      <c r="A6434" s="157" t="s">
        <v>3</v>
      </c>
      <c r="B6434" s="137"/>
      <c r="C6434" s="136"/>
      <c r="D6434" s="499" t="s">
        <v>4</v>
      </c>
      <c r="E6434" s="499"/>
      <c r="F6434" s="137"/>
      <c r="G6434" s="137" t="s">
        <v>134</v>
      </c>
      <c r="H6434" s="120"/>
    </row>
    <row r="6435" spans="1:8" ht="15.6" x14ac:dyDescent="0.3">
      <c r="A6435" s="158" t="s">
        <v>6</v>
      </c>
      <c r="B6435" s="5"/>
      <c r="C6435" s="481" t="s">
        <v>7</v>
      </c>
      <c r="D6435" s="481"/>
      <c r="E6435" s="482">
        <v>140</v>
      </c>
      <c r="F6435" s="482"/>
      <c r="G6435" s="7" t="s">
        <v>8</v>
      </c>
      <c r="H6435" s="8" t="s">
        <v>1188</v>
      </c>
    </row>
    <row r="6436" spans="1:8" ht="15.6" x14ac:dyDescent="0.3">
      <c r="A6436" s="551" t="s">
        <v>319</v>
      </c>
      <c r="B6436" s="552"/>
      <c r="C6436" s="481" t="s">
        <v>10</v>
      </c>
      <c r="D6436" s="481"/>
      <c r="E6436" s="482"/>
      <c r="F6436" s="482"/>
      <c r="G6436" s="7" t="s">
        <v>8</v>
      </c>
      <c r="H6436" s="9"/>
    </row>
    <row r="6437" spans="1:8" ht="15" x14ac:dyDescent="0.3">
      <c r="A6437" s="517" t="s">
        <v>320</v>
      </c>
      <c r="B6437" s="553"/>
      <c r="C6437" s="483" t="s">
        <v>12</v>
      </c>
      <c r="D6437" s="484"/>
      <c r="E6437" s="584"/>
      <c r="F6437" s="585"/>
      <c r="G6437" s="10" t="s">
        <v>8</v>
      </c>
      <c r="H6437" s="82"/>
    </row>
    <row r="6438" spans="1:8" ht="15.6" x14ac:dyDescent="0.3">
      <c r="A6438" s="556" t="s">
        <v>321</v>
      </c>
      <c r="B6438" s="557"/>
      <c r="C6438" s="481" t="s">
        <v>15</v>
      </c>
      <c r="D6438" s="481"/>
      <c r="E6438" s="502" t="s">
        <v>322</v>
      </c>
      <c r="F6438" s="503"/>
      <c r="G6438" s="503"/>
      <c r="H6438" s="504"/>
    </row>
    <row r="6439" spans="1:8" ht="15.6" x14ac:dyDescent="0.3">
      <c r="A6439" s="558" t="s">
        <v>1189</v>
      </c>
      <c r="B6439" s="559"/>
      <c r="C6439" s="489"/>
      <c r="D6439" s="490"/>
      <c r="E6439" s="490"/>
      <c r="F6439" s="490"/>
      <c r="G6439" s="490"/>
      <c r="H6439" s="491"/>
    </row>
    <row r="6440" spans="1:8" ht="15" x14ac:dyDescent="0.3">
      <c r="A6440" s="492" t="s">
        <v>17</v>
      </c>
      <c r="B6440" s="494" t="s">
        <v>18</v>
      </c>
      <c r="C6440" s="494" t="s">
        <v>19</v>
      </c>
      <c r="D6440" s="494" t="s">
        <v>20</v>
      </c>
      <c r="E6440" s="494" t="s">
        <v>21</v>
      </c>
      <c r="F6440" s="494" t="s">
        <v>22</v>
      </c>
      <c r="G6440" s="494"/>
      <c r="H6440" s="493" t="s">
        <v>23</v>
      </c>
    </row>
    <row r="6441" spans="1:8" ht="27.6" x14ac:dyDescent="0.3">
      <c r="A6441" s="492"/>
      <c r="B6441" s="494"/>
      <c r="C6441" s="494"/>
      <c r="D6441" s="494"/>
      <c r="E6441" s="494"/>
      <c r="F6441" s="53" t="s">
        <v>24</v>
      </c>
      <c r="G6441" s="53" t="s">
        <v>25</v>
      </c>
      <c r="H6441" s="527"/>
    </row>
    <row r="6442" spans="1:8" x14ac:dyDescent="0.3">
      <c r="A6442" s="55">
        <v>1</v>
      </c>
      <c r="B6442" s="130" t="s">
        <v>1179</v>
      </c>
      <c r="C6442" s="55">
        <v>2</v>
      </c>
      <c r="D6442" s="86">
        <v>998719</v>
      </c>
      <c r="E6442" s="55">
        <v>2500</v>
      </c>
      <c r="F6442" s="93">
        <f>E6442*C6442*9%</f>
        <v>450</v>
      </c>
      <c r="G6442" s="93">
        <f>F6442</f>
        <v>450</v>
      </c>
      <c r="H6442" s="62">
        <f>G6442+F6442+E6442*C6442</f>
        <v>5900</v>
      </c>
    </row>
    <row r="6443" spans="1:8" x14ac:dyDescent="0.3">
      <c r="A6443" s="57"/>
      <c r="B6443" s="60"/>
      <c r="C6443" s="57"/>
      <c r="D6443" s="83"/>
      <c r="E6443" s="57"/>
      <c r="F6443" s="58"/>
      <c r="G6443" s="58"/>
      <c r="H6443" s="59"/>
    </row>
    <row r="6444" spans="1:8" x14ac:dyDescent="0.3">
      <c r="A6444" s="57"/>
      <c r="B6444" s="60"/>
      <c r="C6444" s="57"/>
      <c r="D6444" s="83"/>
      <c r="E6444" s="57"/>
      <c r="F6444" s="58"/>
      <c r="G6444" s="58"/>
      <c r="H6444" s="59"/>
    </row>
    <row r="6445" spans="1:8" x14ac:dyDescent="0.3">
      <c r="A6445" s="57"/>
      <c r="B6445" s="60"/>
      <c r="C6445" s="57"/>
      <c r="D6445" s="83"/>
      <c r="E6445" s="57"/>
      <c r="F6445" s="58"/>
      <c r="G6445" s="58"/>
      <c r="H6445" s="59"/>
    </row>
    <row r="6446" spans="1:8" x14ac:dyDescent="0.3">
      <c r="A6446" s="27"/>
      <c r="B6446" s="88"/>
      <c r="C6446" s="24"/>
      <c r="D6446" s="89"/>
      <c r="E6446" s="24"/>
      <c r="F6446" s="133"/>
      <c r="G6446" s="133"/>
      <c r="H6446" s="134"/>
    </row>
    <row r="6447" spans="1:8" x14ac:dyDescent="0.3">
      <c r="A6447" s="27"/>
      <c r="B6447" s="88"/>
      <c r="C6447" s="24"/>
      <c r="D6447" s="89"/>
      <c r="E6447" s="24"/>
      <c r="F6447" s="133"/>
      <c r="G6447" s="133"/>
      <c r="H6447" s="134"/>
    </row>
    <row r="6448" spans="1:8" x14ac:dyDescent="0.3">
      <c r="A6448" s="27"/>
      <c r="B6448" s="88"/>
      <c r="C6448" s="24"/>
      <c r="D6448" s="89"/>
      <c r="E6448" s="24"/>
      <c r="F6448" s="133"/>
      <c r="G6448" s="133"/>
      <c r="H6448" s="134"/>
    </row>
    <row r="6449" spans="1:8" x14ac:dyDescent="0.3">
      <c r="A6449" s="27"/>
      <c r="B6449" s="88"/>
      <c r="C6449" s="24"/>
      <c r="D6449" s="89"/>
      <c r="E6449" s="24"/>
      <c r="F6449" s="133"/>
      <c r="G6449" s="133"/>
      <c r="H6449" s="134"/>
    </row>
    <row r="6450" spans="1:8" x14ac:dyDescent="0.3">
      <c r="A6450" s="27"/>
      <c r="B6450" s="88"/>
      <c r="C6450" s="24"/>
      <c r="D6450" s="89"/>
      <c r="E6450" s="24"/>
      <c r="F6450" s="133"/>
      <c r="G6450" s="133"/>
      <c r="H6450" s="134"/>
    </row>
    <row r="6451" spans="1:8" x14ac:dyDescent="0.3">
      <c r="A6451" s="27"/>
      <c r="B6451" s="88"/>
      <c r="C6451" s="24"/>
      <c r="D6451" s="89"/>
      <c r="E6451" s="24"/>
      <c r="F6451" s="133"/>
      <c r="G6451" s="133"/>
      <c r="H6451" s="134"/>
    </row>
    <row r="6452" spans="1:8" x14ac:dyDescent="0.3">
      <c r="A6452" s="27"/>
      <c r="B6452" s="28"/>
      <c r="C6452" s="24"/>
      <c r="D6452" s="89"/>
      <c r="E6452" s="25"/>
      <c r="F6452" s="25"/>
      <c r="G6452" s="25"/>
      <c r="H6452" s="32"/>
    </row>
    <row r="6453" spans="1:8" x14ac:dyDescent="0.3">
      <c r="A6453" s="27"/>
      <c r="B6453" s="28"/>
      <c r="C6453" s="24"/>
      <c r="D6453" s="89"/>
      <c r="E6453" s="25"/>
      <c r="F6453" s="25"/>
      <c r="G6453" s="25"/>
      <c r="H6453" s="32"/>
    </row>
    <row r="6454" spans="1:8" x14ac:dyDescent="0.3">
      <c r="A6454" s="27"/>
      <c r="B6454" s="28"/>
      <c r="C6454" s="24"/>
      <c r="D6454" s="89"/>
      <c r="E6454" s="25"/>
      <c r="F6454" s="25"/>
      <c r="G6454" s="25"/>
      <c r="H6454" s="32"/>
    </row>
    <row r="6455" spans="1:8" x14ac:dyDescent="0.3">
      <c r="A6455" s="27"/>
      <c r="B6455" s="28"/>
      <c r="C6455" s="24"/>
      <c r="D6455" s="89"/>
      <c r="E6455" s="25"/>
      <c r="F6455" s="25"/>
      <c r="G6455" s="25"/>
      <c r="H6455" s="32"/>
    </row>
    <row r="6456" spans="1:8" x14ac:dyDescent="0.3">
      <c r="A6456" s="27"/>
      <c r="B6456" s="28"/>
      <c r="C6456" s="24"/>
      <c r="D6456" s="89"/>
      <c r="E6456" s="25"/>
      <c r="F6456" s="25"/>
      <c r="G6456" s="25"/>
      <c r="H6456" s="32"/>
    </row>
    <row r="6457" spans="1:8" x14ac:dyDescent="0.3">
      <c r="A6457" s="27"/>
      <c r="B6457" s="28"/>
      <c r="C6457" s="24"/>
      <c r="D6457" s="89"/>
      <c r="E6457" s="25"/>
      <c r="F6457" s="25"/>
      <c r="G6457" s="25"/>
      <c r="H6457" s="32"/>
    </row>
    <row r="6458" spans="1:8" x14ac:dyDescent="0.3">
      <c r="A6458" s="27"/>
      <c r="B6458" s="28"/>
      <c r="C6458" s="24"/>
      <c r="D6458" s="89"/>
      <c r="E6458" s="25"/>
      <c r="F6458" s="25"/>
      <c r="G6458" s="25"/>
      <c r="H6458" s="32"/>
    </row>
    <row r="6459" spans="1:8" x14ac:dyDescent="0.3">
      <c r="A6459" s="27"/>
      <c r="B6459" s="28"/>
      <c r="C6459" s="24"/>
      <c r="D6459" s="89"/>
      <c r="E6459" s="25"/>
      <c r="F6459" s="25"/>
      <c r="G6459" s="25"/>
      <c r="H6459" s="32"/>
    </row>
    <row r="6460" spans="1:8" x14ac:dyDescent="0.3">
      <c r="A6460" s="159"/>
      <c r="B6460" s="28"/>
      <c r="C6460" s="24"/>
      <c r="D6460" s="25"/>
      <c r="E6460" s="25"/>
      <c r="F6460" s="28"/>
      <c r="G6460" s="28"/>
      <c r="H6460" s="32"/>
    </row>
    <row r="6461" spans="1:8" x14ac:dyDescent="0.3">
      <c r="A6461" s="159"/>
      <c r="B6461" s="28"/>
      <c r="C6461" s="24"/>
      <c r="D6461" s="25"/>
      <c r="E6461" s="25"/>
      <c r="F6461" s="28"/>
      <c r="G6461" s="28"/>
      <c r="H6461" s="32"/>
    </row>
    <row r="6462" spans="1:8" x14ac:dyDescent="0.3">
      <c r="A6462" s="159"/>
      <c r="B6462" s="28"/>
      <c r="C6462" s="24"/>
      <c r="D6462" s="25"/>
      <c r="E6462" s="25"/>
      <c r="F6462" s="28"/>
      <c r="G6462" s="28"/>
      <c r="H6462" s="32"/>
    </row>
    <row r="6463" spans="1:8" ht="15.6" x14ac:dyDescent="0.3">
      <c r="A6463" s="64" t="s">
        <v>45</v>
      </c>
      <c r="B6463" s="28"/>
      <c r="C6463" s="24"/>
      <c r="D6463" s="25"/>
      <c r="E6463" s="25"/>
      <c r="F6463" s="447" t="s">
        <v>46</v>
      </c>
      <c r="G6463" s="447"/>
      <c r="H6463" s="66">
        <v>5000</v>
      </c>
    </row>
    <row r="6464" spans="1:8" ht="15.6" x14ac:dyDescent="0.3">
      <c r="A6464" s="497" t="s">
        <v>1190</v>
      </c>
      <c r="B6464" s="498"/>
      <c r="C6464" s="498"/>
      <c r="D6464" s="498"/>
      <c r="E6464" s="498"/>
      <c r="F6464" s="447" t="s">
        <v>47</v>
      </c>
      <c r="G6464" s="447"/>
      <c r="H6464" s="66">
        <f>H6463*9%</f>
        <v>450</v>
      </c>
    </row>
    <row r="6465" spans="1:8" ht="15.6" x14ac:dyDescent="0.3">
      <c r="A6465" s="159"/>
      <c r="B6465" s="28"/>
      <c r="C6465" s="24"/>
      <c r="D6465" s="25"/>
      <c r="E6465" s="25"/>
      <c r="F6465" s="447" t="s">
        <v>48</v>
      </c>
      <c r="G6465" s="447"/>
      <c r="H6465" s="66">
        <f>H6463*9%</f>
        <v>450</v>
      </c>
    </row>
    <row r="6466" spans="1:8" ht="15.6" x14ac:dyDescent="0.3">
      <c r="A6466" s="64" t="s">
        <v>49</v>
      </c>
      <c r="B6466" s="28"/>
      <c r="C6466" s="24"/>
      <c r="D6466" s="25"/>
      <c r="E6466" s="25"/>
      <c r="F6466" s="447" t="s">
        <v>50</v>
      </c>
      <c r="G6466" s="447"/>
      <c r="H6466" s="66">
        <f>H6463+H6464+H6465</f>
        <v>5900</v>
      </c>
    </row>
    <row r="6467" spans="1:8" ht="26.4" x14ac:dyDescent="0.3">
      <c r="A6467" s="160" t="s">
        <v>22</v>
      </c>
      <c r="B6467" s="71" t="s">
        <v>51</v>
      </c>
      <c r="C6467" s="161" t="s">
        <v>24</v>
      </c>
      <c r="D6467" s="161" t="s">
        <v>25</v>
      </c>
      <c r="E6467" s="528" t="s">
        <v>52</v>
      </c>
      <c r="F6467" s="528"/>
      <c r="G6467" s="162"/>
      <c r="H6467" s="154"/>
    </row>
    <row r="6468" spans="1:8" x14ac:dyDescent="0.3">
      <c r="A6468" s="72">
        <v>0.18</v>
      </c>
      <c r="B6468" s="73">
        <f>H6463</f>
        <v>5000</v>
      </c>
      <c r="C6468" s="74">
        <f>H6464</f>
        <v>450</v>
      </c>
      <c r="D6468" s="74">
        <f>H6464</f>
        <v>450</v>
      </c>
      <c r="E6468" s="507">
        <f>C6468+D6468</f>
        <v>900</v>
      </c>
      <c r="F6468" s="507"/>
      <c r="G6468" s="74"/>
      <c r="H6468" s="75"/>
    </row>
    <row r="6469" spans="1:8" x14ac:dyDescent="0.3">
      <c r="A6469" s="508" t="s">
        <v>1191</v>
      </c>
      <c r="B6469" s="509"/>
      <c r="C6469" s="509"/>
      <c r="D6469" s="509"/>
      <c r="E6469" s="453"/>
      <c r="F6469" s="453"/>
      <c r="G6469" s="453"/>
      <c r="H6469" s="454"/>
    </row>
    <row r="6470" spans="1:8" ht="15.6" x14ac:dyDescent="0.3">
      <c r="A6470" s="455" t="s">
        <v>53</v>
      </c>
      <c r="B6470" s="456"/>
      <c r="C6470" s="456"/>
      <c r="D6470" s="457"/>
      <c r="E6470" s="458" t="s">
        <v>54</v>
      </c>
      <c r="F6470" s="459"/>
      <c r="G6470" s="459"/>
      <c r="H6470" s="460"/>
    </row>
    <row r="6471" spans="1:8" x14ac:dyDescent="0.3">
      <c r="A6471" s="461" t="s">
        <v>55</v>
      </c>
      <c r="B6471" s="462"/>
      <c r="C6471" s="462"/>
      <c r="D6471" s="463"/>
      <c r="E6471" s="39"/>
      <c r="F6471" s="25"/>
      <c r="G6471" s="28"/>
      <c r="H6471" s="32"/>
    </row>
    <row r="6472" spans="1:8" x14ac:dyDescent="0.3">
      <c r="A6472" s="461" t="s">
        <v>56</v>
      </c>
      <c r="B6472" s="462"/>
      <c r="C6472" s="462"/>
      <c r="D6472" s="463"/>
      <c r="E6472" s="39"/>
      <c r="F6472" s="25"/>
      <c r="G6472" s="28"/>
      <c r="H6472" s="32"/>
    </row>
    <row r="6473" spans="1:8" x14ac:dyDescent="0.3">
      <c r="A6473" s="461" t="s">
        <v>57</v>
      </c>
      <c r="B6473" s="462"/>
      <c r="C6473" s="462"/>
      <c r="D6473" s="463"/>
      <c r="E6473" s="25"/>
      <c r="F6473" s="25"/>
      <c r="G6473" s="28"/>
      <c r="H6473" s="32"/>
    </row>
    <row r="6474" spans="1:8" ht="15.6" x14ac:dyDescent="0.3">
      <c r="A6474" s="464" t="s">
        <v>58</v>
      </c>
      <c r="B6474" s="465"/>
      <c r="C6474" s="465"/>
      <c r="D6474" s="510"/>
      <c r="E6474" s="466" t="s">
        <v>59</v>
      </c>
      <c r="F6474" s="467"/>
      <c r="G6474" s="467"/>
      <c r="H6474" s="468"/>
    </row>
    <row r="6478" spans="1:8" ht="44.4" x14ac:dyDescent="0.7">
      <c r="A6478" s="469" t="s">
        <v>0</v>
      </c>
      <c r="B6478" s="470"/>
      <c r="C6478" s="470"/>
      <c r="D6478" s="470"/>
      <c r="E6478" s="531" t="s">
        <v>1</v>
      </c>
      <c r="F6478" s="544"/>
      <c r="G6478" s="544"/>
      <c r="H6478" s="545"/>
    </row>
    <row r="6479" spans="1:8" ht="20.399999999999999" x14ac:dyDescent="0.35">
      <c r="A6479" s="156"/>
      <c r="B6479" s="476" t="s">
        <v>2</v>
      </c>
      <c r="C6479" s="476"/>
      <c r="D6479" s="476"/>
      <c r="E6479" s="546"/>
      <c r="F6479" s="546"/>
      <c r="G6479" s="546"/>
      <c r="H6479" s="547"/>
    </row>
    <row r="6480" spans="1:8" x14ac:dyDescent="0.3">
      <c r="A6480" s="157" t="s">
        <v>3</v>
      </c>
      <c r="B6480" s="137"/>
      <c r="C6480" s="136"/>
      <c r="D6480" s="499" t="s">
        <v>4</v>
      </c>
      <c r="E6480" s="499"/>
      <c r="F6480" s="137"/>
      <c r="G6480" s="360" t="s">
        <v>134</v>
      </c>
      <c r="H6480" s="120"/>
    </row>
    <row r="6481" spans="1:9" ht="15.6" x14ac:dyDescent="0.3">
      <c r="A6481" s="158" t="s">
        <v>6</v>
      </c>
      <c r="B6481" s="5"/>
      <c r="C6481" s="481" t="s">
        <v>7</v>
      </c>
      <c r="D6481" s="481"/>
      <c r="E6481" s="482">
        <v>141</v>
      </c>
      <c r="F6481" s="482"/>
      <c r="G6481" s="7" t="s">
        <v>8</v>
      </c>
      <c r="H6481" s="8" t="s">
        <v>1192</v>
      </c>
    </row>
    <row r="6482" spans="1:9" ht="15.6" x14ac:dyDescent="0.3">
      <c r="A6482" s="551" t="s">
        <v>1211</v>
      </c>
      <c r="B6482" s="552"/>
      <c r="C6482" s="481" t="s">
        <v>10</v>
      </c>
      <c r="D6482" s="481"/>
      <c r="E6482" s="482"/>
      <c r="F6482" s="482"/>
      <c r="G6482" s="7" t="s">
        <v>8</v>
      </c>
      <c r="H6482" s="9"/>
    </row>
    <row r="6483" spans="1:9" ht="37.5" customHeight="1" x14ac:dyDescent="0.3">
      <c r="A6483" s="517" t="s">
        <v>1209</v>
      </c>
      <c r="B6483" s="553"/>
      <c r="C6483" s="483" t="s">
        <v>12</v>
      </c>
      <c r="D6483" s="484"/>
      <c r="E6483" s="584" t="s">
        <v>1193</v>
      </c>
      <c r="F6483" s="585"/>
      <c r="G6483" s="10" t="s">
        <v>8</v>
      </c>
      <c r="H6483" s="109" t="s">
        <v>1188</v>
      </c>
    </row>
    <row r="6484" spans="1:9" ht="15.6" x14ac:dyDescent="0.3">
      <c r="A6484" s="556" t="s">
        <v>1210</v>
      </c>
      <c r="B6484" s="557"/>
      <c r="C6484" s="481" t="s">
        <v>15</v>
      </c>
      <c r="D6484" s="481"/>
      <c r="E6484" s="502" t="s">
        <v>1212</v>
      </c>
      <c r="F6484" s="503"/>
      <c r="G6484" s="503"/>
      <c r="H6484" s="504"/>
    </row>
    <row r="6485" spans="1:9" ht="15" x14ac:dyDescent="0.3">
      <c r="A6485" s="492" t="s">
        <v>17</v>
      </c>
      <c r="B6485" s="494" t="s">
        <v>18</v>
      </c>
      <c r="C6485" s="494" t="s">
        <v>19</v>
      </c>
      <c r="D6485" s="494" t="s">
        <v>20</v>
      </c>
      <c r="E6485" s="494" t="s">
        <v>21</v>
      </c>
      <c r="F6485" s="494" t="s">
        <v>22</v>
      </c>
      <c r="G6485" s="494"/>
      <c r="H6485" s="493" t="s">
        <v>23</v>
      </c>
    </row>
    <row r="6486" spans="1:9" ht="27.6" x14ac:dyDescent="0.3">
      <c r="A6486" s="492"/>
      <c r="B6486" s="494"/>
      <c r="C6486" s="494"/>
      <c r="D6486" s="494"/>
      <c r="E6486" s="494"/>
      <c r="F6486" s="53" t="s">
        <v>24</v>
      </c>
      <c r="G6486" s="53" t="s">
        <v>25</v>
      </c>
      <c r="H6486" s="527"/>
    </row>
    <row r="6487" spans="1:9" x14ac:dyDescent="0.3">
      <c r="A6487" s="55">
        <v>1</v>
      </c>
      <c r="B6487" s="130" t="s">
        <v>1194</v>
      </c>
      <c r="C6487" s="55">
        <v>2</v>
      </c>
      <c r="D6487" s="86">
        <v>8538</v>
      </c>
      <c r="E6487" s="55">
        <v>8500</v>
      </c>
      <c r="F6487" s="93">
        <f>E6487*C6487*9%</f>
        <v>1530</v>
      </c>
      <c r="G6487" s="93">
        <f>F6487</f>
        <v>1530</v>
      </c>
      <c r="H6487" s="62">
        <f>G6487+F6487+E6487*C6487</f>
        <v>20060</v>
      </c>
      <c r="I6487" s="362">
        <f>E6487*C6487</f>
        <v>17000</v>
      </c>
    </row>
    <row r="6488" spans="1:9" x14ac:dyDescent="0.3">
      <c r="A6488" s="57">
        <v>2</v>
      </c>
      <c r="B6488" s="60" t="s">
        <v>1195</v>
      </c>
      <c r="C6488" s="57">
        <v>30</v>
      </c>
      <c r="D6488" s="356">
        <v>76269099</v>
      </c>
      <c r="E6488" s="57">
        <v>110</v>
      </c>
      <c r="F6488" s="93">
        <f t="shared" ref="F6488:F6494" si="155">E6488*C6488*9%</f>
        <v>297</v>
      </c>
      <c r="G6488" s="93">
        <f t="shared" ref="G6488:G6494" si="156">F6488</f>
        <v>297</v>
      </c>
      <c r="H6488" s="62">
        <f t="shared" ref="H6488:H6494" si="157">G6488+F6488+E6488*C6488</f>
        <v>3894</v>
      </c>
      <c r="I6488" s="362">
        <f t="shared" ref="I6488:I6494" si="158">E6488*C6488</f>
        <v>3300</v>
      </c>
    </row>
    <row r="6489" spans="1:9" x14ac:dyDescent="0.3">
      <c r="A6489" s="57">
        <v>3</v>
      </c>
      <c r="B6489" s="60" t="s">
        <v>1196</v>
      </c>
      <c r="C6489" s="57">
        <v>17</v>
      </c>
      <c r="D6489" s="356">
        <v>85446020</v>
      </c>
      <c r="E6489" s="57">
        <v>382</v>
      </c>
      <c r="F6489" s="93">
        <f t="shared" si="155"/>
        <v>584.45999999999992</v>
      </c>
      <c r="G6489" s="93">
        <f t="shared" si="156"/>
        <v>584.45999999999992</v>
      </c>
      <c r="H6489" s="62">
        <f t="shared" si="157"/>
        <v>7662.92</v>
      </c>
      <c r="I6489" s="362">
        <f t="shared" si="158"/>
        <v>6494</v>
      </c>
    </row>
    <row r="6490" spans="1:9" x14ac:dyDescent="0.3">
      <c r="A6490" s="55">
        <v>4</v>
      </c>
      <c r="B6490" s="60" t="s">
        <v>1197</v>
      </c>
      <c r="C6490" s="57">
        <v>17</v>
      </c>
      <c r="D6490" s="356">
        <v>85446020</v>
      </c>
      <c r="E6490" s="57">
        <v>145</v>
      </c>
      <c r="F6490" s="93">
        <f t="shared" si="155"/>
        <v>221.85</v>
      </c>
      <c r="G6490" s="93">
        <f t="shared" si="156"/>
        <v>221.85</v>
      </c>
      <c r="H6490" s="62">
        <f t="shared" si="157"/>
        <v>2908.7</v>
      </c>
      <c r="I6490" s="362">
        <f t="shared" si="158"/>
        <v>2465</v>
      </c>
    </row>
    <row r="6491" spans="1:9" x14ac:dyDescent="0.3">
      <c r="A6491" s="57">
        <v>5</v>
      </c>
      <c r="B6491" s="84" t="s">
        <v>1198</v>
      </c>
      <c r="C6491" s="55">
        <v>2</v>
      </c>
      <c r="D6491" s="357">
        <v>998719</v>
      </c>
      <c r="E6491" s="55">
        <v>1200</v>
      </c>
      <c r="F6491" s="93">
        <f t="shared" si="155"/>
        <v>216</v>
      </c>
      <c r="G6491" s="93">
        <f t="shared" si="156"/>
        <v>216</v>
      </c>
      <c r="H6491" s="62">
        <f t="shared" si="157"/>
        <v>2832</v>
      </c>
      <c r="I6491" s="362">
        <f t="shared" si="158"/>
        <v>2400</v>
      </c>
    </row>
    <row r="6492" spans="1:9" x14ac:dyDescent="0.3">
      <c r="A6492" s="57">
        <v>6</v>
      </c>
      <c r="B6492" s="84" t="s">
        <v>1199</v>
      </c>
      <c r="C6492" s="55">
        <v>2</v>
      </c>
      <c r="D6492" s="357">
        <v>998719</v>
      </c>
      <c r="E6492" s="55">
        <v>500</v>
      </c>
      <c r="F6492" s="93">
        <f t="shared" si="155"/>
        <v>90</v>
      </c>
      <c r="G6492" s="93">
        <f t="shared" si="156"/>
        <v>90</v>
      </c>
      <c r="H6492" s="62">
        <f t="shared" si="157"/>
        <v>1180</v>
      </c>
      <c r="I6492" s="362">
        <f t="shared" si="158"/>
        <v>1000</v>
      </c>
    </row>
    <row r="6493" spans="1:9" x14ac:dyDescent="0.3">
      <c r="A6493" s="55">
        <v>7</v>
      </c>
      <c r="B6493" s="84" t="s">
        <v>1200</v>
      </c>
      <c r="C6493" s="55">
        <v>5</v>
      </c>
      <c r="D6493" s="357">
        <v>85446020</v>
      </c>
      <c r="E6493" s="55">
        <v>200</v>
      </c>
      <c r="F6493" s="93">
        <f t="shared" si="155"/>
        <v>90</v>
      </c>
      <c r="G6493" s="93">
        <f t="shared" si="156"/>
        <v>90</v>
      </c>
      <c r="H6493" s="62">
        <f t="shared" si="157"/>
        <v>1180</v>
      </c>
      <c r="I6493" s="362">
        <f t="shared" si="158"/>
        <v>1000</v>
      </c>
    </row>
    <row r="6494" spans="1:9" x14ac:dyDescent="0.3">
      <c r="A6494" s="57">
        <v>8</v>
      </c>
      <c r="B6494" s="84" t="s">
        <v>1201</v>
      </c>
      <c r="C6494" s="55">
        <v>1</v>
      </c>
      <c r="D6494" s="86">
        <v>998719</v>
      </c>
      <c r="E6494" s="55">
        <v>4000</v>
      </c>
      <c r="F6494" s="93">
        <f t="shared" si="155"/>
        <v>360</v>
      </c>
      <c r="G6494" s="93">
        <f t="shared" si="156"/>
        <v>360</v>
      </c>
      <c r="H6494" s="62">
        <f t="shared" si="157"/>
        <v>4720</v>
      </c>
      <c r="I6494" s="362">
        <f t="shared" si="158"/>
        <v>4000</v>
      </c>
    </row>
    <row r="6495" spans="1:9" x14ac:dyDescent="0.3">
      <c r="A6495" s="27"/>
      <c r="B6495" s="88"/>
      <c r="C6495" s="24"/>
      <c r="D6495" s="89"/>
      <c r="E6495" s="24"/>
      <c r="F6495" s="133"/>
      <c r="G6495" s="133"/>
      <c r="H6495" s="134"/>
    </row>
    <row r="6496" spans="1:9" x14ac:dyDescent="0.3">
      <c r="A6496" s="27"/>
      <c r="B6496" s="88"/>
      <c r="C6496" s="24"/>
      <c r="D6496" s="89"/>
      <c r="E6496" s="24"/>
      <c r="F6496" s="133"/>
      <c r="G6496" s="133"/>
      <c r="H6496" s="134"/>
    </row>
    <row r="6497" spans="1:8" x14ac:dyDescent="0.3">
      <c r="A6497" s="27"/>
      <c r="B6497" s="28"/>
      <c r="C6497" s="24"/>
      <c r="D6497" s="89"/>
      <c r="E6497" s="25"/>
      <c r="F6497" s="25"/>
      <c r="G6497" s="25"/>
      <c r="H6497" s="32"/>
    </row>
    <row r="6498" spans="1:8" x14ac:dyDescent="0.3">
      <c r="A6498" s="27"/>
      <c r="B6498" s="28"/>
      <c r="C6498" s="24"/>
      <c r="D6498" s="89"/>
      <c r="E6498" s="25"/>
      <c r="F6498" s="25"/>
      <c r="G6498" s="25"/>
      <c r="H6498" s="32"/>
    </row>
    <row r="6499" spans="1:8" x14ac:dyDescent="0.3">
      <c r="A6499" s="27"/>
      <c r="B6499" s="28"/>
      <c r="C6499" s="24"/>
      <c r="D6499" s="89"/>
      <c r="E6499" s="25"/>
      <c r="F6499" s="25"/>
      <c r="G6499" s="25"/>
      <c r="H6499" s="32"/>
    </row>
    <row r="6500" spans="1:8" x14ac:dyDescent="0.3">
      <c r="A6500" s="27"/>
      <c r="B6500" s="28"/>
      <c r="C6500" s="24"/>
      <c r="D6500" s="89"/>
      <c r="E6500" s="25"/>
      <c r="F6500" s="25"/>
      <c r="G6500" s="25"/>
      <c r="H6500" s="32"/>
    </row>
    <row r="6501" spans="1:8" x14ac:dyDescent="0.3">
      <c r="A6501" s="27"/>
      <c r="B6501" s="28"/>
      <c r="C6501" s="24"/>
      <c r="D6501" s="89"/>
      <c r="E6501" s="25"/>
      <c r="F6501" s="25"/>
      <c r="G6501" s="25"/>
      <c r="H6501" s="32"/>
    </row>
    <row r="6502" spans="1:8" x14ac:dyDescent="0.3">
      <c r="A6502" s="27"/>
      <c r="B6502" s="28"/>
      <c r="C6502" s="24"/>
      <c r="D6502" s="89"/>
      <c r="E6502" s="25"/>
      <c r="F6502" s="25"/>
      <c r="G6502" s="25"/>
      <c r="H6502" s="32"/>
    </row>
    <row r="6503" spans="1:8" x14ac:dyDescent="0.3">
      <c r="A6503" s="27"/>
      <c r="B6503" s="28"/>
      <c r="C6503" s="24"/>
      <c r="D6503" s="89"/>
      <c r="E6503" s="25"/>
      <c r="F6503" s="25"/>
      <c r="G6503" s="25"/>
      <c r="H6503" s="32"/>
    </row>
    <row r="6504" spans="1:8" x14ac:dyDescent="0.3">
      <c r="A6504" s="27"/>
      <c r="B6504" s="28"/>
      <c r="C6504" s="24"/>
      <c r="D6504" s="89"/>
      <c r="E6504" s="25"/>
      <c r="F6504" s="25"/>
      <c r="G6504" s="25"/>
      <c r="H6504" s="32"/>
    </row>
    <row r="6505" spans="1:8" x14ac:dyDescent="0.3">
      <c r="A6505" s="159"/>
      <c r="B6505" s="28"/>
      <c r="C6505" s="24"/>
      <c r="D6505" s="25"/>
      <c r="E6505" s="25"/>
      <c r="F6505" s="28"/>
      <c r="G6505" s="28"/>
      <c r="H6505" s="32"/>
    </row>
    <row r="6506" spans="1:8" x14ac:dyDescent="0.3">
      <c r="A6506" s="159"/>
      <c r="B6506" s="28"/>
      <c r="C6506" s="24"/>
      <c r="D6506" s="25"/>
      <c r="E6506" s="25"/>
      <c r="F6506" s="28"/>
      <c r="G6506" s="28"/>
      <c r="H6506" s="32"/>
    </row>
    <row r="6507" spans="1:8" x14ac:dyDescent="0.3">
      <c r="A6507" s="159"/>
      <c r="B6507" s="28"/>
      <c r="C6507" s="24"/>
      <c r="D6507" s="25"/>
      <c r="E6507" s="25"/>
      <c r="F6507" s="28"/>
      <c r="G6507" s="28"/>
      <c r="H6507" s="32"/>
    </row>
    <row r="6508" spans="1:8" ht="15.6" x14ac:dyDescent="0.3">
      <c r="A6508" s="64" t="s">
        <v>45</v>
      </c>
      <c r="B6508" s="28"/>
      <c r="C6508" s="24"/>
      <c r="D6508" s="25"/>
      <c r="E6508" s="25"/>
      <c r="F6508" s="447" t="s">
        <v>46</v>
      </c>
      <c r="G6508" s="447"/>
      <c r="H6508" s="66">
        <v>37659</v>
      </c>
    </row>
    <row r="6509" spans="1:8" ht="15.6" x14ac:dyDescent="0.3">
      <c r="A6509" s="497" t="s">
        <v>1202</v>
      </c>
      <c r="B6509" s="498"/>
      <c r="C6509" s="498"/>
      <c r="D6509" s="498"/>
      <c r="E6509" s="498"/>
      <c r="F6509" s="447" t="s">
        <v>47</v>
      </c>
      <c r="G6509" s="447"/>
      <c r="H6509" s="66">
        <f>H6508*9%</f>
        <v>3389.31</v>
      </c>
    </row>
    <row r="6510" spans="1:8" ht="15.6" x14ac:dyDescent="0.3">
      <c r="A6510" s="159"/>
      <c r="B6510" s="28"/>
      <c r="C6510" s="24"/>
      <c r="D6510" s="25"/>
      <c r="E6510" s="25"/>
      <c r="F6510" s="447" t="s">
        <v>48</v>
      </c>
      <c r="G6510" s="447"/>
      <c r="H6510" s="66">
        <f>H6508*9%</f>
        <v>3389.31</v>
      </c>
    </row>
    <row r="6511" spans="1:8" ht="15.6" x14ac:dyDescent="0.3">
      <c r="A6511" s="64" t="s">
        <v>49</v>
      </c>
      <c r="B6511" s="28"/>
      <c r="C6511" s="24"/>
      <c r="D6511" s="25"/>
      <c r="E6511" s="25"/>
      <c r="F6511" s="447" t="s">
        <v>50</v>
      </c>
      <c r="G6511" s="447"/>
      <c r="H6511" s="66">
        <v>44438</v>
      </c>
    </row>
    <row r="6512" spans="1:8" ht="26.4" x14ac:dyDescent="0.3">
      <c r="A6512" s="160" t="s">
        <v>22</v>
      </c>
      <c r="B6512" s="71" t="s">
        <v>51</v>
      </c>
      <c r="C6512" s="161" t="s">
        <v>24</v>
      </c>
      <c r="D6512" s="161" t="s">
        <v>25</v>
      </c>
      <c r="E6512" s="528" t="s">
        <v>52</v>
      </c>
      <c r="F6512" s="528"/>
      <c r="G6512" s="162"/>
      <c r="H6512" s="154"/>
    </row>
    <row r="6513" spans="1:8" x14ac:dyDescent="0.3">
      <c r="A6513" s="72">
        <v>0.18</v>
      </c>
      <c r="B6513" s="73">
        <f>H6508</f>
        <v>37659</v>
      </c>
      <c r="C6513" s="74">
        <f>H6509</f>
        <v>3389.31</v>
      </c>
      <c r="D6513" s="74">
        <f>H6509</f>
        <v>3389.31</v>
      </c>
      <c r="E6513" s="507">
        <f>C6513+D6513</f>
        <v>6778.62</v>
      </c>
      <c r="F6513" s="507"/>
      <c r="G6513" s="74"/>
      <c r="H6513" s="75"/>
    </row>
    <row r="6514" spans="1:8" x14ac:dyDescent="0.3">
      <c r="A6514" s="508" t="s">
        <v>1206</v>
      </c>
      <c r="B6514" s="509"/>
      <c r="C6514" s="509"/>
      <c r="D6514" s="509"/>
      <c r="E6514" s="453"/>
      <c r="F6514" s="453"/>
      <c r="G6514" s="453"/>
      <c r="H6514" s="454"/>
    </row>
    <row r="6515" spans="1:8" ht="15.6" x14ac:dyDescent="0.3">
      <c r="A6515" s="455" t="s">
        <v>53</v>
      </c>
      <c r="B6515" s="456"/>
      <c r="C6515" s="456"/>
      <c r="D6515" s="457"/>
      <c r="E6515" s="458" t="s">
        <v>54</v>
      </c>
      <c r="F6515" s="459"/>
      <c r="G6515" s="459"/>
      <c r="H6515" s="460"/>
    </row>
    <row r="6516" spans="1:8" x14ac:dyDescent="0.3">
      <c r="A6516" s="461" t="s">
        <v>55</v>
      </c>
      <c r="B6516" s="462"/>
      <c r="C6516" s="462"/>
      <c r="D6516" s="463"/>
      <c r="E6516" s="39"/>
      <c r="F6516" s="25"/>
      <c r="G6516" s="28"/>
      <c r="H6516" s="32"/>
    </row>
    <row r="6517" spans="1:8" x14ac:dyDescent="0.3">
      <c r="A6517" s="461" t="s">
        <v>56</v>
      </c>
      <c r="B6517" s="462"/>
      <c r="C6517" s="462"/>
      <c r="D6517" s="463"/>
      <c r="E6517" s="39"/>
      <c r="F6517" s="25"/>
      <c r="G6517" s="28"/>
      <c r="H6517" s="32"/>
    </row>
    <row r="6518" spans="1:8" x14ac:dyDescent="0.3">
      <c r="A6518" s="461" t="s">
        <v>57</v>
      </c>
      <c r="B6518" s="462"/>
      <c r="C6518" s="462"/>
      <c r="D6518" s="463"/>
      <c r="E6518" s="25"/>
      <c r="F6518" s="25"/>
      <c r="G6518" s="28"/>
      <c r="H6518" s="32"/>
    </row>
    <row r="6519" spans="1:8" ht="15.6" x14ac:dyDescent="0.3">
      <c r="A6519" s="464" t="s">
        <v>58</v>
      </c>
      <c r="B6519" s="465"/>
      <c r="C6519" s="465"/>
      <c r="D6519" s="510"/>
      <c r="E6519" s="466" t="s">
        <v>59</v>
      </c>
      <c r="F6519" s="467"/>
      <c r="G6519" s="467"/>
      <c r="H6519" s="468"/>
    </row>
    <row r="6524" spans="1:8" ht="44.4" x14ac:dyDescent="0.7">
      <c r="A6524" s="469" t="s">
        <v>0</v>
      </c>
      <c r="B6524" s="470"/>
      <c r="C6524" s="470"/>
      <c r="D6524" s="470"/>
      <c r="E6524" s="531" t="s">
        <v>1</v>
      </c>
      <c r="F6524" s="544"/>
      <c r="G6524" s="544"/>
      <c r="H6524" s="545"/>
    </row>
    <row r="6525" spans="1:8" ht="20.399999999999999" x14ac:dyDescent="0.3">
      <c r="A6525" s="331"/>
      <c r="B6525" s="662" t="s">
        <v>872</v>
      </c>
      <c r="C6525" s="662"/>
      <c r="D6525" s="662"/>
      <c r="E6525" s="546"/>
      <c r="F6525" s="546"/>
      <c r="G6525" s="546"/>
      <c r="H6525" s="547"/>
    </row>
    <row r="6526" spans="1:8" x14ac:dyDescent="0.3">
      <c r="A6526" s="477" t="s">
        <v>3</v>
      </c>
      <c r="B6526" s="478"/>
      <c r="C6526" s="479" t="s">
        <v>4</v>
      </c>
      <c r="D6526" s="479"/>
      <c r="E6526" s="548" t="s">
        <v>5</v>
      </c>
      <c r="F6526" s="549"/>
      <c r="G6526" s="549"/>
      <c r="H6526" s="550"/>
    </row>
    <row r="6527" spans="1:8" ht="15.6" x14ac:dyDescent="0.3">
      <c r="A6527" s="332" t="s">
        <v>6</v>
      </c>
      <c r="B6527" s="5"/>
      <c r="C6527" s="481" t="s">
        <v>7</v>
      </c>
      <c r="D6527" s="481"/>
      <c r="E6527" s="482">
        <v>142</v>
      </c>
      <c r="F6527" s="482"/>
      <c r="G6527" s="6" t="s">
        <v>8</v>
      </c>
      <c r="H6527" s="8" t="s">
        <v>1203</v>
      </c>
    </row>
    <row r="6528" spans="1:8" ht="15.6" x14ac:dyDescent="0.3">
      <c r="A6528" s="657" t="s">
        <v>873</v>
      </c>
      <c r="B6528" s="658"/>
      <c r="C6528" s="481" t="s">
        <v>10</v>
      </c>
      <c r="D6528" s="481"/>
      <c r="E6528" s="482"/>
      <c r="F6528" s="482"/>
      <c r="G6528" s="6" t="s">
        <v>8</v>
      </c>
      <c r="H6528" s="6"/>
    </row>
    <row r="6529" spans="1:8" ht="15.6" x14ac:dyDescent="0.3">
      <c r="A6529" s="500" t="s">
        <v>874</v>
      </c>
      <c r="B6529" s="501"/>
      <c r="C6529" s="481" t="s">
        <v>12</v>
      </c>
      <c r="D6529" s="481"/>
      <c r="E6529" s="482"/>
      <c r="F6529" s="482"/>
      <c r="G6529" s="6" t="s">
        <v>8</v>
      </c>
      <c r="H6529" s="6"/>
    </row>
    <row r="6530" spans="1:8" ht="15.6" x14ac:dyDescent="0.3">
      <c r="A6530" s="500" t="s">
        <v>875</v>
      </c>
      <c r="B6530" s="501"/>
      <c r="C6530" s="481" t="s">
        <v>15</v>
      </c>
      <c r="D6530" s="481"/>
      <c r="E6530" s="659" t="s">
        <v>876</v>
      </c>
      <c r="F6530" s="660"/>
      <c r="G6530" s="660"/>
      <c r="H6530" s="333"/>
    </row>
    <row r="6531" spans="1:8" ht="15.6" x14ac:dyDescent="0.3">
      <c r="A6531" s="326" t="s">
        <v>877</v>
      </c>
      <c r="B6531" s="256"/>
      <c r="C6531" s="330"/>
      <c r="D6531" s="330"/>
      <c r="E6531" s="327"/>
      <c r="F6531" s="328"/>
      <c r="G6531" s="329"/>
      <c r="H6531" s="330"/>
    </row>
    <row r="6532" spans="1:8" x14ac:dyDescent="0.3">
      <c r="A6532" s="736" t="s">
        <v>17</v>
      </c>
      <c r="B6532" s="738" t="s">
        <v>18</v>
      </c>
      <c r="C6532" s="738" t="s">
        <v>19</v>
      </c>
      <c r="D6532" s="738" t="s">
        <v>20</v>
      </c>
      <c r="E6532" s="738" t="s">
        <v>21</v>
      </c>
      <c r="F6532" s="738" t="s">
        <v>878</v>
      </c>
      <c r="G6532" s="738"/>
      <c r="H6532" s="739" t="s">
        <v>23</v>
      </c>
    </row>
    <row r="6533" spans="1:8" x14ac:dyDescent="0.3">
      <c r="A6533" s="737"/>
      <c r="B6533" s="738"/>
      <c r="C6533" s="738"/>
      <c r="D6533" s="738"/>
      <c r="E6533" s="738"/>
      <c r="F6533" s="334">
        <v>0.09</v>
      </c>
      <c r="G6533" s="334">
        <v>0.09</v>
      </c>
      <c r="H6533" s="739"/>
    </row>
    <row r="6534" spans="1:8" x14ac:dyDescent="0.3">
      <c r="A6534" s="55">
        <v>1</v>
      </c>
      <c r="B6534" s="130" t="s">
        <v>1204</v>
      </c>
      <c r="C6534" s="55">
        <v>1</v>
      </c>
      <c r="D6534" s="20">
        <v>998719</v>
      </c>
      <c r="E6534" s="55">
        <v>3113</v>
      </c>
      <c r="F6534" s="93">
        <f>E6534*C6534*9%</f>
        <v>280.17</v>
      </c>
      <c r="G6534" s="93">
        <f>F6534</f>
        <v>280.17</v>
      </c>
      <c r="H6534" s="62">
        <f>E6534*C6534+F6534+G6534</f>
        <v>3673.34</v>
      </c>
    </row>
    <row r="6535" spans="1:8" x14ac:dyDescent="0.3">
      <c r="A6535" s="55">
        <v>2</v>
      </c>
      <c r="B6535" s="130" t="s">
        <v>1205</v>
      </c>
      <c r="C6535" s="55">
        <v>1</v>
      </c>
      <c r="D6535" s="20">
        <v>998719</v>
      </c>
      <c r="E6535" s="55">
        <v>750</v>
      </c>
      <c r="F6535" s="93">
        <f>E6535*C6535*9%</f>
        <v>67.5</v>
      </c>
      <c r="G6535" s="93">
        <f>F6535</f>
        <v>67.5</v>
      </c>
      <c r="H6535" s="62">
        <f>E6535*C6535+F6535+G6535</f>
        <v>885</v>
      </c>
    </row>
    <row r="6536" spans="1:8" x14ac:dyDescent="0.3">
      <c r="A6536" s="55"/>
      <c r="B6536" s="130"/>
      <c r="C6536" s="55"/>
      <c r="D6536" s="55"/>
      <c r="E6536" s="55"/>
      <c r="F6536" s="93"/>
      <c r="G6536" s="93"/>
      <c r="H6536" s="62"/>
    </row>
    <row r="6537" spans="1:8" x14ac:dyDescent="0.3">
      <c r="A6537" s="55"/>
      <c r="B6537" s="130"/>
      <c r="C6537" s="47"/>
      <c r="D6537" s="55"/>
      <c r="E6537" s="55"/>
      <c r="F6537" s="93"/>
      <c r="G6537" s="93"/>
      <c r="H6537" s="62"/>
    </row>
    <row r="6538" spans="1:8" x14ac:dyDescent="0.3">
      <c r="A6538" s="57"/>
      <c r="B6538" s="60"/>
      <c r="C6538" s="57"/>
      <c r="D6538" s="57"/>
      <c r="E6538" s="57"/>
      <c r="F6538" s="58"/>
      <c r="G6538" s="58"/>
      <c r="H6538" s="59"/>
    </row>
    <row r="6539" spans="1:8" x14ac:dyDescent="0.3">
      <c r="A6539" s="173"/>
      <c r="B6539" s="174"/>
      <c r="C6539" s="175"/>
      <c r="D6539" s="175"/>
      <c r="E6539" s="175"/>
      <c r="F6539" s="165"/>
      <c r="G6539" s="165"/>
      <c r="H6539" s="166"/>
    </row>
    <row r="6540" spans="1:8" x14ac:dyDescent="0.3">
      <c r="A6540" s="173"/>
      <c r="B6540" s="174"/>
      <c r="C6540" s="175"/>
      <c r="D6540" s="175"/>
      <c r="E6540" s="175"/>
      <c r="F6540" s="165"/>
      <c r="G6540" s="165"/>
      <c r="H6540" s="166"/>
    </row>
    <row r="6541" spans="1:8" x14ac:dyDescent="0.3">
      <c r="A6541" s="173"/>
      <c r="B6541" s="174"/>
      <c r="C6541" s="175"/>
      <c r="D6541" s="175"/>
      <c r="E6541" s="175"/>
      <c r="F6541" s="165"/>
      <c r="G6541" s="165"/>
      <c r="H6541" s="166"/>
    </row>
    <row r="6542" spans="1:8" x14ac:dyDescent="0.3">
      <c r="A6542" s="173"/>
      <c r="B6542" s="174"/>
      <c r="C6542" s="175"/>
      <c r="D6542" s="175"/>
      <c r="E6542" s="175"/>
      <c r="F6542" s="165"/>
      <c r="G6542" s="165"/>
      <c r="H6542" s="166"/>
    </row>
    <row r="6543" spans="1:8" x14ac:dyDescent="0.3">
      <c r="A6543" s="173"/>
      <c r="B6543" s="174"/>
      <c r="C6543" s="175"/>
      <c r="D6543" s="175"/>
      <c r="E6543" s="175"/>
      <c r="F6543" s="165"/>
      <c r="G6543" s="165"/>
      <c r="H6543" s="166"/>
    </row>
    <row r="6544" spans="1:8" x14ac:dyDescent="0.3">
      <c r="A6544" s="335"/>
      <c r="B6544" s="28"/>
      <c r="C6544" s="28"/>
      <c r="D6544" s="28"/>
      <c r="E6544" s="25"/>
      <c r="F6544" s="28"/>
      <c r="G6544" s="25"/>
      <c r="H6544" s="32"/>
    </row>
    <row r="6545" spans="1:8" x14ac:dyDescent="0.3">
      <c r="A6545" s="335"/>
      <c r="B6545" s="28"/>
      <c r="C6545" s="28"/>
      <c r="D6545" s="28"/>
      <c r="E6545" s="25"/>
      <c r="F6545" s="28"/>
      <c r="G6545" s="25"/>
      <c r="H6545" s="32"/>
    </row>
    <row r="6546" spans="1:8" x14ac:dyDescent="0.3">
      <c r="A6546" s="335"/>
      <c r="B6546" s="28"/>
      <c r="C6546" s="28"/>
      <c r="D6546" s="28"/>
      <c r="E6546" s="25"/>
      <c r="F6546" s="28"/>
      <c r="G6546" s="25"/>
      <c r="H6546" s="32"/>
    </row>
    <row r="6547" spans="1:8" x14ac:dyDescent="0.3">
      <c r="A6547" s="335"/>
      <c r="B6547" s="28"/>
      <c r="C6547" s="28"/>
      <c r="D6547" s="28"/>
      <c r="E6547" s="25"/>
      <c r="F6547" s="28"/>
      <c r="G6547" s="25"/>
      <c r="H6547" s="32"/>
    </row>
    <row r="6548" spans="1:8" x14ac:dyDescent="0.3">
      <c r="A6548" s="335"/>
      <c r="B6548" s="28"/>
      <c r="C6548" s="28"/>
      <c r="D6548" s="28"/>
      <c r="E6548" s="25"/>
      <c r="F6548" s="28"/>
      <c r="G6548" s="25"/>
      <c r="H6548" s="32"/>
    </row>
    <row r="6549" spans="1:8" x14ac:dyDescent="0.3">
      <c r="A6549" s="335"/>
      <c r="B6549" s="28"/>
      <c r="C6549" s="28"/>
      <c r="D6549" s="28"/>
      <c r="E6549" s="25"/>
      <c r="F6549" s="28"/>
      <c r="G6549" s="25"/>
      <c r="H6549" s="32"/>
    </row>
    <row r="6550" spans="1:8" x14ac:dyDescent="0.3">
      <c r="A6550" s="335"/>
      <c r="B6550" s="28"/>
      <c r="C6550" s="28"/>
      <c r="D6550" s="28"/>
      <c r="E6550" s="25"/>
      <c r="F6550" s="28"/>
      <c r="G6550" s="25"/>
      <c r="H6550" s="32"/>
    </row>
    <row r="6551" spans="1:8" x14ac:dyDescent="0.3">
      <c r="A6551" s="335"/>
      <c r="B6551" s="28"/>
      <c r="C6551" s="28"/>
      <c r="D6551" s="28"/>
      <c r="E6551" s="25"/>
      <c r="F6551" s="28"/>
      <c r="G6551" s="25"/>
      <c r="H6551" s="32"/>
    </row>
    <row r="6552" spans="1:8" x14ac:dyDescent="0.3">
      <c r="A6552" s="335"/>
      <c r="B6552" s="28"/>
      <c r="C6552" s="28"/>
      <c r="D6552" s="28"/>
      <c r="E6552" s="25"/>
      <c r="F6552" s="28"/>
      <c r="G6552" s="25"/>
      <c r="H6552" s="32"/>
    </row>
    <row r="6553" spans="1:8" x14ac:dyDescent="0.3">
      <c r="A6553" s="335"/>
      <c r="B6553" s="28"/>
      <c r="C6553" s="28"/>
      <c r="D6553" s="28"/>
      <c r="E6553" s="25"/>
      <c r="F6553" s="28"/>
      <c r="G6553" s="25"/>
      <c r="H6553" s="32"/>
    </row>
    <row r="6554" spans="1:8" x14ac:dyDescent="0.3">
      <c r="A6554" s="335"/>
      <c r="B6554" s="28"/>
      <c r="C6554" s="28"/>
      <c r="D6554" s="28"/>
      <c r="E6554" s="25"/>
      <c r="F6554" s="28"/>
      <c r="G6554" s="25"/>
      <c r="H6554" s="32"/>
    </row>
    <row r="6555" spans="1:8" ht="15.6" x14ac:dyDescent="0.3">
      <c r="A6555" s="336" t="s">
        <v>45</v>
      </c>
      <c r="B6555" s="28"/>
      <c r="C6555" s="28"/>
      <c r="D6555" s="28"/>
      <c r="E6555" s="25"/>
      <c r="F6555" s="447" t="s">
        <v>46</v>
      </c>
      <c r="G6555" s="447"/>
      <c r="H6555" s="66">
        <f>(C6534*E6534)+(C6535*E6535)+(C6536*E6536)+(C6537*E6537)+(C6538*E6538)</f>
        <v>3863</v>
      </c>
    </row>
    <row r="6556" spans="1:8" ht="15.6" x14ac:dyDescent="0.3">
      <c r="A6556" s="497" t="s">
        <v>1207</v>
      </c>
      <c r="B6556" s="498"/>
      <c r="C6556" s="498"/>
      <c r="D6556" s="498"/>
      <c r="E6556" s="498"/>
      <c r="F6556" s="447" t="s">
        <v>47</v>
      </c>
      <c r="G6556" s="447"/>
      <c r="H6556" s="66">
        <f>H6555*9%</f>
        <v>347.66999999999996</v>
      </c>
    </row>
    <row r="6557" spans="1:8" ht="15.6" x14ac:dyDescent="0.3">
      <c r="A6557" s="335"/>
      <c r="B6557" s="28"/>
      <c r="C6557" s="28"/>
      <c r="D6557" s="28"/>
      <c r="E6557" s="25"/>
      <c r="F6557" s="447" t="s">
        <v>48</v>
      </c>
      <c r="G6557" s="447"/>
      <c r="H6557" s="66">
        <f>H6556</f>
        <v>347.66999999999996</v>
      </c>
    </row>
    <row r="6558" spans="1:8" ht="15.6" x14ac:dyDescent="0.3">
      <c r="A6558" s="336" t="s">
        <v>49</v>
      </c>
      <c r="B6558" s="28"/>
      <c r="C6558" s="28"/>
      <c r="D6558" s="28"/>
      <c r="E6558" s="25"/>
      <c r="F6558" s="447" t="s">
        <v>50</v>
      </c>
      <c r="G6558" s="447"/>
      <c r="H6558" s="337">
        <v>4558</v>
      </c>
    </row>
    <row r="6559" spans="1:8" ht="27" x14ac:dyDescent="0.3">
      <c r="A6559" s="338" t="s">
        <v>22</v>
      </c>
      <c r="B6559" s="69" t="s">
        <v>51</v>
      </c>
      <c r="C6559" s="31" t="s">
        <v>24</v>
      </c>
      <c r="D6559" s="31" t="s">
        <v>25</v>
      </c>
      <c r="E6559" s="543" t="s">
        <v>52</v>
      </c>
      <c r="F6559" s="543"/>
      <c r="G6559" s="25"/>
      <c r="H6559" s="32"/>
    </row>
    <row r="6560" spans="1:8" x14ac:dyDescent="0.3">
      <c r="A6560" s="72">
        <v>0.18</v>
      </c>
      <c r="B6560" s="73">
        <f>H6555</f>
        <v>3863</v>
      </c>
      <c r="C6560" s="339">
        <f>H6556</f>
        <v>347.66999999999996</v>
      </c>
      <c r="D6560" s="339">
        <f>C6560</f>
        <v>347.66999999999996</v>
      </c>
      <c r="E6560" s="661">
        <f>C6560+D6560</f>
        <v>695.33999999999992</v>
      </c>
      <c r="F6560" s="451"/>
      <c r="G6560" s="74"/>
      <c r="H6560" s="75"/>
    </row>
    <row r="6561" spans="1:8" x14ac:dyDescent="0.3">
      <c r="A6561" s="452" t="s">
        <v>1208</v>
      </c>
      <c r="B6561" s="453"/>
      <c r="C6561" s="453"/>
      <c r="D6561" s="453"/>
      <c r="E6561" s="453"/>
      <c r="F6561" s="453"/>
      <c r="G6561" s="453"/>
      <c r="H6561" s="454"/>
    </row>
    <row r="6562" spans="1:8" ht="15.6" x14ac:dyDescent="0.3">
      <c r="A6562" s="455" t="s">
        <v>53</v>
      </c>
      <c r="B6562" s="456"/>
      <c r="C6562" s="456"/>
      <c r="D6562" s="457"/>
      <c r="E6562" s="458" t="s">
        <v>54</v>
      </c>
      <c r="F6562" s="459"/>
      <c r="G6562" s="459"/>
      <c r="H6562" s="460"/>
    </row>
    <row r="6563" spans="1:8" x14ac:dyDescent="0.3">
      <c r="A6563" s="461" t="s">
        <v>55</v>
      </c>
      <c r="B6563" s="462"/>
      <c r="C6563" s="462"/>
      <c r="D6563" s="463"/>
      <c r="E6563" s="39"/>
      <c r="F6563" s="28"/>
      <c r="G6563" s="25"/>
      <c r="H6563" s="32"/>
    </row>
    <row r="6564" spans="1:8" x14ac:dyDescent="0.3">
      <c r="A6564" s="461" t="s">
        <v>56</v>
      </c>
      <c r="B6564" s="462"/>
      <c r="C6564" s="462"/>
      <c r="D6564" s="463"/>
      <c r="E6564" s="39"/>
      <c r="F6564" s="28"/>
      <c r="G6564" s="25"/>
      <c r="H6564" s="32"/>
    </row>
    <row r="6565" spans="1:8" x14ac:dyDescent="0.3">
      <c r="A6565" s="461" t="s">
        <v>57</v>
      </c>
      <c r="B6565" s="462"/>
      <c r="C6565" s="462"/>
      <c r="D6565" s="463"/>
      <c r="E6565" s="25"/>
      <c r="F6565" s="28"/>
      <c r="G6565" s="25"/>
      <c r="H6565" s="32"/>
    </row>
    <row r="6566" spans="1:8" ht="15.6" x14ac:dyDescent="0.3">
      <c r="A6566" s="464" t="s">
        <v>58</v>
      </c>
      <c r="B6566" s="465"/>
      <c r="C6566" s="465"/>
      <c r="D6566" s="510"/>
      <c r="E6566" s="572" t="s">
        <v>59</v>
      </c>
      <c r="F6566" s="573"/>
      <c r="G6566" s="573"/>
      <c r="H6566" s="574"/>
    </row>
    <row r="6567" spans="1:8" x14ac:dyDescent="0.3">
      <c r="A6567" s="340"/>
      <c r="B6567" s="262"/>
      <c r="C6567" s="262"/>
      <c r="D6567" s="341"/>
      <c r="E6567" s="342"/>
      <c r="F6567" s="262"/>
      <c r="G6567" s="343"/>
      <c r="H6567" s="263"/>
    </row>
    <row r="6571" spans="1:8" ht="44.4" x14ac:dyDescent="0.7">
      <c r="A6571" s="469" t="s">
        <v>0</v>
      </c>
      <c r="B6571" s="470"/>
      <c r="C6571" s="470"/>
      <c r="D6571" s="470"/>
      <c r="E6571" s="531" t="s">
        <v>1</v>
      </c>
      <c r="F6571" s="544"/>
      <c r="G6571" s="544"/>
      <c r="H6571" s="545"/>
    </row>
    <row r="6572" spans="1:8" ht="20.399999999999999" x14ac:dyDescent="0.35">
      <c r="A6572" s="1"/>
      <c r="B6572" s="476" t="s">
        <v>2</v>
      </c>
      <c r="C6572" s="476"/>
      <c r="D6572" s="476"/>
      <c r="E6572" s="546"/>
      <c r="F6572" s="546"/>
      <c r="G6572" s="546"/>
      <c r="H6572" s="547"/>
    </row>
    <row r="6573" spans="1:8" x14ac:dyDescent="0.3">
      <c r="A6573" s="477" t="s">
        <v>3</v>
      </c>
      <c r="B6573" s="478"/>
      <c r="C6573" s="479" t="s">
        <v>4</v>
      </c>
      <c r="D6573" s="479"/>
      <c r="E6573" s="548" t="s">
        <v>5</v>
      </c>
      <c r="F6573" s="549"/>
      <c r="G6573" s="549"/>
      <c r="H6573" s="550"/>
    </row>
    <row r="6574" spans="1:8" ht="15.6" x14ac:dyDescent="0.3">
      <c r="A6574" s="4" t="s">
        <v>6</v>
      </c>
      <c r="B6574" s="5"/>
      <c r="C6574" s="481" t="s">
        <v>7</v>
      </c>
      <c r="D6574" s="481"/>
      <c r="E6574" s="482">
        <v>143</v>
      </c>
      <c r="F6574" s="482"/>
      <c r="G6574" s="7" t="s">
        <v>8</v>
      </c>
      <c r="H6574" s="122" t="s">
        <v>1192</v>
      </c>
    </row>
    <row r="6575" spans="1:8" ht="15.6" x14ac:dyDescent="0.3">
      <c r="A6575" s="551" t="s">
        <v>978</v>
      </c>
      <c r="B6575" s="552"/>
      <c r="C6575" s="481" t="s">
        <v>10</v>
      </c>
      <c r="D6575" s="481"/>
      <c r="E6575" s="482" t="s">
        <v>1216</v>
      </c>
      <c r="F6575" s="482"/>
      <c r="G6575" s="7" t="s">
        <v>8</v>
      </c>
      <c r="H6575" s="122">
        <v>45910</v>
      </c>
    </row>
    <row r="6576" spans="1:8" ht="15" x14ac:dyDescent="0.3">
      <c r="A6576" s="517" t="s">
        <v>979</v>
      </c>
      <c r="B6576" s="553"/>
      <c r="C6576" s="483" t="s">
        <v>12</v>
      </c>
      <c r="D6576" s="484"/>
      <c r="E6576" s="584"/>
      <c r="F6576" s="585"/>
      <c r="G6576" s="10" t="s">
        <v>8</v>
      </c>
      <c r="H6576" s="82"/>
    </row>
    <row r="6577" spans="1:9" ht="15.6" x14ac:dyDescent="0.3">
      <c r="A6577" s="556" t="s">
        <v>14</v>
      </c>
      <c r="B6577" s="557"/>
      <c r="C6577" s="481" t="s">
        <v>15</v>
      </c>
      <c r="D6577" s="481"/>
      <c r="E6577" s="502" t="s">
        <v>980</v>
      </c>
      <c r="F6577" s="503"/>
      <c r="G6577" s="503"/>
      <c r="H6577" s="504"/>
    </row>
    <row r="6578" spans="1:9" ht="15.6" x14ac:dyDescent="0.3">
      <c r="A6578" s="558" t="s">
        <v>981</v>
      </c>
      <c r="B6578" s="559"/>
      <c r="C6578" s="489"/>
      <c r="D6578" s="490"/>
      <c r="E6578" s="490"/>
      <c r="F6578" s="490"/>
      <c r="G6578" s="490"/>
      <c r="H6578" s="491"/>
    </row>
    <row r="6579" spans="1:9" ht="15" x14ac:dyDescent="0.3">
      <c r="A6579" s="492" t="s">
        <v>17</v>
      </c>
      <c r="B6579" s="494" t="s">
        <v>18</v>
      </c>
      <c r="C6579" s="494" t="s">
        <v>19</v>
      </c>
      <c r="D6579" s="494" t="s">
        <v>20</v>
      </c>
      <c r="E6579" s="494" t="s">
        <v>21</v>
      </c>
      <c r="F6579" s="494" t="s">
        <v>22</v>
      </c>
      <c r="G6579" s="494"/>
      <c r="H6579" s="492" t="s">
        <v>23</v>
      </c>
    </row>
    <row r="6580" spans="1:9" ht="27.6" x14ac:dyDescent="0.3">
      <c r="A6580" s="492"/>
      <c r="B6580" s="494"/>
      <c r="C6580" s="494"/>
      <c r="D6580" s="494"/>
      <c r="E6580" s="494"/>
      <c r="F6580" s="53" t="s">
        <v>24</v>
      </c>
      <c r="G6580" s="53" t="s">
        <v>25</v>
      </c>
      <c r="H6580" s="492"/>
    </row>
    <row r="6581" spans="1:9" x14ac:dyDescent="0.3">
      <c r="A6581" s="55">
        <v>1</v>
      </c>
      <c r="B6581" s="130" t="s">
        <v>1213</v>
      </c>
      <c r="C6581" s="55">
        <v>1</v>
      </c>
      <c r="D6581" s="20">
        <v>998719</v>
      </c>
      <c r="E6581" s="55">
        <v>4768</v>
      </c>
      <c r="F6581" s="93">
        <f>E6581*C6581*9%</f>
        <v>429.12</v>
      </c>
      <c r="G6581" s="93">
        <f>F6581</f>
        <v>429.12</v>
      </c>
      <c r="H6581" s="62">
        <f>E6581*C6581+F6581+G6581</f>
        <v>5626.24</v>
      </c>
      <c r="I6581" s="362">
        <f>E6581*C6581</f>
        <v>4768</v>
      </c>
    </row>
    <row r="6582" spans="1:9" x14ac:dyDescent="0.3">
      <c r="A6582" s="55">
        <v>2</v>
      </c>
      <c r="B6582" s="130" t="s">
        <v>1205</v>
      </c>
      <c r="C6582" s="55">
        <v>1</v>
      </c>
      <c r="D6582" s="20">
        <v>998719</v>
      </c>
      <c r="E6582" s="55">
        <v>750</v>
      </c>
      <c r="F6582" s="93">
        <f>E6582*C6582*9%</f>
        <v>67.5</v>
      </c>
      <c r="G6582" s="93">
        <f>F6582</f>
        <v>67.5</v>
      </c>
      <c r="H6582" s="62">
        <f>E6582*C6582+F6582+G6582</f>
        <v>885</v>
      </c>
      <c r="I6582" s="362">
        <f t="shared" ref="I6582:I6584" si="159">E6582*C6582</f>
        <v>750</v>
      </c>
    </row>
    <row r="6583" spans="1:9" x14ac:dyDescent="0.3">
      <c r="A6583" s="55">
        <v>3</v>
      </c>
      <c r="B6583" s="130" t="s">
        <v>1214</v>
      </c>
      <c r="C6583" s="55">
        <v>3</v>
      </c>
      <c r="D6583" s="20">
        <v>998719</v>
      </c>
      <c r="E6583" s="57">
        <v>500</v>
      </c>
      <c r="F6583" s="93">
        <f t="shared" ref="F6583:F6584" si="160">E6583*C6583*9%</f>
        <v>135</v>
      </c>
      <c r="G6583" s="93">
        <f t="shared" ref="G6583:G6584" si="161">F6583</f>
        <v>135</v>
      </c>
      <c r="H6583" s="62">
        <f t="shared" ref="H6583:H6584" si="162">E6583*C6583+F6583+G6583</f>
        <v>1770</v>
      </c>
      <c r="I6583" s="362">
        <f t="shared" si="159"/>
        <v>1500</v>
      </c>
    </row>
    <row r="6584" spans="1:9" x14ac:dyDescent="0.3">
      <c r="A6584" s="55">
        <v>4</v>
      </c>
      <c r="B6584" s="130" t="s">
        <v>1215</v>
      </c>
      <c r="C6584" s="55">
        <v>1</v>
      </c>
      <c r="D6584" s="20">
        <v>998719</v>
      </c>
      <c r="E6584" s="57">
        <v>700</v>
      </c>
      <c r="F6584" s="93">
        <f t="shared" si="160"/>
        <v>63</v>
      </c>
      <c r="G6584" s="93">
        <f t="shared" si="161"/>
        <v>63</v>
      </c>
      <c r="H6584" s="62">
        <f t="shared" si="162"/>
        <v>826</v>
      </c>
      <c r="I6584" s="362">
        <f t="shared" si="159"/>
        <v>700</v>
      </c>
    </row>
    <row r="6585" spans="1:9" x14ac:dyDescent="0.3">
      <c r="A6585" s="55"/>
      <c r="B6585" s="130"/>
      <c r="C6585" s="83"/>
      <c r="D6585" s="83"/>
      <c r="E6585" s="57"/>
      <c r="F6585" s="57"/>
      <c r="G6585" s="57"/>
      <c r="H6585" s="57"/>
    </row>
    <row r="6586" spans="1:9" x14ac:dyDescent="0.3">
      <c r="A6586" s="55"/>
      <c r="B6586" s="130"/>
      <c r="C6586" s="83"/>
      <c r="D6586" s="83"/>
      <c r="E6586" s="57"/>
      <c r="F6586" s="57"/>
      <c r="G6586" s="57"/>
      <c r="H6586" s="57"/>
    </row>
    <row r="6587" spans="1:9" x14ac:dyDescent="0.3">
      <c r="A6587" s="55"/>
      <c r="B6587" s="130"/>
      <c r="C6587" s="83"/>
      <c r="D6587" s="83"/>
      <c r="E6587" s="57"/>
      <c r="F6587" s="57"/>
      <c r="G6587" s="57"/>
      <c r="H6587" s="57"/>
    </row>
    <row r="6588" spans="1:9" x14ac:dyDescent="0.3">
      <c r="A6588" s="55"/>
      <c r="B6588" s="130"/>
      <c r="C6588" s="83"/>
      <c r="D6588" s="57"/>
      <c r="E6588" s="57"/>
      <c r="F6588" s="57"/>
      <c r="G6588" s="57"/>
      <c r="H6588" s="57"/>
    </row>
    <row r="6589" spans="1:9" x14ac:dyDescent="0.3">
      <c r="A6589" s="194"/>
      <c r="B6589" s="195"/>
      <c r="C6589" s="196"/>
      <c r="D6589" s="194"/>
      <c r="E6589" s="194"/>
      <c r="F6589" s="145"/>
      <c r="G6589" s="197"/>
      <c r="H6589" s="198"/>
    </row>
    <row r="6590" spans="1:9" x14ac:dyDescent="0.3">
      <c r="A6590" s="199"/>
      <c r="B6590" s="200"/>
      <c r="C6590" s="201"/>
      <c r="D6590" s="202"/>
      <c r="E6590" s="203"/>
      <c r="F6590" s="204"/>
      <c r="G6590" s="204"/>
      <c r="H6590" s="205"/>
    </row>
    <row r="6591" spans="1:9" x14ac:dyDescent="0.3">
      <c r="A6591" s="173"/>
      <c r="B6591" s="88"/>
      <c r="C6591" s="206"/>
      <c r="D6591" s="89"/>
      <c r="E6591" s="207"/>
      <c r="F6591" s="25"/>
      <c r="G6591" s="25"/>
      <c r="H6591" s="32"/>
    </row>
    <row r="6592" spans="1:9" x14ac:dyDescent="0.3">
      <c r="A6592" s="173"/>
      <c r="B6592" s="88"/>
      <c r="C6592" s="206"/>
      <c r="D6592" s="89"/>
      <c r="E6592" s="207"/>
      <c r="F6592" s="25"/>
      <c r="G6592" s="25"/>
      <c r="H6592" s="32"/>
    </row>
    <row r="6593" spans="1:8" x14ac:dyDescent="0.3">
      <c r="A6593" s="173"/>
      <c r="B6593" s="88"/>
      <c r="C6593" s="206"/>
      <c r="D6593" s="89"/>
      <c r="E6593" s="207"/>
      <c r="F6593" s="25"/>
      <c r="G6593" s="25"/>
      <c r="H6593" s="32"/>
    </row>
    <row r="6594" spans="1:8" x14ac:dyDescent="0.3">
      <c r="A6594" s="173"/>
      <c r="B6594" s="88"/>
      <c r="C6594" s="206"/>
      <c r="D6594" s="89"/>
      <c r="E6594" s="207"/>
      <c r="F6594" s="25"/>
      <c r="G6594" s="25"/>
      <c r="H6594" s="32"/>
    </row>
    <row r="6595" spans="1:8" x14ac:dyDescent="0.3">
      <c r="A6595" s="173"/>
      <c r="B6595" s="88"/>
      <c r="C6595" s="206"/>
      <c r="D6595" s="89"/>
      <c r="E6595" s="207"/>
      <c r="F6595" s="25"/>
      <c r="G6595" s="25"/>
      <c r="H6595" s="32"/>
    </row>
    <row r="6596" spans="1:8" x14ac:dyDescent="0.3">
      <c r="A6596" s="173"/>
      <c r="B6596" s="88"/>
      <c r="C6596" s="206"/>
      <c r="D6596" s="89"/>
      <c r="E6596" s="207"/>
      <c r="F6596" s="25"/>
      <c r="G6596" s="25"/>
      <c r="H6596" s="32"/>
    </row>
    <row r="6597" spans="1:8" x14ac:dyDescent="0.3">
      <c r="A6597" s="173"/>
      <c r="B6597" s="88"/>
      <c r="C6597" s="206"/>
      <c r="D6597" s="89"/>
      <c r="E6597" s="207"/>
      <c r="F6597" s="25"/>
      <c r="G6597" s="25"/>
      <c r="H6597" s="32"/>
    </row>
    <row r="6598" spans="1:8" x14ac:dyDescent="0.3">
      <c r="A6598" s="173"/>
      <c r="B6598" s="88"/>
      <c r="C6598" s="206"/>
      <c r="D6598" s="89"/>
      <c r="E6598" s="207"/>
      <c r="F6598" s="25"/>
      <c r="G6598" s="25"/>
      <c r="H6598" s="32"/>
    </row>
    <row r="6599" spans="1:8" x14ac:dyDescent="0.3">
      <c r="A6599" s="173"/>
      <c r="B6599" s="88"/>
      <c r="C6599" s="206"/>
      <c r="D6599" s="89"/>
      <c r="E6599" s="207"/>
      <c r="F6599" s="25"/>
      <c r="G6599" s="25"/>
      <c r="H6599" s="32"/>
    </row>
    <row r="6600" spans="1:8" x14ac:dyDescent="0.3">
      <c r="A6600" s="173"/>
      <c r="B6600" s="88"/>
      <c r="C6600" s="206"/>
      <c r="D6600" s="89"/>
      <c r="E6600" s="25"/>
      <c r="F6600" s="25"/>
      <c r="G6600" s="25"/>
      <c r="H6600" s="32"/>
    </row>
    <row r="6601" spans="1:8" x14ac:dyDescent="0.3">
      <c r="A6601" s="27"/>
      <c r="B6601" s="88"/>
      <c r="C6601" s="24"/>
      <c r="D6601" s="89"/>
      <c r="E6601" s="25"/>
      <c r="F6601" s="25"/>
      <c r="G6601" s="25"/>
      <c r="H6601" s="32"/>
    </row>
    <row r="6602" spans="1:8" x14ac:dyDescent="0.3">
      <c r="A6602" s="27"/>
      <c r="B6602" s="28"/>
      <c r="C6602" s="24"/>
      <c r="D6602" s="25"/>
      <c r="E6602" s="25"/>
      <c r="F6602" s="28"/>
      <c r="G6602" s="28"/>
      <c r="H6602" s="32"/>
    </row>
    <row r="6603" spans="1:8" ht="15.6" x14ac:dyDescent="0.3">
      <c r="A6603" s="448" t="s">
        <v>45</v>
      </c>
      <c r="B6603" s="449"/>
      <c r="C6603" s="24"/>
      <c r="D6603" s="25"/>
      <c r="E6603" s="25"/>
      <c r="F6603" s="447" t="s">
        <v>46</v>
      </c>
      <c r="G6603" s="447"/>
      <c r="H6603" s="66">
        <v>7718</v>
      </c>
    </row>
    <row r="6604" spans="1:8" ht="15.6" x14ac:dyDescent="0.3">
      <c r="A6604" s="497" t="s">
        <v>1217</v>
      </c>
      <c r="B6604" s="498"/>
      <c r="C6604" s="498"/>
      <c r="D6604" s="498"/>
      <c r="E6604" s="498"/>
      <c r="F6604" s="447" t="s">
        <v>47</v>
      </c>
      <c r="G6604" s="447"/>
      <c r="H6604" s="66">
        <f>H6603*9%</f>
        <v>694.62</v>
      </c>
    </row>
    <row r="6605" spans="1:8" ht="15.6" x14ac:dyDescent="0.3">
      <c r="A6605" s="27"/>
      <c r="B6605" s="28"/>
      <c r="C6605" s="24"/>
      <c r="D6605" s="25"/>
      <c r="E6605" s="25"/>
      <c r="F6605" s="447" t="s">
        <v>48</v>
      </c>
      <c r="G6605" s="447"/>
      <c r="H6605" s="66">
        <f>H6604</f>
        <v>694.62</v>
      </c>
    </row>
    <row r="6606" spans="1:8" ht="15.6" x14ac:dyDescent="0.3">
      <c r="A6606" s="90" t="s">
        <v>49</v>
      </c>
      <c r="B6606" s="28"/>
      <c r="C6606" s="24"/>
      <c r="D6606" s="25"/>
      <c r="E6606" s="25"/>
      <c r="F6606" s="447" t="s">
        <v>50</v>
      </c>
      <c r="G6606" s="447"/>
      <c r="H6606" s="66">
        <v>9107</v>
      </c>
    </row>
    <row r="6607" spans="1:8" ht="26.4" x14ac:dyDescent="0.3">
      <c r="A6607" s="68" t="s">
        <v>22</v>
      </c>
      <c r="B6607" s="30" t="s">
        <v>51</v>
      </c>
      <c r="C6607" s="70" t="s">
        <v>24</v>
      </c>
      <c r="D6607" s="70" t="s">
        <v>25</v>
      </c>
      <c r="E6607" s="543" t="s">
        <v>52</v>
      </c>
      <c r="F6607" s="543"/>
      <c r="G6607" s="28"/>
      <c r="H6607" s="32"/>
    </row>
    <row r="6608" spans="1:8" x14ac:dyDescent="0.3">
      <c r="A6608" s="72">
        <v>0.18</v>
      </c>
      <c r="B6608" s="73">
        <f>H6603</f>
        <v>7718</v>
      </c>
      <c r="C6608" s="91">
        <f>H6604</f>
        <v>694.62</v>
      </c>
      <c r="D6608" s="91">
        <f>H6604</f>
        <v>694.62</v>
      </c>
      <c r="E6608" s="506">
        <f>C6608+D6608</f>
        <v>1389.24</v>
      </c>
      <c r="F6608" s="507"/>
      <c r="G6608" s="74"/>
      <c r="H6608" s="75"/>
    </row>
    <row r="6609" spans="1:8" x14ac:dyDescent="0.3">
      <c r="A6609" s="508" t="s">
        <v>1218</v>
      </c>
      <c r="B6609" s="509"/>
      <c r="C6609" s="509"/>
      <c r="D6609" s="509"/>
      <c r="E6609" s="453"/>
      <c r="F6609" s="453"/>
      <c r="G6609" s="453"/>
      <c r="H6609" s="454"/>
    </row>
    <row r="6610" spans="1:8" ht="15.6" x14ac:dyDescent="0.3">
      <c r="A6610" s="455" t="s">
        <v>53</v>
      </c>
      <c r="B6610" s="456"/>
      <c r="C6610" s="456"/>
      <c r="D6610" s="457"/>
      <c r="E6610" s="458" t="s">
        <v>54</v>
      </c>
      <c r="F6610" s="459"/>
      <c r="G6610" s="459"/>
      <c r="H6610" s="460"/>
    </row>
    <row r="6611" spans="1:8" x14ac:dyDescent="0.3">
      <c r="A6611" s="461" t="s">
        <v>55</v>
      </c>
      <c r="B6611" s="462"/>
      <c r="C6611" s="462"/>
      <c r="D6611" s="463"/>
      <c r="E6611" s="39"/>
      <c r="F6611" s="28"/>
      <c r="G6611" s="28"/>
      <c r="H6611" s="32"/>
    </row>
    <row r="6612" spans="1:8" x14ac:dyDescent="0.3">
      <c r="A6612" s="461" t="s">
        <v>56</v>
      </c>
      <c r="B6612" s="462"/>
      <c r="C6612" s="462"/>
      <c r="D6612" s="463"/>
      <c r="E6612" s="39"/>
      <c r="F6612" s="28"/>
      <c r="G6612" s="28"/>
      <c r="H6612" s="32"/>
    </row>
    <row r="6613" spans="1:8" x14ac:dyDescent="0.3">
      <c r="A6613" s="461" t="s">
        <v>57</v>
      </c>
      <c r="B6613" s="462"/>
      <c r="C6613" s="462"/>
      <c r="D6613" s="463"/>
      <c r="E6613" s="39"/>
      <c r="F6613" s="28"/>
      <c r="G6613" s="28"/>
      <c r="H6613" s="32"/>
    </row>
    <row r="6614" spans="1:8" ht="15.6" x14ac:dyDescent="0.3">
      <c r="A6614" s="464" t="s">
        <v>58</v>
      </c>
      <c r="B6614" s="465"/>
      <c r="C6614" s="465"/>
      <c r="D6614" s="465"/>
      <c r="E6614" s="466" t="s">
        <v>59</v>
      </c>
      <c r="F6614" s="467"/>
      <c r="G6614" s="467"/>
      <c r="H6614" s="468"/>
    </row>
    <row r="6618" spans="1:8" ht="44.4" x14ac:dyDescent="0.7">
      <c r="A6618" s="469" t="s">
        <v>0</v>
      </c>
      <c r="B6618" s="470"/>
      <c r="C6618" s="470"/>
      <c r="D6618" s="470"/>
      <c r="E6618" s="531" t="s">
        <v>1</v>
      </c>
      <c r="F6618" s="544"/>
      <c r="G6618" s="544"/>
      <c r="H6618" s="545"/>
    </row>
    <row r="6619" spans="1:8" ht="20.399999999999999" x14ac:dyDescent="0.35">
      <c r="A6619" s="1"/>
      <c r="B6619" s="476" t="s">
        <v>2</v>
      </c>
      <c r="C6619" s="476"/>
      <c r="D6619" s="476"/>
      <c r="E6619" s="546"/>
      <c r="F6619" s="546"/>
      <c r="G6619" s="546"/>
      <c r="H6619" s="547"/>
    </row>
    <row r="6620" spans="1:8" x14ac:dyDescent="0.3">
      <c r="A6620" s="477" t="s">
        <v>3</v>
      </c>
      <c r="B6620" s="478"/>
      <c r="C6620" s="479" t="s">
        <v>4</v>
      </c>
      <c r="D6620" s="479"/>
      <c r="E6620" s="480" t="s">
        <v>5</v>
      </c>
      <c r="F6620" s="480"/>
      <c r="G6620" s="480"/>
      <c r="H6620" s="480"/>
    </row>
    <row r="6621" spans="1:8" ht="15.6" x14ac:dyDescent="0.3">
      <c r="A6621" s="4" t="s">
        <v>6</v>
      </c>
      <c r="B6621" s="5"/>
      <c r="C6621" s="481" t="s">
        <v>7</v>
      </c>
      <c r="D6621" s="481"/>
      <c r="E6621" s="482">
        <v>144</v>
      </c>
      <c r="F6621" s="482"/>
      <c r="G6621" s="7" t="s">
        <v>8</v>
      </c>
      <c r="H6621" s="354" t="s">
        <v>1219</v>
      </c>
    </row>
    <row r="6622" spans="1:8" ht="15.6" x14ac:dyDescent="0.3">
      <c r="A6622" s="551" t="s">
        <v>458</v>
      </c>
      <c r="B6622" s="552"/>
      <c r="C6622" s="481" t="s">
        <v>10</v>
      </c>
      <c r="D6622" s="481"/>
      <c r="E6622" s="482">
        <v>23</v>
      </c>
      <c r="F6622" s="482"/>
      <c r="G6622" s="7" t="s">
        <v>8</v>
      </c>
      <c r="H6622" s="354" t="s">
        <v>1220</v>
      </c>
    </row>
    <row r="6623" spans="1:8" ht="21.75" customHeight="1" x14ac:dyDescent="0.3">
      <c r="A6623" s="560" t="s">
        <v>459</v>
      </c>
      <c r="B6623" s="561"/>
      <c r="C6623" s="483" t="s">
        <v>12</v>
      </c>
      <c r="D6623" s="484"/>
      <c r="E6623" s="564"/>
      <c r="F6623" s="593"/>
      <c r="G6623" s="10" t="s">
        <v>8</v>
      </c>
      <c r="H6623" s="355"/>
    </row>
    <row r="6624" spans="1:8" ht="15.6" x14ac:dyDescent="0.3">
      <c r="A6624" s="253" t="s">
        <v>460</v>
      </c>
      <c r="B6624" s="254"/>
      <c r="C6624" s="481" t="s">
        <v>15</v>
      </c>
      <c r="D6624" s="481"/>
      <c r="E6624" s="489" t="s">
        <v>461</v>
      </c>
      <c r="F6624" s="490"/>
      <c r="G6624" s="490"/>
      <c r="H6624" s="491"/>
    </row>
    <row r="6625" spans="1:11" ht="15.6" x14ac:dyDescent="0.3">
      <c r="A6625" s="255" t="s">
        <v>1221</v>
      </c>
      <c r="B6625" s="256"/>
      <c r="C6625" s="489"/>
      <c r="D6625" s="490"/>
      <c r="E6625" s="490"/>
      <c r="F6625" s="490"/>
      <c r="G6625" s="490"/>
      <c r="H6625" s="491"/>
    </row>
    <row r="6626" spans="1:11" ht="15" x14ac:dyDescent="0.3">
      <c r="A6626" s="492" t="s">
        <v>17</v>
      </c>
      <c r="B6626" s="494" t="s">
        <v>18</v>
      </c>
      <c r="C6626" s="494" t="s">
        <v>19</v>
      </c>
      <c r="D6626" s="495" t="s">
        <v>20</v>
      </c>
      <c r="E6626" s="494" t="s">
        <v>21</v>
      </c>
      <c r="F6626" s="494" t="s">
        <v>22</v>
      </c>
      <c r="G6626" s="494"/>
      <c r="H6626" s="492" t="s">
        <v>23</v>
      </c>
    </row>
    <row r="6627" spans="1:11" ht="27.6" x14ac:dyDescent="0.3">
      <c r="A6627" s="492"/>
      <c r="B6627" s="494"/>
      <c r="C6627" s="494"/>
      <c r="D6627" s="505"/>
      <c r="E6627" s="494"/>
      <c r="F6627" s="53" t="s">
        <v>24</v>
      </c>
      <c r="G6627" s="53" t="s">
        <v>25</v>
      </c>
      <c r="H6627" s="492"/>
    </row>
    <row r="6628" spans="1:11" x14ac:dyDescent="0.3">
      <c r="A6628" s="55">
        <v>1</v>
      </c>
      <c r="B6628" s="84" t="s">
        <v>1222</v>
      </c>
      <c r="C6628" s="55">
        <v>30</v>
      </c>
      <c r="D6628" s="356">
        <v>85446020</v>
      </c>
      <c r="E6628" s="55">
        <v>137</v>
      </c>
      <c r="F6628" s="55">
        <f>E6628*C6628*9%</f>
        <v>369.9</v>
      </c>
      <c r="G6628" s="55">
        <f>F6628</f>
        <v>369.9</v>
      </c>
      <c r="H6628" s="55">
        <f>G6628+F6628+E6628*C6628</f>
        <v>4849.8</v>
      </c>
      <c r="I6628" s="362">
        <f>E6628*C6628</f>
        <v>4110</v>
      </c>
    </row>
    <row r="6629" spans="1:11" x14ac:dyDescent="0.3">
      <c r="A6629" s="55">
        <v>2</v>
      </c>
      <c r="B6629" s="257" t="s">
        <v>1223</v>
      </c>
      <c r="C6629" s="55">
        <v>1</v>
      </c>
      <c r="D6629" s="361">
        <v>998719</v>
      </c>
      <c r="E6629" s="55">
        <v>500</v>
      </c>
      <c r="F6629" s="55">
        <f>E6629*C6629*9%</f>
        <v>45</v>
      </c>
      <c r="G6629" s="55">
        <f>F6629</f>
        <v>45</v>
      </c>
      <c r="H6629" s="55">
        <f>G6629+F6629+E6629*C6629</f>
        <v>590</v>
      </c>
      <c r="I6629" s="362">
        <f>E6629*C6629</f>
        <v>500</v>
      </c>
    </row>
    <row r="6630" spans="1:11" x14ac:dyDescent="0.3">
      <c r="A6630" s="55"/>
      <c r="B6630" s="257"/>
      <c r="C6630" s="55"/>
      <c r="D6630" s="55"/>
      <c r="E6630" s="55"/>
      <c r="F6630" s="55"/>
      <c r="G6630" s="55"/>
      <c r="H6630" s="55"/>
      <c r="K6630" t="s">
        <v>1282</v>
      </c>
    </row>
    <row r="6631" spans="1:11" x14ac:dyDescent="0.3">
      <c r="A6631" s="55"/>
      <c r="B6631" s="257"/>
      <c r="C6631" s="55"/>
      <c r="D6631" s="55"/>
      <c r="E6631" s="55"/>
      <c r="F6631" s="55"/>
      <c r="G6631" s="55"/>
      <c r="H6631" s="55"/>
    </row>
    <row r="6632" spans="1:11" x14ac:dyDescent="0.3">
      <c r="A6632" s="55"/>
      <c r="B6632" s="257"/>
      <c r="C6632" s="55"/>
      <c r="D6632" s="55"/>
      <c r="E6632" s="55"/>
      <c r="F6632" s="55"/>
      <c r="G6632" s="55"/>
      <c r="H6632" s="55"/>
    </row>
    <row r="6633" spans="1:11" x14ac:dyDescent="0.3">
      <c r="A6633" s="55"/>
      <c r="B6633" s="257"/>
      <c r="C6633" s="55"/>
      <c r="D6633" s="55"/>
      <c r="E6633" s="55"/>
      <c r="F6633" s="55"/>
      <c r="G6633" s="55"/>
      <c r="H6633" s="55"/>
    </row>
    <row r="6634" spans="1:11" x14ac:dyDescent="0.3">
      <c r="A6634" s="55"/>
      <c r="B6634" s="257"/>
      <c r="C6634" s="55"/>
      <c r="D6634" s="55"/>
      <c r="E6634" s="55"/>
      <c r="F6634" s="55"/>
      <c r="G6634" s="55"/>
      <c r="H6634" s="55"/>
    </row>
    <row r="6635" spans="1:11" x14ac:dyDescent="0.3">
      <c r="A6635" s="55"/>
      <c r="B6635" s="257"/>
      <c r="C6635" s="20"/>
      <c r="D6635" s="86"/>
      <c r="E6635" s="55"/>
      <c r="F6635" s="55"/>
      <c r="G6635" s="55"/>
      <c r="H6635" s="55"/>
    </row>
    <row r="6636" spans="1:11" x14ac:dyDescent="0.3">
      <c r="A6636" s="55"/>
      <c r="B6636" s="257"/>
      <c r="C6636" s="20"/>
      <c r="D6636" s="86"/>
      <c r="E6636" s="55"/>
      <c r="F6636" s="55"/>
      <c r="G6636" s="55"/>
      <c r="H6636" s="55"/>
    </row>
    <row r="6637" spans="1:11" x14ac:dyDescent="0.3">
      <c r="A6637" s="55"/>
      <c r="B6637" s="257"/>
      <c r="C6637" s="20"/>
      <c r="D6637" s="86"/>
      <c r="E6637" s="55"/>
      <c r="F6637" s="55"/>
      <c r="G6637" s="55"/>
      <c r="H6637" s="55"/>
    </row>
    <row r="6638" spans="1:11" x14ac:dyDescent="0.3">
      <c r="A6638" s="55"/>
      <c r="B6638" s="257"/>
      <c r="C6638" s="20"/>
      <c r="D6638" s="86"/>
      <c r="E6638" s="55"/>
      <c r="F6638" s="55"/>
      <c r="G6638" s="55"/>
      <c r="H6638" s="55"/>
    </row>
    <row r="6639" spans="1:11" x14ac:dyDescent="0.3">
      <c r="A6639" s="55"/>
      <c r="B6639" s="257"/>
      <c r="C6639" s="20"/>
      <c r="D6639" s="86"/>
      <c r="E6639" s="55"/>
      <c r="F6639" s="55"/>
      <c r="G6639" s="55"/>
      <c r="H6639" s="55"/>
    </row>
    <row r="6640" spans="1:11" x14ac:dyDescent="0.3">
      <c r="A6640" s="55"/>
      <c r="B6640" s="257"/>
      <c r="C6640" s="20"/>
      <c r="D6640" s="86"/>
      <c r="E6640" s="55"/>
      <c r="F6640" s="55"/>
      <c r="G6640" s="55"/>
      <c r="H6640" s="55"/>
    </row>
    <row r="6641" spans="1:8" x14ac:dyDescent="0.3">
      <c r="A6641" s="55"/>
      <c r="B6641" s="257"/>
      <c r="C6641" s="20"/>
      <c r="D6641" s="86"/>
      <c r="E6641" s="55"/>
      <c r="F6641" s="55"/>
      <c r="G6641" s="55"/>
      <c r="H6641" s="55"/>
    </row>
    <row r="6642" spans="1:8" x14ac:dyDescent="0.3">
      <c r="A6642" s="364"/>
      <c r="H6642" s="365"/>
    </row>
    <row r="6643" spans="1:8" x14ac:dyDescent="0.3">
      <c r="A6643" s="366"/>
      <c r="B6643" s="363"/>
      <c r="C6643" s="362"/>
      <c r="D6643" s="89"/>
      <c r="E6643" s="24"/>
      <c r="F6643" s="189"/>
      <c r="G6643" s="189"/>
      <c r="H6643" s="367"/>
    </row>
    <row r="6644" spans="1:8" x14ac:dyDescent="0.3">
      <c r="A6644" s="27"/>
      <c r="B6644" s="88"/>
      <c r="C6644" s="24"/>
      <c r="D6644" s="24"/>
      <c r="E6644" s="24"/>
      <c r="F6644" s="24"/>
      <c r="G6644" s="24"/>
      <c r="H6644" s="281"/>
    </row>
    <row r="6645" spans="1:8" x14ac:dyDescent="0.3">
      <c r="A6645" s="364"/>
      <c r="H6645" s="365"/>
    </row>
    <row r="6646" spans="1:8" x14ac:dyDescent="0.3">
      <c r="A6646" s="27"/>
      <c r="B6646" s="363"/>
      <c r="C6646" s="24"/>
      <c r="D6646" s="24"/>
      <c r="E6646" s="24"/>
      <c r="F6646" s="24"/>
      <c r="G6646" s="24"/>
      <c r="H6646" s="281"/>
    </row>
    <row r="6647" spans="1:8" x14ac:dyDescent="0.3">
      <c r="A6647" s="173"/>
      <c r="B6647" s="88"/>
      <c r="C6647" s="206"/>
      <c r="D6647" s="89"/>
      <c r="E6647" s="207"/>
      <c r="F6647" s="25"/>
      <c r="G6647" s="25"/>
      <c r="H6647" s="32"/>
    </row>
    <row r="6648" spans="1:8" x14ac:dyDescent="0.3">
      <c r="A6648" s="173"/>
      <c r="B6648" s="88"/>
      <c r="C6648" s="206"/>
      <c r="D6648" s="89"/>
      <c r="E6648" s="25"/>
      <c r="F6648" s="25"/>
      <c r="G6648" s="25"/>
      <c r="H6648" s="32"/>
    </row>
    <row r="6649" spans="1:8" x14ac:dyDescent="0.3">
      <c r="A6649" s="27"/>
      <c r="B6649" s="88"/>
      <c r="C6649" s="24"/>
      <c r="D6649" s="89"/>
      <c r="E6649" s="25"/>
      <c r="F6649" s="25"/>
      <c r="G6649" s="25"/>
      <c r="H6649" s="32"/>
    </row>
    <row r="6650" spans="1:8" x14ac:dyDescent="0.3">
      <c r="A6650" s="27"/>
      <c r="B6650" s="28"/>
      <c r="C6650" s="24"/>
      <c r="D6650" s="25"/>
      <c r="E6650" s="25"/>
      <c r="F6650" s="28"/>
      <c r="G6650" s="28"/>
      <c r="H6650" s="32"/>
    </row>
    <row r="6651" spans="1:8" ht="15.6" x14ac:dyDescent="0.3">
      <c r="A6651" s="448" t="s">
        <v>45</v>
      </c>
      <c r="B6651" s="449"/>
      <c r="C6651" s="24"/>
      <c r="D6651" s="25"/>
      <c r="E6651" s="25"/>
      <c r="F6651" s="447" t="s">
        <v>46</v>
      </c>
      <c r="G6651" s="447"/>
      <c r="H6651" s="66">
        <v>4610</v>
      </c>
    </row>
    <row r="6652" spans="1:8" ht="15.6" x14ac:dyDescent="0.3">
      <c r="A6652" s="497" t="s">
        <v>1290</v>
      </c>
      <c r="B6652" s="498"/>
      <c r="C6652" s="498"/>
      <c r="D6652" s="498"/>
      <c r="E6652" s="498"/>
      <c r="F6652" s="447" t="s">
        <v>47</v>
      </c>
      <c r="G6652" s="447"/>
      <c r="H6652" s="66">
        <f>H6651*9%</f>
        <v>414.9</v>
      </c>
    </row>
    <row r="6653" spans="1:8" ht="15.6" x14ac:dyDescent="0.3">
      <c r="A6653" s="27"/>
      <c r="B6653" s="28"/>
      <c r="C6653" s="24"/>
      <c r="D6653" s="25"/>
      <c r="E6653" s="25"/>
      <c r="F6653" s="447" t="s">
        <v>48</v>
      </c>
      <c r="G6653" s="447"/>
      <c r="H6653" s="66">
        <f>H6652</f>
        <v>414.9</v>
      </c>
    </row>
    <row r="6654" spans="1:8" ht="15.6" x14ac:dyDescent="0.3">
      <c r="A6654" s="64" t="s">
        <v>49</v>
      </c>
      <c r="B6654" s="65"/>
      <c r="C6654" s="24"/>
      <c r="D6654" s="25"/>
      <c r="E6654" s="25"/>
      <c r="F6654" s="447" t="s">
        <v>50</v>
      </c>
      <c r="G6654" s="447"/>
      <c r="H6654" s="66">
        <v>5440</v>
      </c>
    </row>
    <row r="6655" spans="1:8" ht="27" x14ac:dyDescent="0.3">
      <c r="A6655" s="68" t="s">
        <v>22</v>
      </c>
      <c r="B6655" s="30" t="s">
        <v>51</v>
      </c>
      <c r="C6655" s="70" t="s">
        <v>24</v>
      </c>
      <c r="D6655" s="31" t="s">
        <v>25</v>
      </c>
      <c r="E6655" s="450" t="s">
        <v>52</v>
      </c>
      <c r="F6655" s="450"/>
      <c r="G6655" s="28"/>
      <c r="H6655" s="32"/>
    </row>
    <row r="6656" spans="1:8" x14ac:dyDescent="0.3">
      <c r="A6656" s="72">
        <v>0.18</v>
      </c>
      <c r="B6656" s="73">
        <f>H6651</f>
        <v>4610</v>
      </c>
      <c r="C6656" s="91">
        <f>H6652</f>
        <v>414.9</v>
      </c>
      <c r="D6656" s="91">
        <f>H6652</f>
        <v>414.9</v>
      </c>
      <c r="E6656" s="506">
        <f>C6656+D6656</f>
        <v>829.8</v>
      </c>
      <c r="F6656" s="507"/>
      <c r="G6656" s="74"/>
      <c r="H6656" s="75"/>
    </row>
    <row r="6657" spans="1:8" x14ac:dyDescent="0.3">
      <c r="A6657" s="508" t="s">
        <v>1291</v>
      </c>
      <c r="B6657" s="509"/>
      <c r="C6657" s="509"/>
      <c r="D6657" s="509"/>
      <c r="E6657" s="453"/>
      <c r="F6657" s="453"/>
      <c r="G6657" s="453"/>
      <c r="H6657" s="454"/>
    </row>
    <row r="6658" spans="1:8" ht="15.6" x14ac:dyDescent="0.3">
      <c r="A6658" s="455" t="s">
        <v>53</v>
      </c>
      <c r="B6658" s="456"/>
      <c r="C6658" s="456"/>
      <c r="D6658" s="457"/>
      <c r="E6658" s="458" t="s">
        <v>54</v>
      </c>
      <c r="F6658" s="459"/>
      <c r="G6658" s="459"/>
      <c r="H6658" s="460"/>
    </row>
    <row r="6659" spans="1:8" x14ac:dyDescent="0.3">
      <c r="A6659" s="461" t="s">
        <v>55</v>
      </c>
      <c r="B6659" s="462"/>
      <c r="C6659" s="462"/>
      <c r="D6659" s="463"/>
      <c r="E6659" s="39"/>
      <c r="F6659" s="28"/>
      <c r="G6659" s="28"/>
      <c r="H6659" s="32"/>
    </row>
    <row r="6660" spans="1:8" x14ac:dyDescent="0.3">
      <c r="A6660" s="461" t="s">
        <v>56</v>
      </c>
      <c r="B6660" s="462"/>
      <c r="C6660" s="462"/>
      <c r="D6660" s="463"/>
      <c r="E6660" s="39"/>
      <c r="F6660" s="28"/>
      <c r="G6660" s="28"/>
      <c r="H6660" s="32"/>
    </row>
    <row r="6661" spans="1:8" x14ac:dyDescent="0.3">
      <c r="A6661" s="461" t="s">
        <v>57</v>
      </c>
      <c r="B6661" s="462"/>
      <c r="C6661" s="462"/>
      <c r="D6661" s="463"/>
      <c r="E6661" s="39"/>
      <c r="F6661" s="28"/>
      <c r="G6661" s="28"/>
      <c r="H6661" s="32"/>
    </row>
    <row r="6662" spans="1:8" ht="15.6" x14ac:dyDescent="0.3">
      <c r="A6662" s="464" t="s">
        <v>58</v>
      </c>
      <c r="B6662" s="465"/>
      <c r="C6662" s="465"/>
      <c r="D6662" s="465"/>
      <c r="E6662" s="466" t="s">
        <v>59</v>
      </c>
      <c r="F6662" s="467"/>
      <c r="G6662" s="467"/>
      <c r="H6662" s="468"/>
    </row>
    <row r="6665" spans="1:8" ht="44.4" x14ac:dyDescent="0.7">
      <c r="A6665" s="469" t="s">
        <v>0</v>
      </c>
      <c r="B6665" s="470"/>
      <c r="C6665" s="470"/>
      <c r="D6665" s="470"/>
      <c r="E6665" s="531" t="s">
        <v>1</v>
      </c>
      <c r="F6665" s="544"/>
      <c r="G6665" s="544"/>
      <c r="H6665" s="545"/>
    </row>
    <row r="6666" spans="1:8" ht="20.399999999999999" x14ac:dyDescent="0.35">
      <c r="A6666" s="1"/>
      <c r="B6666" s="476" t="s">
        <v>2</v>
      </c>
      <c r="C6666" s="476"/>
      <c r="D6666" s="476"/>
      <c r="E6666" s="546"/>
      <c r="F6666" s="546"/>
      <c r="G6666" s="546"/>
      <c r="H6666" s="547"/>
    </row>
    <row r="6667" spans="1:8" x14ac:dyDescent="0.3">
      <c r="A6667" s="477" t="s">
        <v>3</v>
      </c>
      <c r="B6667" s="478"/>
      <c r="C6667" s="479" t="s">
        <v>4</v>
      </c>
      <c r="D6667" s="479"/>
      <c r="E6667" s="480" t="s">
        <v>5</v>
      </c>
      <c r="F6667" s="480"/>
      <c r="G6667" s="480"/>
      <c r="H6667" s="480"/>
    </row>
    <row r="6668" spans="1:8" ht="15.6" x14ac:dyDescent="0.3">
      <c r="A6668" s="4" t="s">
        <v>6</v>
      </c>
      <c r="B6668" s="5"/>
      <c r="C6668" s="481" t="s">
        <v>7</v>
      </c>
      <c r="D6668" s="481"/>
      <c r="E6668" s="482">
        <v>145</v>
      </c>
      <c r="F6668" s="482"/>
      <c r="G6668" s="7" t="s">
        <v>8</v>
      </c>
      <c r="H6668" s="354" t="s">
        <v>1219</v>
      </c>
    </row>
    <row r="6669" spans="1:8" ht="15.6" x14ac:dyDescent="0.3">
      <c r="A6669" s="551" t="s">
        <v>458</v>
      </c>
      <c r="B6669" s="552"/>
      <c r="C6669" s="481" t="s">
        <v>10</v>
      </c>
      <c r="D6669" s="481"/>
      <c r="E6669" s="482">
        <v>22</v>
      </c>
      <c r="F6669" s="482"/>
      <c r="G6669" s="7" t="s">
        <v>8</v>
      </c>
      <c r="H6669" s="354" t="s">
        <v>1203</v>
      </c>
    </row>
    <row r="6670" spans="1:8" ht="24.75" customHeight="1" x14ac:dyDescent="0.3">
      <c r="A6670" s="560" t="s">
        <v>459</v>
      </c>
      <c r="B6670" s="561"/>
      <c r="C6670" s="483" t="s">
        <v>12</v>
      </c>
      <c r="D6670" s="484"/>
      <c r="E6670" s="652" t="s">
        <v>466</v>
      </c>
      <c r="F6670" s="653"/>
      <c r="G6670" s="10" t="s">
        <v>8</v>
      </c>
      <c r="H6670" s="252" t="s">
        <v>465</v>
      </c>
    </row>
    <row r="6671" spans="1:8" ht="15.6" x14ac:dyDescent="0.3">
      <c r="A6671" s="253" t="s">
        <v>460</v>
      </c>
      <c r="B6671" s="254"/>
      <c r="C6671" s="481" t="s">
        <v>15</v>
      </c>
      <c r="D6671" s="481"/>
      <c r="E6671" s="489" t="s">
        <v>461</v>
      </c>
      <c r="F6671" s="490"/>
      <c r="G6671" s="490"/>
      <c r="H6671" s="491"/>
    </row>
    <row r="6672" spans="1:8" ht="15.6" x14ac:dyDescent="0.3">
      <c r="A6672" s="255" t="s">
        <v>1224</v>
      </c>
      <c r="B6672" s="256"/>
      <c r="C6672" s="489"/>
      <c r="D6672" s="490"/>
      <c r="E6672" s="490"/>
      <c r="F6672" s="490"/>
      <c r="G6672" s="490"/>
      <c r="H6672" s="491"/>
    </row>
    <row r="6673" spans="1:9" ht="15" x14ac:dyDescent="0.3">
      <c r="A6673" s="492" t="s">
        <v>17</v>
      </c>
      <c r="B6673" s="494" t="s">
        <v>18</v>
      </c>
      <c r="C6673" s="494" t="s">
        <v>19</v>
      </c>
      <c r="D6673" s="495" t="s">
        <v>20</v>
      </c>
      <c r="E6673" s="494" t="s">
        <v>21</v>
      </c>
      <c r="F6673" s="494" t="s">
        <v>22</v>
      </c>
      <c r="G6673" s="494"/>
      <c r="H6673" s="492" t="s">
        <v>23</v>
      </c>
    </row>
    <row r="6674" spans="1:9" ht="27.6" x14ac:dyDescent="0.3">
      <c r="A6674" s="492"/>
      <c r="B6674" s="494"/>
      <c r="C6674" s="494"/>
      <c r="D6674" s="505"/>
      <c r="E6674" s="494"/>
      <c r="F6674" s="53" t="s">
        <v>24</v>
      </c>
      <c r="G6674" s="53" t="s">
        <v>25</v>
      </c>
      <c r="H6674" s="492"/>
    </row>
    <row r="6675" spans="1:9" x14ac:dyDescent="0.3">
      <c r="A6675" s="55">
        <v>1</v>
      </c>
      <c r="B6675" s="84" t="s">
        <v>1225</v>
      </c>
      <c r="C6675" s="55">
        <v>1</v>
      </c>
      <c r="D6675" s="361">
        <v>998719</v>
      </c>
      <c r="E6675" s="55">
        <v>2500</v>
      </c>
      <c r="F6675" s="55">
        <f>E6675*C6675*9%</f>
        <v>225</v>
      </c>
      <c r="G6675" s="55">
        <f>F6675</f>
        <v>225</v>
      </c>
      <c r="H6675" s="55">
        <f>G6675+F6675+E6675*C6675</f>
        <v>2950</v>
      </c>
      <c r="I6675" s="362">
        <f>E6675*C6675</f>
        <v>2500</v>
      </c>
    </row>
    <row r="6676" spans="1:9" x14ac:dyDescent="0.3">
      <c r="A6676" s="55">
        <v>2</v>
      </c>
      <c r="B6676" s="84" t="s">
        <v>1226</v>
      </c>
      <c r="C6676" s="55">
        <v>8</v>
      </c>
      <c r="D6676" s="361">
        <v>998719</v>
      </c>
      <c r="E6676" s="55">
        <v>2500</v>
      </c>
      <c r="F6676" s="55">
        <f>E6676*C6676*9%</f>
        <v>1800</v>
      </c>
      <c r="G6676" s="55">
        <f>F6676</f>
        <v>1800</v>
      </c>
      <c r="H6676" s="55">
        <f>G6676+F6676+E6676*C6676</f>
        <v>23600</v>
      </c>
      <c r="I6676" s="362">
        <f t="shared" ref="I6676:I6680" si="163">E6676*C6676</f>
        <v>20000</v>
      </c>
    </row>
    <row r="6677" spans="1:9" x14ac:dyDescent="0.3">
      <c r="A6677" s="55">
        <v>3</v>
      </c>
      <c r="B6677" s="84" t="s">
        <v>1227</v>
      </c>
      <c r="C6677" s="55">
        <v>7</v>
      </c>
      <c r="D6677" s="361">
        <v>998719</v>
      </c>
      <c r="E6677" s="55">
        <v>3000</v>
      </c>
      <c r="F6677" s="55">
        <f t="shared" ref="F6677:F6680" si="164">E6677*C6677*9%</f>
        <v>1890</v>
      </c>
      <c r="G6677" s="55">
        <f t="shared" ref="G6677:G6680" si="165">F6677</f>
        <v>1890</v>
      </c>
      <c r="H6677" s="55">
        <f t="shared" ref="H6677:H6680" si="166">G6677+F6677+E6677*C6677</f>
        <v>24780</v>
      </c>
      <c r="I6677" s="362">
        <f t="shared" si="163"/>
        <v>21000</v>
      </c>
    </row>
    <row r="6678" spans="1:9" x14ac:dyDescent="0.3">
      <c r="A6678" s="55">
        <v>4</v>
      </c>
      <c r="B6678" s="84" t="s">
        <v>1228</v>
      </c>
      <c r="C6678" s="55">
        <v>3</v>
      </c>
      <c r="D6678" s="361">
        <v>998719</v>
      </c>
      <c r="E6678" s="55">
        <v>4000</v>
      </c>
      <c r="F6678" s="55">
        <f t="shared" si="164"/>
        <v>1080</v>
      </c>
      <c r="G6678" s="55">
        <f t="shared" si="165"/>
        <v>1080</v>
      </c>
      <c r="H6678" s="55">
        <f t="shared" si="166"/>
        <v>14160</v>
      </c>
      <c r="I6678" s="362">
        <f t="shared" si="163"/>
        <v>12000</v>
      </c>
    </row>
    <row r="6679" spans="1:9" x14ac:dyDescent="0.3">
      <c r="A6679" s="55">
        <v>5</v>
      </c>
      <c r="B6679" s="84" t="s">
        <v>1229</v>
      </c>
      <c r="C6679" s="55">
        <v>3</v>
      </c>
      <c r="D6679" s="361">
        <v>998719</v>
      </c>
      <c r="E6679" s="55">
        <v>4000</v>
      </c>
      <c r="F6679" s="55">
        <f t="shared" si="164"/>
        <v>1080</v>
      </c>
      <c r="G6679" s="55">
        <f t="shared" si="165"/>
        <v>1080</v>
      </c>
      <c r="H6679" s="55">
        <f t="shared" si="166"/>
        <v>14160</v>
      </c>
      <c r="I6679" s="362">
        <f t="shared" si="163"/>
        <v>12000</v>
      </c>
    </row>
    <row r="6680" spans="1:9" x14ac:dyDescent="0.3">
      <c r="A6680" s="55">
        <v>6</v>
      </c>
      <c r="B6680" s="84" t="s">
        <v>1230</v>
      </c>
      <c r="C6680" s="55">
        <v>6</v>
      </c>
      <c r="D6680" s="361">
        <v>998719</v>
      </c>
      <c r="E6680" s="55">
        <v>4300</v>
      </c>
      <c r="F6680" s="55">
        <f t="shared" si="164"/>
        <v>2322</v>
      </c>
      <c r="G6680" s="55">
        <f t="shared" si="165"/>
        <v>2322</v>
      </c>
      <c r="H6680" s="55">
        <f t="shared" si="166"/>
        <v>30444</v>
      </c>
      <c r="I6680" s="362">
        <f t="shared" si="163"/>
        <v>25800</v>
      </c>
    </row>
    <row r="6681" spans="1:9" x14ac:dyDescent="0.3">
      <c r="A6681" s="55"/>
      <c r="B6681" s="257"/>
      <c r="C6681" s="55"/>
      <c r="D6681" s="55"/>
      <c r="E6681" s="55"/>
      <c r="F6681" s="55"/>
      <c r="G6681" s="55"/>
      <c r="H6681" s="55"/>
    </row>
    <row r="6682" spans="1:9" x14ac:dyDescent="0.3">
      <c r="A6682" s="55"/>
      <c r="B6682" s="257"/>
      <c r="C6682" s="20"/>
      <c r="D6682" s="86"/>
      <c r="E6682" s="55"/>
      <c r="F6682" s="55"/>
      <c r="G6682" s="55"/>
      <c r="H6682" s="55"/>
    </row>
    <row r="6683" spans="1:9" x14ac:dyDescent="0.3">
      <c r="A6683" s="55"/>
      <c r="B6683" s="257"/>
      <c r="C6683" s="20"/>
      <c r="D6683" s="86"/>
      <c r="E6683" s="55"/>
      <c r="F6683" s="55"/>
      <c r="G6683" s="55"/>
      <c r="H6683" s="55"/>
    </row>
    <row r="6684" spans="1:9" x14ac:dyDescent="0.3">
      <c r="A6684" s="55"/>
      <c r="B6684" s="257"/>
      <c r="C6684" s="20"/>
      <c r="D6684" s="86"/>
      <c r="E6684" s="55"/>
      <c r="F6684" s="55"/>
      <c r="G6684" s="55"/>
      <c r="H6684" s="55"/>
    </row>
    <row r="6685" spans="1:9" x14ac:dyDescent="0.3">
      <c r="A6685" s="55"/>
      <c r="B6685" s="257"/>
      <c r="C6685" s="20"/>
      <c r="D6685" s="86"/>
      <c r="E6685" s="55"/>
      <c r="F6685" s="55"/>
      <c r="G6685" s="55"/>
      <c r="H6685" s="55"/>
    </row>
    <row r="6686" spans="1:9" x14ac:dyDescent="0.3">
      <c r="A6686" s="55"/>
      <c r="B6686" s="257"/>
      <c r="C6686" s="20"/>
      <c r="D6686" s="86"/>
      <c r="E6686" s="55"/>
      <c r="F6686" s="55"/>
      <c r="G6686" s="55"/>
      <c r="H6686" s="55"/>
    </row>
    <row r="6687" spans="1:9" x14ac:dyDescent="0.3">
      <c r="A6687" s="55"/>
      <c r="B6687" s="257"/>
      <c r="C6687" s="20"/>
      <c r="D6687" s="86"/>
      <c r="E6687" s="55"/>
      <c r="F6687" s="55"/>
      <c r="G6687" s="55"/>
      <c r="H6687" s="55"/>
    </row>
    <row r="6688" spans="1:9" x14ac:dyDescent="0.3">
      <c r="A6688" s="55"/>
      <c r="B6688" s="257"/>
      <c r="C6688" s="20"/>
      <c r="D6688" s="86"/>
      <c r="E6688" s="55"/>
      <c r="F6688" s="55"/>
      <c r="G6688" s="55"/>
      <c r="H6688" s="55"/>
    </row>
    <row r="6689" spans="1:8" x14ac:dyDescent="0.3">
      <c r="A6689" s="364"/>
      <c r="H6689" s="365"/>
    </row>
    <row r="6690" spans="1:8" x14ac:dyDescent="0.3">
      <c r="A6690" s="366"/>
      <c r="B6690" s="363"/>
      <c r="C6690" s="362"/>
      <c r="D6690" s="89"/>
      <c r="E6690" s="24"/>
      <c r="F6690" s="189"/>
      <c r="G6690" s="189"/>
      <c r="H6690" s="367"/>
    </row>
    <row r="6691" spans="1:8" x14ac:dyDescent="0.3">
      <c r="A6691" s="27"/>
      <c r="B6691" s="88"/>
      <c r="C6691" s="24"/>
      <c r="D6691" s="24"/>
      <c r="E6691" s="24"/>
      <c r="F6691" s="24"/>
      <c r="G6691" s="24"/>
      <c r="H6691" s="281"/>
    </row>
    <row r="6692" spans="1:8" x14ac:dyDescent="0.3">
      <c r="A6692" s="364"/>
      <c r="H6692" s="365"/>
    </row>
    <row r="6693" spans="1:8" x14ac:dyDescent="0.3">
      <c r="A6693" s="27"/>
      <c r="B6693" s="363"/>
      <c r="C6693" s="24"/>
      <c r="D6693" s="24"/>
      <c r="E6693" s="24"/>
      <c r="F6693" s="24"/>
      <c r="G6693" s="24"/>
      <c r="H6693" s="281"/>
    </row>
    <row r="6694" spans="1:8" x14ac:dyDescent="0.3">
      <c r="A6694" s="173"/>
      <c r="B6694" s="88"/>
      <c r="C6694" s="206"/>
      <c r="D6694" s="89"/>
      <c r="E6694" s="207"/>
      <c r="F6694" s="25"/>
      <c r="G6694" s="25"/>
      <c r="H6694" s="32"/>
    </row>
    <row r="6695" spans="1:8" x14ac:dyDescent="0.3">
      <c r="A6695" s="173"/>
      <c r="B6695" s="88"/>
      <c r="C6695" s="206"/>
      <c r="D6695" s="89"/>
      <c r="E6695" s="25"/>
      <c r="F6695" s="25"/>
      <c r="G6695" s="25"/>
      <c r="H6695" s="32"/>
    </row>
    <row r="6696" spans="1:8" x14ac:dyDescent="0.3">
      <c r="A6696" s="27"/>
      <c r="B6696" s="88"/>
      <c r="C6696" s="24"/>
      <c r="D6696" s="89"/>
      <c r="E6696" s="25"/>
      <c r="F6696" s="25"/>
      <c r="G6696" s="25"/>
      <c r="H6696" s="32"/>
    </row>
    <row r="6697" spans="1:8" x14ac:dyDescent="0.3">
      <c r="A6697" s="27"/>
      <c r="B6697" s="28"/>
      <c r="C6697" s="24"/>
      <c r="D6697" s="25"/>
      <c r="E6697" s="25"/>
      <c r="F6697" s="28"/>
      <c r="G6697" s="28"/>
      <c r="H6697" s="32"/>
    </row>
    <row r="6698" spans="1:8" ht="15.6" x14ac:dyDescent="0.3">
      <c r="A6698" s="448" t="s">
        <v>45</v>
      </c>
      <c r="B6698" s="449"/>
      <c r="C6698" s="24"/>
      <c r="D6698" s="25"/>
      <c r="E6698" s="25"/>
      <c r="F6698" s="447" t="s">
        <v>46</v>
      </c>
      <c r="G6698" s="447"/>
      <c r="H6698" s="66">
        <v>93300</v>
      </c>
    </row>
    <row r="6699" spans="1:8" ht="15.6" x14ac:dyDescent="0.3">
      <c r="A6699" s="497" t="s">
        <v>1232</v>
      </c>
      <c r="B6699" s="498"/>
      <c r="C6699" s="498"/>
      <c r="D6699" s="498"/>
      <c r="E6699" s="498"/>
      <c r="F6699" s="447" t="s">
        <v>47</v>
      </c>
      <c r="G6699" s="447"/>
      <c r="H6699" s="66">
        <f>H6698*9%</f>
        <v>8397</v>
      </c>
    </row>
    <row r="6700" spans="1:8" ht="15.6" x14ac:dyDescent="0.3">
      <c r="A6700" s="27"/>
      <c r="B6700" s="28"/>
      <c r="C6700" s="24"/>
      <c r="D6700" s="25"/>
      <c r="E6700" s="25"/>
      <c r="F6700" s="447" t="s">
        <v>48</v>
      </c>
      <c r="G6700" s="447"/>
      <c r="H6700" s="66">
        <f>H6699</f>
        <v>8397</v>
      </c>
    </row>
    <row r="6701" spans="1:8" ht="15.6" x14ac:dyDescent="0.3">
      <c r="A6701" s="64" t="s">
        <v>49</v>
      </c>
      <c r="B6701" s="65"/>
      <c r="C6701" s="24"/>
      <c r="D6701" s="25"/>
      <c r="E6701" s="25"/>
      <c r="F6701" s="447" t="s">
        <v>50</v>
      </c>
      <c r="G6701" s="447"/>
      <c r="H6701" s="66">
        <f>H6698+H6699+H6700</f>
        <v>110094</v>
      </c>
    </row>
    <row r="6702" spans="1:8" ht="27" x14ac:dyDescent="0.3">
      <c r="A6702" s="68" t="s">
        <v>22</v>
      </c>
      <c r="B6702" s="30" t="s">
        <v>51</v>
      </c>
      <c r="C6702" s="70" t="s">
        <v>24</v>
      </c>
      <c r="D6702" s="31" t="s">
        <v>25</v>
      </c>
      <c r="E6702" s="450" t="s">
        <v>52</v>
      </c>
      <c r="F6702" s="450"/>
      <c r="G6702" s="28"/>
      <c r="H6702" s="32"/>
    </row>
    <row r="6703" spans="1:8" x14ac:dyDescent="0.3">
      <c r="A6703" s="72">
        <v>0.18</v>
      </c>
      <c r="B6703" s="73">
        <f>H6698</f>
        <v>93300</v>
      </c>
      <c r="C6703" s="91">
        <f>H6699</f>
        <v>8397</v>
      </c>
      <c r="D6703" s="91">
        <f>H6699</f>
        <v>8397</v>
      </c>
      <c r="E6703" s="506">
        <f>C6703+D6703</f>
        <v>16794</v>
      </c>
      <c r="F6703" s="507"/>
      <c r="G6703" s="74"/>
      <c r="H6703" s="75"/>
    </row>
    <row r="6704" spans="1:8" x14ac:dyDescent="0.3">
      <c r="A6704" s="508" t="s">
        <v>1231</v>
      </c>
      <c r="B6704" s="509"/>
      <c r="C6704" s="509"/>
      <c r="D6704" s="509"/>
      <c r="E6704" s="453"/>
      <c r="F6704" s="453"/>
      <c r="G6704" s="453"/>
      <c r="H6704" s="454"/>
    </row>
    <row r="6705" spans="1:8" ht="15.6" x14ac:dyDescent="0.3">
      <c r="A6705" s="455" t="s">
        <v>53</v>
      </c>
      <c r="B6705" s="456"/>
      <c r="C6705" s="456"/>
      <c r="D6705" s="457"/>
      <c r="E6705" s="458" t="s">
        <v>54</v>
      </c>
      <c r="F6705" s="459"/>
      <c r="G6705" s="459"/>
      <c r="H6705" s="460"/>
    </row>
    <row r="6706" spans="1:8" x14ac:dyDescent="0.3">
      <c r="A6706" s="461" t="s">
        <v>55</v>
      </c>
      <c r="B6706" s="462"/>
      <c r="C6706" s="462"/>
      <c r="D6706" s="463"/>
      <c r="E6706" s="39"/>
      <c r="F6706" s="28"/>
      <c r="G6706" s="28"/>
      <c r="H6706" s="32"/>
    </row>
    <row r="6707" spans="1:8" x14ac:dyDescent="0.3">
      <c r="A6707" s="461" t="s">
        <v>56</v>
      </c>
      <c r="B6707" s="462"/>
      <c r="C6707" s="462"/>
      <c r="D6707" s="463"/>
      <c r="E6707" s="39"/>
      <c r="F6707" s="28"/>
      <c r="G6707" s="28"/>
      <c r="H6707" s="32"/>
    </row>
    <row r="6708" spans="1:8" x14ac:dyDescent="0.3">
      <c r="A6708" s="461" t="s">
        <v>57</v>
      </c>
      <c r="B6708" s="462"/>
      <c r="C6708" s="462"/>
      <c r="D6708" s="463"/>
      <c r="E6708" s="39"/>
      <c r="F6708" s="28"/>
      <c r="G6708" s="28"/>
      <c r="H6708" s="32"/>
    </row>
    <row r="6709" spans="1:8" ht="15.6" x14ac:dyDescent="0.3">
      <c r="A6709" s="464" t="s">
        <v>58</v>
      </c>
      <c r="B6709" s="465"/>
      <c r="C6709" s="465"/>
      <c r="D6709" s="465"/>
      <c r="E6709" s="466" t="s">
        <v>59</v>
      </c>
      <c r="F6709" s="467"/>
      <c r="G6709" s="467"/>
      <c r="H6709" s="468"/>
    </row>
    <row r="6711" spans="1:8" ht="44.4" x14ac:dyDescent="0.7">
      <c r="A6711" s="469" t="s">
        <v>0</v>
      </c>
      <c r="B6711" s="470"/>
      <c r="C6711" s="470"/>
      <c r="D6711" s="470"/>
      <c r="E6711" s="531" t="s">
        <v>1</v>
      </c>
      <c r="F6711" s="544"/>
      <c r="G6711" s="544"/>
      <c r="H6711" s="545"/>
    </row>
    <row r="6712" spans="1:8" ht="20.399999999999999" x14ac:dyDescent="0.35">
      <c r="A6712" s="1"/>
      <c r="B6712" s="476" t="s">
        <v>2</v>
      </c>
      <c r="C6712" s="476"/>
      <c r="D6712" s="476"/>
      <c r="E6712" s="546"/>
      <c r="F6712" s="546"/>
      <c r="G6712" s="546"/>
      <c r="H6712" s="547"/>
    </row>
    <row r="6713" spans="1:8" x14ac:dyDescent="0.3">
      <c r="A6713" s="477" t="s">
        <v>3</v>
      </c>
      <c r="B6713" s="478"/>
      <c r="C6713" s="479" t="s">
        <v>4</v>
      </c>
      <c r="D6713" s="479"/>
      <c r="E6713" s="480" t="s">
        <v>5</v>
      </c>
      <c r="F6713" s="480"/>
      <c r="G6713" s="480"/>
      <c r="H6713" s="480"/>
    </row>
    <row r="6714" spans="1:8" ht="15.6" x14ac:dyDescent="0.3">
      <c r="A6714" s="4" t="s">
        <v>6</v>
      </c>
      <c r="B6714" s="5"/>
      <c r="C6714" s="481" t="s">
        <v>7</v>
      </c>
      <c r="D6714" s="481"/>
      <c r="E6714" s="482">
        <v>146</v>
      </c>
      <c r="F6714" s="482"/>
      <c r="G6714" s="7" t="s">
        <v>8</v>
      </c>
      <c r="H6714" s="354" t="s">
        <v>1219</v>
      </c>
    </row>
    <row r="6715" spans="1:8" ht="15.6" x14ac:dyDescent="0.3">
      <c r="A6715" s="551" t="s">
        <v>458</v>
      </c>
      <c r="B6715" s="552"/>
      <c r="C6715" s="481" t="s">
        <v>10</v>
      </c>
      <c r="D6715" s="481"/>
      <c r="E6715" s="482">
        <v>21</v>
      </c>
      <c r="F6715" s="482"/>
      <c r="G6715" s="7" t="s">
        <v>8</v>
      </c>
      <c r="H6715" s="354">
        <v>45972</v>
      </c>
    </row>
    <row r="6716" spans="1:8" ht="25.5" customHeight="1" x14ac:dyDescent="0.3">
      <c r="A6716" s="560" t="s">
        <v>459</v>
      </c>
      <c r="B6716" s="561"/>
      <c r="C6716" s="483" t="s">
        <v>12</v>
      </c>
      <c r="D6716" s="484"/>
      <c r="E6716" s="652" t="s">
        <v>466</v>
      </c>
      <c r="F6716" s="653"/>
      <c r="G6716" s="10" t="s">
        <v>8</v>
      </c>
      <c r="H6716" s="252" t="s">
        <v>465</v>
      </c>
    </row>
    <row r="6717" spans="1:8" ht="15.6" x14ac:dyDescent="0.3">
      <c r="A6717" s="253" t="s">
        <v>460</v>
      </c>
      <c r="B6717" s="254"/>
      <c r="C6717" s="481" t="s">
        <v>15</v>
      </c>
      <c r="D6717" s="481"/>
      <c r="E6717" s="489" t="s">
        <v>461</v>
      </c>
      <c r="F6717" s="490"/>
      <c r="G6717" s="490"/>
      <c r="H6717" s="491"/>
    </row>
    <row r="6718" spans="1:8" ht="15.6" x14ac:dyDescent="0.3">
      <c r="A6718" s="255" t="s">
        <v>1233</v>
      </c>
      <c r="B6718" s="256"/>
      <c r="C6718" s="489"/>
      <c r="D6718" s="490"/>
      <c r="E6718" s="490"/>
      <c r="F6718" s="490"/>
      <c r="G6718" s="490"/>
      <c r="H6718" s="491"/>
    </row>
    <row r="6719" spans="1:8" ht="15" x14ac:dyDescent="0.3">
      <c r="A6719" s="492" t="s">
        <v>17</v>
      </c>
      <c r="B6719" s="494" t="s">
        <v>18</v>
      </c>
      <c r="C6719" s="494" t="s">
        <v>19</v>
      </c>
      <c r="D6719" s="495" t="s">
        <v>20</v>
      </c>
      <c r="E6719" s="494" t="s">
        <v>21</v>
      </c>
      <c r="F6719" s="494" t="s">
        <v>22</v>
      </c>
      <c r="G6719" s="494"/>
      <c r="H6719" s="492" t="s">
        <v>23</v>
      </c>
    </row>
    <row r="6720" spans="1:8" ht="27.6" x14ac:dyDescent="0.3">
      <c r="A6720" s="492"/>
      <c r="B6720" s="494"/>
      <c r="C6720" s="494"/>
      <c r="D6720" s="505"/>
      <c r="E6720" s="494"/>
      <c r="F6720" s="53" t="s">
        <v>24</v>
      </c>
      <c r="G6720" s="53" t="s">
        <v>25</v>
      </c>
      <c r="H6720" s="492"/>
    </row>
    <row r="6721" spans="1:9" x14ac:dyDescent="0.3">
      <c r="A6721" s="55">
        <v>1</v>
      </c>
      <c r="B6721" s="84" t="s">
        <v>1234</v>
      </c>
      <c r="C6721" s="55">
        <v>12</v>
      </c>
      <c r="D6721" s="357">
        <v>84145120</v>
      </c>
      <c r="E6721" s="55">
        <v>1215</v>
      </c>
      <c r="F6721" s="55">
        <f>E6721*C6721*9%</f>
        <v>1312.2</v>
      </c>
      <c r="G6721" s="55">
        <f>F6721</f>
        <v>1312.2</v>
      </c>
      <c r="H6721" s="55">
        <f>G6721+F6721+E6721*C6721</f>
        <v>17204.400000000001</v>
      </c>
      <c r="I6721" s="362">
        <f>E6721*C6721</f>
        <v>14580</v>
      </c>
    </row>
    <row r="6722" spans="1:9" x14ac:dyDescent="0.3">
      <c r="A6722" s="55">
        <v>2</v>
      </c>
      <c r="B6722" s="84" t="s">
        <v>1235</v>
      </c>
      <c r="C6722" s="55">
        <v>18</v>
      </c>
      <c r="D6722" s="357">
        <v>84213990</v>
      </c>
      <c r="E6722" s="55">
        <v>210</v>
      </c>
      <c r="F6722" s="55">
        <f>E6722*C6722*9%</f>
        <v>340.2</v>
      </c>
      <c r="G6722" s="55">
        <f>F6722</f>
        <v>340.2</v>
      </c>
      <c r="H6722" s="55">
        <f>G6722+F6722+E6722*C6722</f>
        <v>4460.3999999999996</v>
      </c>
      <c r="I6722" s="362">
        <f>E6722*C6722</f>
        <v>3780</v>
      </c>
    </row>
    <row r="6723" spans="1:9" x14ac:dyDescent="0.3">
      <c r="A6723" s="55">
        <v>3</v>
      </c>
      <c r="B6723" s="84" t="s">
        <v>1283</v>
      </c>
      <c r="C6723" s="55">
        <v>12</v>
      </c>
      <c r="D6723" s="361">
        <v>998719</v>
      </c>
      <c r="E6723" s="55">
        <v>350</v>
      </c>
      <c r="F6723" s="55">
        <f t="shared" ref="F6723:F6724" si="167">E6723*C6723*9%</f>
        <v>378</v>
      </c>
      <c r="G6723" s="55">
        <f t="shared" ref="G6723:G6724" si="168">F6723</f>
        <v>378</v>
      </c>
      <c r="H6723" s="55">
        <f t="shared" ref="H6723:H6724" si="169">G6723+F6723+E6723*C6723</f>
        <v>4956</v>
      </c>
      <c r="I6723" s="362">
        <f t="shared" ref="I6723:I6724" si="170">E6723*C6723</f>
        <v>4200</v>
      </c>
    </row>
    <row r="6724" spans="1:9" x14ac:dyDescent="0.3">
      <c r="A6724" s="55">
        <v>4</v>
      </c>
      <c r="B6724" s="84" t="s">
        <v>1284</v>
      </c>
      <c r="C6724" s="55">
        <v>18</v>
      </c>
      <c r="D6724" s="361">
        <v>999719</v>
      </c>
      <c r="E6724" s="55">
        <v>200</v>
      </c>
      <c r="F6724" s="55">
        <f t="shared" si="167"/>
        <v>324</v>
      </c>
      <c r="G6724" s="55">
        <f t="shared" si="168"/>
        <v>324</v>
      </c>
      <c r="H6724" s="55">
        <f t="shared" si="169"/>
        <v>4248</v>
      </c>
      <c r="I6724" s="362">
        <f t="shared" si="170"/>
        <v>3600</v>
      </c>
    </row>
    <row r="6725" spans="1:9" x14ac:dyDescent="0.3">
      <c r="A6725" s="55"/>
      <c r="B6725" s="84"/>
      <c r="C6725" s="55"/>
      <c r="D6725" s="361"/>
      <c r="E6725" s="55"/>
      <c r="F6725" s="55"/>
      <c r="G6725" s="55"/>
      <c r="H6725" s="55"/>
    </row>
    <row r="6726" spans="1:9" x14ac:dyDescent="0.3">
      <c r="A6726" s="55"/>
      <c r="B6726" s="84"/>
      <c r="C6726" s="55"/>
      <c r="D6726" s="361"/>
      <c r="E6726" s="55"/>
      <c r="F6726" s="55"/>
      <c r="G6726" s="55"/>
      <c r="H6726" s="55"/>
    </row>
    <row r="6727" spans="1:9" x14ac:dyDescent="0.3">
      <c r="A6727" s="55"/>
      <c r="B6727" s="257"/>
      <c r="C6727" s="55"/>
      <c r="D6727" s="55"/>
      <c r="E6727" s="55"/>
      <c r="F6727" s="55"/>
      <c r="G6727" s="55"/>
      <c r="H6727" s="55"/>
    </row>
    <row r="6728" spans="1:9" x14ac:dyDescent="0.3">
      <c r="A6728" s="55"/>
      <c r="B6728" s="257"/>
      <c r="C6728" s="20"/>
      <c r="D6728" s="86"/>
      <c r="E6728" s="55"/>
      <c r="F6728" s="55"/>
      <c r="G6728" s="55"/>
      <c r="H6728" s="55"/>
    </row>
    <row r="6729" spans="1:9" x14ac:dyDescent="0.3">
      <c r="A6729" s="55"/>
      <c r="B6729" s="257"/>
      <c r="C6729" s="20"/>
      <c r="D6729" s="86"/>
      <c r="E6729" s="55"/>
      <c r="F6729" s="55"/>
      <c r="G6729" s="55"/>
      <c r="H6729" s="55"/>
    </row>
    <row r="6730" spans="1:9" x14ac:dyDescent="0.3">
      <c r="A6730" s="55"/>
      <c r="B6730" s="257"/>
      <c r="C6730" s="20"/>
      <c r="D6730" s="86"/>
      <c r="E6730" s="55"/>
      <c r="F6730" s="55"/>
      <c r="G6730" s="55"/>
      <c r="H6730" s="55"/>
    </row>
    <row r="6731" spans="1:9" x14ac:dyDescent="0.3">
      <c r="A6731" s="55"/>
      <c r="B6731" s="257"/>
      <c r="C6731" s="20"/>
      <c r="D6731" s="86"/>
      <c r="E6731" s="55"/>
      <c r="F6731" s="55"/>
      <c r="G6731" s="55"/>
      <c r="H6731" s="55"/>
    </row>
    <row r="6732" spans="1:9" x14ac:dyDescent="0.3">
      <c r="A6732" s="55"/>
      <c r="B6732" s="257"/>
      <c r="C6732" s="20"/>
      <c r="D6732" s="86"/>
      <c r="E6732" s="55"/>
      <c r="F6732" s="55"/>
      <c r="G6732" s="55"/>
      <c r="H6732" s="55"/>
    </row>
    <row r="6733" spans="1:9" x14ac:dyDescent="0.3">
      <c r="A6733" s="55"/>
      <c r="B6733" s="257"/>
      <c r="C6733" s="20"/>
      <c r="D6733" s="86"/>
      <c r="E6733" s="55"/>
      <c r="F6733" s="55"/>
      <c r="G6733" s="55"/>
      <c r="H6733" s="55"/>
    </row>
    <row r="6734" spans="1:9" x14ac:dyDescent="0.3">
      <c r="A6734" s="55"/>
      <c r="B6734" s="257"/>
      <c r="C6734" s="20"/>
      <c r="D6734" s="86"/>
      <c r="E6734" s="55"/>
      <c r="F6734" s="55"/>
      <c r="G6734" s="55"/>
      <c r="H6734" s="55"/>
    </row>
    <row r="6735" spans="1:9" x14ac:dyDescent="0.3">
      <c r="A6735" s="364"/>
      <c r="H6735" s="365"/>
    </row>
    <row r="6736" spans="1:9" x14ac:dyDescent="0.3">
      <c r="A6736" s="366"/>
      <c r="B6736" s="363"/>
      <c r="C6736" s="362"/>
      <c r="D6736" s="89"/>
      <c r="E6736" s="24"/>
      <c r="F6736" s="189"/>
      <c r="G6736" s="189"/>
      <c r="H6736" s="367"/>
    </row>
    <row r="6737" spans="1:8" x14ac:dyDescent="0.3">
      <c r="A6737" s="27"/>
      <c r="B6737" s="88"/>
      <c r="C6737" s="24"/>
      <c r="D6737" s="24"/>
      <c r="E6737" s="24"/>
      <c r="F6737" s="24"/>
      <c r="G6737" s="24"/>
      <c r="H6737" s="281"/>
    </row>
    <row r="6738" spans="1:8" x14ac:dyDescent="0.3">
      <c r="A6738" s="364"/>
      <c r="H6738" s="365"/>
    </row>
    <row r="6739" spans="1:8" x14ac:dyDescent="0.3">
      <c r="A6739" s="27"/>
      <c r="B6739" s="363"/>
      <c r="C6739" s="24"/>
      <c r="D6739" s="24"/>
      <c r="E6739" s="24"/>
      <c r="F6739" s="24"/>
      <c r="G6739" s="24"/>
      <c r="H6739" s="281"/>
    </row>
    <row r="6740" spans="1:8" x14ac:dyDescent="0.3">
      <c r="A6740" s="173"/>
      <c r="B6740" s="88"/>
      <c r="C6740" s="206"/>
      <c r="D6740" s="89"/>
      <c r="E6740" s="207"/>
      <c r="F6740" s="25"/>
      <c r="G6740" s="25"/>
      <c r="H6740" s="32"/>
    </row>
    <row r="6741" spans="1:8" x14ac:dyDescent="0.3">
      <c r="A6741" s="173"/>
      <c r="B6741" s="88"/>
      <c r="C6741" s="206"/>
      <c r="D6741" s="89"/>
      <c r="E6741" s="25"/>
      <c r="F6741" s="25"/>
      <c r="G6741" s="25"/>
      <c r="H6741" s="32"/>
    </row>
    <row r="6742" spans="1:8" x14ac:dyDescent="0.3">
      <c r="A6742" s="27"/>
      <c r="B6742" s="88"/>
      <c r="C6742" s="24"/>
      <c r="D6742" s="89"/>
      <c r="E6742" s="25"/>
      <c r="F6742" s="25"/>
      <c r="G6742" s="25"/>
      <c r="H6742" s="32"/>
    </row>
    <row r="6743" spans="1:8" x14ac:dyDescent="0.3">
      <c r="A6743" s="27"/>
      <c r="B6743" s="28"/>
      <c r="C6743" s="24"/>
      <c r="D6743" s="25"/>
      <c r="E6743" s="25"/>
      <c r="F6743" s="28"/>
      <c r="G6743" s="28"/>
      <c r="H6743" s="32"/>
    </row>
    <row r="6744" spans="1:8" ht="15.6" x14ac:dyDescent="0.3">
      <c r="A6744" s="448" t="s">
        <v>45</v>
      </c>
      <c r="B6744" s="449"/>
      <c r="C6744" s="24"/>
      <c r="D6744" s="25"/>
      <c r="E6744" s="25"/>
      <c r="F6744" s="447" t="s">
        <v>46</v>
      </c>
      <c r="G6744" s="447"/>
      <c r="H6744" s="66">
        <v>26160</v>
      </c>
    </row>
    <row r="6745" spans="1:8" ht="15.6" x14ac:dyDescent="0.3">
      <c r="A6745" s="497" t="s">
        <v>1285</v>
      </c>
      <c r="B6745" s="498"/>
      <c r="C6745" s="498"/>
      <c r="D6745" s="498"/>
      <c r="E6745" s="498"/>
      <c r="F6745" s="447" t="s">
        <v>47</v>
      </c>
      <c r="G6745" s="447"/>
      <c r="H6745" s="66">
        <f>H6744*9%</f>
        <v>2354.4</v>
      </c>
    </row>
    <row r="6746" spans="1:8" ht="15.6" x14ac:dyDescent="0.3">
      <c r="A6746" s="27"/>
      <c r="B6746" s="28"/>
      <c r="C6746" s="24"/>
      <c r="D6746" s="25"/>
      <c r="E6746" s="25"/>
      <c r="F6746" s="447" t="s">
        <v>48</v>
      </c>
      <c r="G6746" s="447"/>
      <c r="H6746" s="66">
        <f>H6745</f>
        <v>2354.4</v>
      </c>
    </row>
    <row r="6747" spans="1:8" ht="15.6" x14ac:dyDescent="0.3">
      <c r="A6747" s="64" t="s">
        <v>49</v>
      </c>
      <c r="B6747" s="65"/>
      <c r="C6747" s="24"/>
      <c r="D6747" s="25"/>
      <c r="E6747" s="25"/>
      <c r="F6747" s="447" t="s">
        <v>50</v>
      </c>
      <c r="G6747" s="447"/>
      <c r="H6747" s="66">
        <v>30869</v>
      </c>
    </row>
    <row r="6748" spans="1:8" ht="27" x14ac:dyDescent="0.3">
      <c r="A6748" s="68" t="s">
        <v>22</v>
      </c>
      <c r="B6748" s="30" t="s">
        <v>51</v>
      </c>
      <c r="C6748" s="70" t="s">
        <v>24</v>
      </c>
      <c r="D6748" s="31" t="s">
        <v>25</v>
      </c>
      <c r="E6748" s="450" t="s">
        <v>52</v>
      </c>
      <c r="F6748" s="450"/>
      <c r="G6748" s="28"/>
      <c r="H6748" s="32"/>
    </row>
    <row r="6749" spans="1:8" x14ac:dyDescent="0.3">
      <c r="A6749" s="72">
        <v>0.18</v>
      </c>
      <c r="B6749" s="73">
        <f>H6744</f>
        <v>26160</v>
      </c>
      <c r="C6749" s="91">
        <f>H6745</f>
        <v>2354.4</v>
      </c>
      <c r="D6749" s="91">
        <f>H6745</f>
        <v>2354.4</v>
      </c>
      <c r="E6749" s="506">
        <f>C6749+D6749</f>
        <v>4708.8</v>
      </c>
      <c r="F6749" s="507"/>
      <c r="G6749" s="74"/>
      <c r="H6749" s="75"/>
    </row>
    <row r="6750" spans="1:8" x14ac:dyDescent="0.3">
      <c r="A6750" s="508" t="s">
        <v>1286</v>
      </c>
      <c r="B6750" s="509"/>
      <c r="C6750" s="509"/>
      <c r="D6750" s="509"/>
      <c r="E6750" s="453"/>
      <c r="F6750" s="453"/>
      <c r="G6750" s="453"/>
      <c r="H6750" s="454"/>
    </row>
    <row r="6751" spans="1:8" ht="15.6" x14ac:dyDescent="0.3">
      <c r="A6751" s="455" t="s">
        <v>53</v>
      </c>
      <c r="B6751" s="456"/>
      <c r="C6751" s="456"/>
      <c r="D6751" s="457"/>
      <c r="E6751" s="458" t="s">
        <v>54</v>
      </c>
      <c r="F6751" s="459"/>
      <c r="G6751" s="459"/>
      <c r="H6751" s="460"/>
    </row>
    <row r="6752" spans="1:8" x14ac:dyDescent="0.3">
      <c r="A6752" s="461" t="s">
        <v>55</v>
      </c>
      <c r="B6752" s="462"/>
      <c r="C6752" s="462"/>
      <c r="D6752" s="463"/>
      <c r="E6752" s="39"/>
      <c r="F6752" s="28"/>
      <c r="G6752" s="28"/>
      <c r="H6752" s="32"/>
    </row>
    <row r="6753" spans="1:9" x14ac:dyDescent="0.3">
      <c r="A6753" s="461" t="s">
        <v>56</v>
      </c>
      <c r="B6753" s="462"/>
      <c r="C6753" s="462"/>
      <c r="D6753" s="463"/>
      <c r="E6753" s="39"/>
      <c r="F6753" s="28"/>
      <c r="G6753" s="28"/>
      <c r="H6753" s="32"/>
    </row>
    <row r="6754" spans="1:9" x14ac:dyDescent="0.3">
      <c r="A6754" s="461" t="s">
        <v>57</v>
      </c>
      <c r="B6754" s="462"/>
      <c r="C6754" s="462"/>
      <c r="D6754" s="463"/>
      <c r="E6754" s="39"/>
      <c r="F6754" s="28"/>
      <c r="G6754" s="28"/>
      <c r="H6754" s="32"/>
    </row>
    <row r="6755" spans="1:9" ht="15.6" x14ac:dyDescent="0.3">
      <c r="A6755" s="464" t="s">
        <v>58</v>
      </c>
      <c r="B6755" s="465"/>
      <c r="C6755" s="465"/>
      <c r="D6755" s="465"/>
      <c r="E6755" s="466" t="s">
        <v>59</v>
      </c>
      <c r="F6755" s="467"/>
      <c r="G6755" s="467"/>
      <c r="H6755" s="468"/>
    </row>
    <row r="6758" spans="1:9" ht="44.4" x14ac:dyDescent="0.7">
      <c r="A6758" s="469" t="s">
        <v>0</v>
      </c>
      <c r="B6758" s="470"/>
      <c r="C6758" s="470"/>
      <c r="D6758" s="470"/>
      <c r="E6758" s="531" t="s">
        <v>1</v>
      </c>
      <c r="F6758" s="544"/>
      <c r="G6758" s="544"/>
      <c r="H6758" s="545"/>
    </row>
    <row r="6759" spans="1:9" ht="20.399999999999999" x14ac:dyDescent="0.35">
      <c r="A6759" s="1"/>
      <c r="B6759" s="476" t="s">
        <v>2</v>
      </c>
      <c r="C6759" s="476"/>
      <c r="D6759" s="476"/>
      <c r="E6759" s="546"/>
      <c r="F6759" s="546"/>
      <c r="G6759" s="546"/>
      <c r="H6759" s="547"/>
    </row>
    <row r="6760" spans="1:9" x14ac:dyDescent="0.3">
      <c r="A6760" s="477" t="s">
        <v>3</v>
      </c>
      <c r="B6760" s="478"/>
      <c r="C6760" s="479" t="s">
        <v>4</v>
      </c>
      <c r="D6760" s="479"/>
      <c r="E6760" s="480" t="s">
        <v>5</v>
      </c>
      <c r="F6760" s="480"/>
      <c r="G6760" s="480"/>
      <c r="H6760" s="480"/>
    </row>
    <row r="6761" spans="1:9" ht="15.6" x14ac:dyDescent="0.3">
      <c r="A6761" s="4" t="s">
        <v>6</v>
      </c>
      <c r="B6761" s="5"/>
      <c r="C6761" s="481" t="s">
        <v>7</v>
      </c>
      <c r="D6761" s="481"/>
      <c r="E6761" s="482">
        <v>147</v>
      </c>
      <c r="F6761" s="482"/>
      <c r="G6761" s="7" t="s">
        <v>8</v>
      </c>
      <c r="H6761" s="354" t="s">
        <v>1219</v>
      </c>
    </row>
    <row r="6762" spans="1:9" ht="15.6" x14ac:dyDescent="0.3">
      <c r="A6762" s="551" t="s">
        <v>458</v>
      </c>
      <c r="B6762" s="552"/>
      <c r="C6762" s="481" t="s">
        <v>10</v>
      </c>
      <c r="D6762" s="481"/>
      <c r="E6762" s="482">
        <v>24</v>
      </c>
      <c r="F6762" s="482"/>
      <c r="G6762" s="7" t="s">
        <v>8</v>
      </c>
      <c r="H6762" s="354" t="s">
        <v>1240</v>
      </c>
    </row>
    <row r="6763" spans="1:9" ht="15" x14ac:dyDescent="0.3">
      <c r="A6763" s="560" t="s">
        <v>459</v>
      </c>
      <c r="B6763" s="561"/>
      <c r="C6763" s="483" t="s">
        <v>12</v>
      </c>
      <c r="D6763" s="484"/>
      <c r="E6763" s="564"/>
      <c r="F6763" s="593"/>
      <c r="G6763" s="10" t="s">
        <v>8</v>
      </c>
      <c r="H6763" s="355"/>
    </row>
    <row r="6764" spans="1:9" ht="15.6" x14ac:dyDescent="0.3">
      <c r="A6764" s="253" t="s">
        <v>460</v>
      </c>
      <c r="B6764" s="254"/>
      <c r="C6764" s="481" t="s">
        <v>15</v>
      </c>
      <c r="D6764" s="481"/>
      <c r="E6764" s="489" t="s">
        <v>461</v>
      </c>
      <c r="F6764" s="490"/>
      <c r="G6764" s="490"/>
      <c r="H6764" s="491"/>
    </row>
    <row r="6765" spans="1:9" ht="15.6" x14ac:dyDescent="0.3">
      <c r="A6765" s="255" t="s">
        <v>1221</v>
      </c>
      <c r="B6765" s="256"/>
      <c r="C6765" s="489"/>
      <c r="D6765" s="490"/>
      <c r="E6765" s="490"/>
      <c r="F6765" s="490"/>
      <c r="G6765" s="490"/>
      <c r="H6765" s="491"/>
    </row>
    <row r="6766" spans="1:9" ht="15" x14ac:dyDescent="0.3">
      <c r="A6766" s="492" t="s">
        <v>17</v>
      </c>
      <c r="B6766" s="494" t="s">
        <v>18</v>
      </c>
      <c r="C6766" s="494" t="s">
        <v>19</v>
      </c>
      <c r="D6766" s="495" t="s">
        <v>20</v>
      </c>
      <c r="E6766" s="494" t="s">
        <v>21</v>
      </c>
      <c r="F6766" s="494" t="s">
        <v>22</v>
      </c>
      <c r="G6766" s="494"/>
      <c r="H6766" s="492" t="s">
        <v>23</v>
      </c>
    </row>
    <row r="6767" spans="1:9" ht="27.6" x14ac:dyDescent="0.3">
      <c r="A6767" s="492"/>
      <c r="B6767" s="494"/>
      <c r="C6767" s="494"/>
      <c r="D6767" s="505"/>
      <c r="E6767" s="494"/>
      <c r="F6767" s="53" t="s">
        <v>24</v>
      </c>
      <c r="G6767" s="53" t="s">
        <v>25</v>
      </c>
      <c r="H6767" s="492"/>
    </row>
    <row r="6768" spans="1:9" x14ac:dyDescent="0.3">
      <c r="A6768" s="55">
        <v>1</v>
      </c>
      <c r="B6768" s="84" t="s">
        <v>1236</v>
      </c>
      <c r="C6768" s="55">
        <v>7</v>
      </c>
      <c r="D6768" s="356">
        <v>39172190</v>
      </c>
      <c r="E6768" s="55">
        <v>120</v>
      </c>
      <c r="F6768" s="55">
        <f>E6768*C6768*9%</f>
        <v>75.599999999999994</v>
      </c>
      <c r="G6768" s="55">
        <f>F6768</f>
        <v>75.599999999999994</v>
      </c>
      <c r="H6768" s="55">
        <f>G6768+F6768+E6768*C6768</f>
        <v>991.2</v>
      </c>
      <c r="I6768" s="362">
        <f>E6768*C6768</f>
        <v>840</v>
      </c>
    </row>
    <row r="6769" spans="1:9" x14ac:dyDescent="0.3">
      <c r="A6769" s="55">
        <v>2</v>
      </c>
      <c r="B6769" s="257" t="s">
        <v>1237</v>
      </c>
      <c r="C6769" s="55">
        <v>1</v>
      </c>
      <c r="D6769" s="361">
        <v>998719</v>
      </c>
      <c r="E6769" s="55">
        <v>1200</v>
      </c>
      <c r="F6769" s="55">
        <f>E6769*C6769*9%</f>
        <v>108</v>
      </c>
      <c r="G6769" s="55">
        <f>F6769</f>
        <v>108</v>
      </c>
      <c r="H6769" s="55">
        <f>G6769+F6769+E6769*C6769</f>
        <v>1416</v>
      </c>
      <c r="I6769" s="362">
        <f>E6769*C6769</f>
        <v>1200</v>
      </c>
    </row>
    <row r="6770" spans="1:9" x14ac:dyDescent="0.3">
      <c r="A6770" s="55"/>
      <c r="B6770" s="257"/>
      <c r="C6770" s="55"/>
      <c r="D6770" s="55"/>
      <c r="E6770" s="55"/>
      <c r="F6770" s="55"/>
      <c r="G6770" s="55"/>
      <c r="H6770" s="55"/>
    </row>
    <row r="6771" spans="1:9" x14ac:dyDescent="0.3">
      <c r="A6771" s="55"/>
      <c r="B6771" s="257"/>
      <c r="C6771" s="55"/>
      <c r="D6771" s="55"/>
      <c r="E6771" s="55"/>
      <c r="F6771" s="55"/>
      <c r="G6771" s="55"/>
      <c r="H6771" s="55"/>
    </row>
    <row r="6772" spans="1:9" x14ac:dyDescent="0.3">
      <c r="A6772" s="55"/>
      <c r="B6772" s="257"/>
      <c r="C6772" s="55"/>
      <c r="D6772" s="55"/>
      <c r="E6772" s="55"/>
      <c r="F6772" s="55"/>
      <c r="G6772" s="55"/>
      <c r="H6772" s="55"/>
    </row>
    <row r="6773" spans="1:9" x14ac:dyDescent="0.3">
      <c r="A6773" s="55"/>
      <c r="B6773" s="257"/>
      <c r="C6773" s="55"/>
      <c r="D6773" s="55"/>
      <c r="E6773" s="55"/>
      <c r="F6773" s="55"/>
      <c r="G6773" s="55"/>
      <c r="H6773" s="55"/>
    </row>
    <row r="6774" spans="1:9" x14ac:dyDescent="0.3">
      <c r="A6774" s="55"/>
      <c r="B6774" s="257"/>
      <c r="C6774" s="55"/>
      <c r="D6774" s="55"/>
      <c r="E6774" s="55"/>
      <c r="F6774" s="55"/>
      <c r="G6774" s="55"/>
      <c r="H6774" s="55"/>
    </row>
    <row r="6775" spans="1:9" x14ac:dyDescent="0.3">
      <c r="A6775" s="55"/>
      <c r="B6775" s="257"/>
      <c r="C6775" s="20"/>
      <c r="D6775" s="86"/>
      <c r="E6775" s="55"/>
      <c r="F6775" s="55"/>
      <c r="G6775" s="55"/>
      <c r="H6775" s="55"/>
    </row>
    <row r="6776" spans="1:9" x14ac:dyDescent="0.3">
      <c r="A6776" s="55"/>
      <c r="B6776" s="257"/>
      <c r="C6776" s="20"/>
      <c r="D6776" s="86"/>
      <c r="E6776" s="55"/>
      <c r="F6776" s="55"/>
      <c r="G6776" s="55"/>
      <c r="H6776" s="55"/>
    </row>
    <row r="6777" spans="1:9" x14ac:dyDescent="0.3">
      <c r="A6777" s="55"/>
      <c r="B6777" s="257"/>
      <c r="C6777" s="20"/>
      <c r="D6777" s="86"/>
      <c r="E6777" s="55"/>
      <c r="F6777" s="55"/>
      <c r="G6777" s="55"/>
      <c r="H6777" s="55"/>
    </row>
    <row r="6778" spans="1:9" x14ac:dyDescent="0.3">
      <c r="A6778" s="55"/>
      <c r="B6778" s="257"/>
      <c r="C6778" s="20"/>
      <c r="D6778" s="86"/>
      <c r="E6778" s="55"/>
      <c r="F6778" s="55"/>
      <c r="G6778" s="55"/>
      <c r="H6778" s="55"/>
    </row>
    <row r="6779" spans="1:9" x14ac:dyDescent="0.3">
      <c r="A6779" s="55"/>
      <c r="B6779" s="257"/>
      <c r="C6779" s="20"/>
      <c r="D6779" s="86"/>
      <c r="E6779" s="55"/>
      <c r="F6779" s="55"/>
      <c r="G6779" s="55"/>
      <c r="H6779" s="55"/>
    </row>
    <row r="6780" spans="1:9" x14ac:dyDescent="0.3">
      <c r="A6780" s="55"/>
      <c r="B6780" s="257"/>
      <c r="C6780" s="20"/>
      <c r="D6780" s="86"/>
      <c r="E6780" s="55"/>
      <c r="F6780" s="55"/>
      <c r="G6780" s="55"/>
      <c r="H6780" s="55"/>
    </row>
    <row r="6781" spans="1:9" x14ac:dyDescent="0.3">
      <c r="A6781" s="55"/>
      <c r="B6781" s="257"/>
      <c r="C6781" s="20"/>
      <c r="D6781" s="86"/>
      <c r="E6781" s="55"/>
      <c r="F6781" s="55"/>
      <c r="G6781" s="55"/>
      <c r="H6781" s="55"/>
    </row>
    <row r="6782" spans="1:9" x14ac:dyDescent="0.3">
      <c r="A6782" s="364"/>
      <c r="H6782" s="365"/>
    </row>
    <row r="6783" spans="1:9" x14ac:dyDescent="0.3">
      <c r="A6783" s="366"/>
      <c r="B6783" s="363"/>
      <c r="C6783" s="362"/>
      <c r="D6783" s="89"/>
      <c r="E6783" s="24"/>
      <c r="F6783" s="189"/>
      <c r="G6783" s="189"/>
      <c r="H6783" s="367"/>
    </row>
    <row r="6784" spans="1:9" x14ac:dyDescent="0.3">
      <c r="A6784" s="27"/>
      <c r="B6784" s="88"/>
      <c r="C6784" s="24"/>
      <c r="D6784" s="24"/>
      <c r="E6784" s="24"/>
      <c r="F6784" s="24"/>
      <c r="G6784" s="24"/>
      <c r="H6784" s="281"/>
    </row>
    <row r="6785" spans="1:8" x14ac:dyDescent="0.3">
      <c r="A6785" s="364"/>
      <c r="H6785" s="365"/>
    </row>
    <row r="6786" spans="1:8" x14ac:dyDescent="0.3">
      <c r="A6786" s="27"/>
      <c r="B6786" s="363"/>
      <c r="C6786" s="24"/>
      <c r="D6786" s="24"/>
      <c r="E6786" s="24"/>
      <c r="F6786" s="24"/>
      <c r="G6786" s="24"/>
      <c r="H6786" s="281"/>
    </row>
    <row r="6787" spans="1:8" x14ac:dyDescent="0.3">
      <c r="A6787" s="173"/>
      <c r="B6787" s="88"/>
      <c r="C6787" s="206"/>
      <c r="D6787" s="89"/>
      <c r="E6787" s="207"/>
      <c r="F6787" s="25"/>
      <c r="G6787" s="25"/>
      <c r="H6787" s="32"/>
    </row>
    <row r="6788" spans="1:8" x14ac:dyDescent="0.3">
      <c r="A6788" s="173"/>
      <c r="B6788" s="88"/>
      <c r="C6788" s="206"/>
      <c r="D6788" s="89"/>
      <c r="E6788" s="25"/>
      <c r="F6788" s="25"/>
      <c r="G6788" s="25"/>
      <c r="H6788" s="32"/>
    </row>
    <row r="6789" spans="1:8" x14ac:dyDescent="0.3">
      <c r="A6789" s="27"/>
      <c r="B6789" s="88"/>
      <c r="C6789" s="24"/>
      <c r="D6789" s="89"/>
      <c r="E6789" s="25"/>
      <c r="F6789" s="25"/>
      <c r="G6789" s="25"/>
      <c r="H6789" s="32"/>
    </row>
    <row r="6790" spans="1:8" x14ac:dyDescent="0.3">
      <c r="A6790" s="27"/>
      <c r="B6790" s="28"/>
      <c r="C6790" s="24"/>
      <c r="D6790" s="25"/>
      <c r="E6790" s="25"/>
      <c r="F6790" s="28"/>
      <c r="G6790" s="28"/>
      <c r="H6790" s="32"/>
    </row>
    <row r="6791" spans="1:8" ht="15.6" x14ac:dyDescent="0.3">
      <c r="A6791" s="448" t="s">
        <v>45</v>
      </c>
      <c r="B6791" s="449"/>
      <c r="C6791" s="24"/>
      <c r="D6791" s="25"/>
      <c r="E6791" s="25"/>
      <c r="F6791" s="447" t="s">
        <v>46</v>
      </c>
      <c r="G6791" s="447"/>
      <c r="H6791" s="66">
        <v>2040</v>
      </c>
    </row>
    <row r="6792" spans="1:8" ht="15.6" x14ac:dyDescent="0.3">
      <c r="A6792" s="497" t="s">
        <v>1238</v>
      </c>
      <c r="B6792" s="498"/>
      <c r="C6792" s="498"/>
      <c r="D6792" s="498"/>
      <c r="E6792" s="498"/>
      <c r="F6792" s="447" t="s">
        <v>47</v>
      </c>
      <c r="G6792" s="447"/>
      <c r="H6792" s="66">
        <f>H6791*9%</f>
        <v>183.6</v>
      </c>
    </row>
    <row r="6793" spans="1:8" ht="15.6" x14ac:dyDescent="0.3">
      <c r="A6793" s="27"/>
      <c r="B6793" s="28"/>
      <c r="C6793" s="24"/>
      <c r="D6793" s="25"/>
      <c r="E6793" s="25"/>
      <c r="F6793" s="447" t="s">
        <v>48</v>
      </c>
      <c r="G6793" s="447"/>
      <c r="H6793" s="66">
        <f>H6792</f>
        <v>183.6</v>
      </c>
    </row>
    <row r="6794" spans="1:8" ht="15.6" x14ac:dyDescent="0.3">
      <c r="A6794" s="64" t="s">
        <v>49</v>
      </c>
      <c r="B6794" s="65"/>
      <c r="C6794" s="24"/>
      <c r="D6794" s="25"/>
      <c r="E6794" s="25"/>
      <c r="F6794" s="447" t="s">
        <v>50</v>
      </c>
      <c r="G6794" s="447"/>
      <c r="H6794" s="66">
        <v>2407</v>
      </c>
    </row>
    <row r="6795" spans="1:8" ht="27" x14ac:dyDescent="0.3">
      <c r="A6795" s="68" t="s">
        <v>22</v>
      </c>
      <c r="B6795" s="30" t="s">
        <v>51</v>
      </c>
      <c r="C6795" s="70" t="s">
        <v>24</v>
      </c>
      <c r="D6795" s="31" t="s">
        <v>25</v>
      </c>
      <c r="E6795" s="543" t="s">
        <v>52</v>
      </c>
      <c r="F6795" s="543"/>
      <c r="G6795" s="28"/>
      <c r="H6795" s="32"/>
    </row>
    <row r="6796" spans="1:8" x14ac:dyDescent="0.3">
      <c r="A6796" s="72">
        <v>0.18</v>
      </c>
      <c r="B6796" s="73">
        <f>H6791</f>
        <v>2040</v>
      </c>
      <c r="C6796" s="91">
        <f>H6792</f>
        <v>183.6</v>
      </c>
      <c r="D6796" s="91">
        <f>H6792</f>
        <v>183.6</v>
      </c>
      <c r="E6796" s="506">
        <f>C6796+D6796</f>
        <v>367.2</v>
      </c>
      <c r="F6796" s="507"/>
      <c r="G6796" s="74"/>
      <c r="H6796" s="75"/>
    </row>
    <row r="6797" spans="1:8" x14ac:dyDescent="0.3">
      <c r="A6797" s="508" t="s">
        <v>1239</v>
      </c>
      <c r="B6797" s="509"/>
      <c r="C6797" s="509"/>
      <c r="D6797" s="509"/>
      <c r="E6797" s="453"/>
      <c r="F6797" s="453"/>
      <c r="G6797" s="453"/>
      <c r="H6797" s="454"/>
    </row>
    <row r="6798" spans="1:8" ht="15.6" x14ac:dyDescent="0.3">
      <c r="A6798" s="455" t="s">
        <v>53</v>
      </c>
      <c r="B6798" s="456"/>
      <c r="C6798" s="456"/>
      <c r="D6798" s="457"/>
      <c r="E6798" s="458" t="s">
        <v>54</v>
      </c>
      <c r="F6798" s="459"/>
      <c r="G6798" s="459"/>
      <c r="H6798" s="460"/>
    </row>
    <row r="6799" spans="1:8" x14ac:dyDescent="0.3">
      <c r="A6799" s="461" t="s">
        <v>55</v>
      </c>
      <c r="B6799" s="462"/>
      <c r="C6799" s="462"/>
      <c r="D6799" s="463"/>
      <c r="E6799" s="39"/>
      <c r="F6799" s="28"/>
      <c r="G6799" s="28"/>
      <c r="H6799" s="32"/>
    </row>
    <row r="6800" spans="1:8" x14ac:dyDescent="0.3">
      <c r="A6800" s="461" t="s">
        <v>56</v>
      </c>
      <c r="B6800" s="462"/>
      <c r="C6800" s="462"/>
      <c r="D6800" s="463"/>
      <c r="E6800" s="39"/>
      <c r="F6800" s="28"/>
      <c r="G6800" s="28"/>
      <c r="H6800" s="32"/>
    </row>
    <row r="6801" spans="1:9" x14ac:dyDescent="0.3">
      <c r="A6801" s="461" t="s">
        <v>57</v>
      </c>
      <c r="B6801" s="462"/>
      <c r="C6801" s="462"/>
      <c r="D6801" s="463"/>
      <c r="E6801" s="39"/>
      <c r="F6801" s="28"/>
      <c r="G6801" s="28"/>
      <c r="H6801" s="32"/>
    </row>
    <row r="6802" spans="1:9" ht="15.6" x14ac:dyDescent="0.3">
      <c r="A6802" s="464" t="s">
        <v>58</v>
      </c>
      <c r="B6802" s="465"/>
      <c r="C6802" s="465"/>
      <c r="D6802" s="465"/>
      <c r="E6802" s="466" t="s">
        <v>59</v>
      </c>
      <c r="F6802" s="467"/>
      <c r="G6802" s="467"/>
      <c r="H6802" s="468"/>
    </row>
    <row r="6804" spans="1:9" ht="44.4" x14ac:dyDescent="0.7">
      <c r="A6804" s="469" t="s">
        <v>0</v>
      </c>
      <c r="B6804" s="470"/>
      <c r="C6804" s="470"/>
      <c r="D6804" s="470"/>
      <c r="E6804" s="531" t="s">
        <v>1</v>
      </c>
      <c r="F6804" s="544"/>
      <c r="G6804" s="544"/>
      <c r="H6804" s="545"/>
    </row>
    <row r="6805" spans="1:9" ht="20.399999999999999" x14ac:dyDescent="0.35">
      <c r="A6805" s="1"/>
      <c r="B6805" s="476" t="s">
        <v>2</v>
      </c>
      <c r="C6805" s="476"/>
      <c r="D6805" s="476"/>
      <c r="E6805" s="546"/>
      <c r="F6805" s="546"/>
      <c r="G6805" s="546"/>
      <c r="H6805" s="547"/>
    </row>
    <row r="6806" spans="1:9" x14ac:dyDescent="0.3">
      <c r="A6806" s="477" t="s">
        <v>3</v>
      </c>
      <c r="B6806" s="478"/>
      <c r="C6806" s="479" t="s">
        <v>4</v>
      </c>
      <c r="D6806" s="479"/>
      <c r="E6806" s="480" t="s">
        <v>5</v>
      </c>
      <c r="F6806" s="480"/>
      <c r="G6806" s="480"/>
      <c r="H6806" s="480"/>
    </row>
    <row r="6807" spans="1:9" ht="15.6" x14ac:dyDescent="0.3">
      <c r="A6807" s="4" t="s">
        <v>6</v>
      </c>
      <c r="B6807" s="5"/>
      <c r="C6807" s="481" t="s">
        <v>7</v>
      </c>
      <c r="D6807" s="481"/>
      <c r="E6807" s="482">
        <v>148</v>
      </c>
      <c r="F6807" s="482"/>
      <c r="G6807" s="7" t="s">
        <v>8</v>
      </c>
      <c r="H6807" s="354" t="s">
        <v>1219</v>
      </c>
    </row>
    <row r="6808" spans="1:9" ht="15.6" x14ac:dyDescent="0.3">
      <c r="A6808" s="551" t="s">
        <v>458</v>
      </c>
      <c r="B6808" s="552"/>
      <c r="C6808" s="481" t="s">
        <v>10</v>
      </c>
      <c r="D6808" s="481"/>
      <c r="E6808" s="482" t="s">
        <v>1254</v>
      </c>
      <c r="F6808" s="482"/>
      <c r="G6808" s="7" t="s">
        <v>8</v>
      </c>
      <c r="H6808" s="354" t="s">
        <v>1241</v>
      </c>
    </row>
    <row r="6809" spans="1:9" ht="15" x14ac:dyDescent="0.3">
      <c r="A6809" s="560" t="s">
        <v>459</v>
      </c>
      <c r="B6809" s="561"/>
      <c r="C6809" s="483" t="s">
        <v>12</v>
      </c>
      <c r="D6809" s="484"/>
      <c r="E6809" s="564"/>
      <c r="F6809" s="593"/>
      <c r="G6809" s="10" t="s">
        <v>8</v>
      </c>
      <c r="H6809" s="355"/>
    </row>
    <row r="6810" spans="1:9" ht="15.6" x14ac:dyDescent="0.3">
      <c r="A6810" s="253" t="s">
        <v>460</v>
      </c>
      <c r="B6810" s="254"/>
      <c r="C6810" s="481" t="s">
        <v>15</v>
      </c>
      <c r="D6810" s="481"/>
      <c r="E6810" s="489" t="s">
        <v>461</v>
      </c>
      <c r="F6810" s="490"/>
      <c r="G6810" s="490"/>
      <c r="H6810" s="491"/>
    </row>
    <row r="6811" spans="1:9" ht="15.6" x14ac:dyDescent="0.3">
      <c r="A6811" s="255" t="s">
        <v>1221</v>
      </c>
      <c r="B6811" s="256"/>
      <c r="C6811" s="489"/>
      <c r="D6811" s="490"/>
      <c r="E6811" s="490"/>
      <c r="F6811" s="490"/>
      <c r="G6811" s="490"/>
      <c r="H6811" s="491"/>
    </row>
    <row r="6812" spans="1:9" ht="15" x14ac:dyDescent="0.3">
      <c r="A6812" s="492" t="s">
        <v>17</v>
      </c>
      <c r="B6812" s="494" t="s">
        <v>18</v>
      </c>
      <c r="C6812" s="494" t="s">
        <v>19</v>
      </c>
      <c r="D6812" s="495" t="s">
        <v>20</v>
      </c>
      <c r="E6812" s="494" t="s">
        <v>21</v>
      </c>
      <c r="F6812" s="494" t="s">
        <v>22</v>
      </c>
      <c r="G6812" s="494"/>
      <c r="H6812" s="492" t="s">
        <v>23</v>
      </c>
    </row>
    <row r="6813" spans="1:9" ht="27.6" x14ac:dyDescent="0.3">
      <c r="A6813" s="492"/>
      <c r="B6813" s="494"/>
      <c r="C6813" s="494"/>
      <c r="D6813" s="505"/>
      <c r="E6813" s="494"/>
      <c r="F6813" s="53" t="s">
        <v>24</v>
      </c>
      <c r="G6813" s="53" t="s">
        <v>25</v>
      </c>
      <c r="H6813" s="492"/>
    </row>
    <row r="6814" spans="1:9" x14ac:dyDescent="0.3">
      <c r="A6814" s="55">
        <v>1</v>
      </c>
      <c r="B6814" s="84" t="s">
        <v>1242</v>
      </c>
      <c r="C6814" s="55">
        <v>60</v>
      </c>
      <c r="D6814" s="356">
        <v>998719</v>
      </c>
      <c r="E6814" s="55">
        <v>80</v>
      </c>
      <c r="F6814" s="55">
        <f>E6814*C6814*9%</f>
        <v>432</v>
      </c>
      <c r="G6814" s="55">
        <f>F6814</f>
        <v>432</v>
      </c>
      <c r="H6814" s="55">
        <f>G6814+F6814+E6814*C6814</f>
        <v>5664</v>
      </c>
      <c r="I6814" s="362">
        <f>E6814*C6814</f>
        <v>4800</v>
      </c>
    </row>
    <row r="6815" spans="1:9" x14ac:dyDescent="0.3">
      <c r="A6815" s="55">
        <v>2</v>
      </c>
      <c r="B6815" s="257" t="s">
        <v>1243</v>
      </c>
      <c r="C6815" s="55">
        <v>1</v>
      </c>
      <c r="D6815" s="356">
        <v>998719</v>
      </c>
      <c r="E6815" s="55">
        <v>4000</v>
      </c>
      <c r="F6815" s="55">
        <f t="shared" ref="F6815:F6827" si="171">E6815*C6815*9%</f>
        <v>360</v>
      </c>
      <c r="G6815" s="55">
        <f t="shared" ref="G6815:G6827" si="172">F6815</f>
        <v>360</v>
      </c>
      <c r="H6815" s="55">
        <f t="shared" ref="H6815:H6827" si="173">G6815+F6815+E6815*C6815</f>
        <v>4720</v>
      </c>
      <c r="I6815" s="362">
        <f t="shared" ref="I6815:I6827" si="174">E6815*C6815</f>
        <v>4000</v>
      </c>
    </row>
    <row r="6816" spans="1:9" x14ac:dyDescent="0.3">
      <c r="A6816" s="55">
        <v>3</v>
      </c>
      <c r="B6816" s="257" t="s">
        <v>1244</v>
      </c>
      <c r="C6816" s="55">
        <v>3</v>
      </c>
      <c r="D6816" s="356">
        <v>998719</v>
      </c>
      <c r="E6816" s="55">
        <v>1000</v>
      </c>
      <c r="F6816" s="55">
        <f t="shared" si="171"/>
        <v>270</v>
      </c>
      <c r="G6816" s="55">
        <f t="shared" si="172"/>
        <v>270</v>
      </c>
      <c r="H6816" s="55">
        <f t="shared" si="173"/>
        <v>3540</v>
      </c>
      <c r="I6816" s="362">
        <f t="shared" si="174"/>
        <v>3000</v>
      </c>
    </row>
    <row r="6817" spans="1:9" x14ac:dyDescent="0.3">
      <c r="A6817" s="55">
        <v>4</v>
      </c>
      <c r="B6817" s="257" t="s">
        <v>1245</v>
      </c>
      <c r="C6817" s="55">
        <v>3</v>
      </c>
      <c r="D6817" s="356">
        <v>998719</v>
      </c>
      <c r="E6817" s="55">
        <v>1418</v>
      </c>
      <c r="F6817" s="55">
        <f t="shared" si="171"/>
        <v>382.86</v>
      </c>
      <c r="G6817" s="55">
        <f t="shared" si="172"/>
        <v>382.86</v>
      </c>
      <c r="H6817" s="55">
        <f t="shared" si="173"/>
        <v>5019.72</v>
      </c>
      <c r="I6817" s="362">
        <f t="shared" si="174"/>
        <v>4254</v>
      </c>
    </row>
    <row r="6818" spans="1:9" s="189" customFormat="1" ht="27.6" x14ac:dyDescent="0.3">
      <c r="A6818" s="55">
        <v>5</v>
      </c>
      <c r="B6818" s="257" t="s">
        <v>1246</v>
      </c>
      <c r="C6818" s="55">
        <v>7</v>
      </c>
      <c r="D6818" s="375">
        <v>998719</v>
      </c>
      <c r="E6818" s="55">
        <v>1200</v>
      </c>
      <c r="F6818" s="55">
        <f t="shared" si="171"/>
        <v>756</v>
      </c>
      <c r="G6818" s="55">
        <f t="shared" si="172"/>
        <v>756</v>
      </c>
      <c r="H6818" s="55">
        <f t="shared" si="173"/>
        <v>9912</v>
      </c>
      <c r="I6818" s="362">
        <f t="shared" si="174"/>
        <v>8400</v>
      </c>
    </row>
    <row r="6819" spans="1:9" x14ac:dyDescent="0.3">
      <c r="A6819" s="55">
        <v>6</v>
      </c>
      <c r="B6819" s="257" t="s">
        <v>1247</v>
      </c>
      <c r="C6819" s="55">
        <v>7</v>
      </c>
      <c r="D6819" s="376">
        <v>853890000</v>
      </c>
      <c r="E6819" s="55">
        <v>840</v>
      </c>
      <c r="F6819" s="55">
        <f t="shared" si="171"/>
        <v>529.19999999999993</v>
      </c>
      <c r="G6819" s="55">
        <f t="shared" si="172"/>
        <v>529.19999999999993</v>
      </c>
      <c r="H6819" s="55">
        <f t="shared" si="173"/>
        <v>6938.4</v>
      </c>
      <c r="I6819" s="362">
        <f t="shared" si="174"/>
        <v>5880</v>
      </c>
    </row>
    <row r="6820" spans="1:9" s="189" customFormat="1" ht="27.6" x14ac:dyDescent="0.3">
      <c r="A6820" s="55">
        <v>7</v>
      </c>
      <c r="B6820" s="257" t="s">
        <v>1248</v>
      </c>
      <c r="C6820" s="55">
        <v>4</v>
      </c>
      <c r="D6820" s="375">
        <v>998719</v>
      </c>
      <c r="E6820" s="55">
        <v>800</v>
      </c>
      <c r="F6820" s="55">
        <f t="shared" si="171"/>
        <v>288</v>
      </c>
      <c r="G6820" s="55">
        <f t="shared" si="172"/>
        <v>288</v>
      </c>
      <c r="H6820" s="55">
        <f t="shared" si="173"/>
        <v>3776</v>
      </c>
      <c r="I6820" s="362">
        <f t="shared" si="174"/>
        <v>3200</v>
      </c>
    </row>
    <row r="6821" spans="1:9" x14ac:dyDescent="0.3">
      <c r="A6821" s="55">
        <v>8</v>
      </c>
      <c r="B6821" s="257" t="s">
        <v>1249</v>
      </c>
      <c r="C6821" s="20">
        <v>450</v>
      </c>
      <c r="D6821" s="356">
        <v>85446020</v>
      </c>
      <c r="E6821" s="55">
        <v>184</v>
      </c>
      <c r="F6821" s="55">
        <f t="shared" si="171"/>
        <v>7452</v>
      </c>
      <c r="G6821" s="55">
        <f t="shared" si="172"/>
        <v>7452</v>
      </c>
      <c r="H6821" s="55">
        <f t="shared" si="173"/>
        <v>97704</v>
      </c>
      <c r="I6821" s="362">
        <f t="shared" si="174"/>
        <v>82800</v>
      </c>
    </row>
    <row r="6822" spans="1:9" x14ac:dyDescent="0.3">
      <c r="A6822" s="55">
        <v>9</v>
      </c>
      <c r="B6822" s="257" t="s">
        <v>1250</v>
      </c>
      <c r="C6822" s="20">
        <v>35</v>
      </c>
      <c r="D6822" s="356">
        <v>85446020</v>
      </c>
      <c r="E6822" s="55">
        <v>460</v>
      </c>
      <c r="F6822" s="55">
        <f t="shared" si="171"/>
        <v>1449</v>
      </c>
      <c r="G6822" s="55">
        <f t="shared" si="172"/>
        <v>1449</v>
      </c>
      <c r="H6822" s="55">
        <f t="shared" si="173"/>
        <v>18998</v>
      </c>
      <c r="I6822" s="362">
        <f t="shared" si="174"/>
        <v>16100</v>
      </c>
    </row>
    <row r="6823" spans="1:9" x14ac:dyDescent="0.3">
      <c r="A6823" s="55">
        <v>10</v>
      </c>
      <c r="B6823" s="257" t="s">
        <v>1251</v>
      </c>
      <c r="C6823" s="20">
        <v>4</v>
      </c>
      <c r="D6823" s="297">
        <v>85369090</v>
      </c>
      <c r="E6823" s="55">
        <v>200</v>
      </c>
      <c r="F6823" s="55">
        <f t="shared" si="171"/>
        <v>72</v>
      </c>
      <c r="G6823" s="55">
        <f t="shared" si="172"/>
        <v>72</v>
      </c>
      <c r="H6823" s="55">
        <f t="shared" si="173"/>
        <v>944</v>
      </c>
      <c r="I6823" s="362">
        <f t="shared" si="174"/>
        <v>800</v>
      </c>
    </row>
    <row r="6824" spans="1:9" x14ac:dyDescent="0.3">
      <c r="A6824" s="55">
        <v>11</v>
      </c>
      <c r="B6824" s="257" t="s">
        <v>1252</v>
      </c>
      <c r="C6824" s="20">
        <v>2</v>
      </c>
      <c r="D6824" s="86">
        <v>998719</v>
      </c>
      <c r="E6824" s="55">
        <v>700</v>
      </c>
      <c r="F6824" s="55">
        <f t="shared" si="171"/>
        <v>126</v>
      </c>
      <c r="G6824" s="55">
        <f t="shared" si="172"/>
        <v>126</v>
      </c>
      <c r="H6824" s="55">
        <f t="shared" si="173"/>
        <v>1652</v>
      </c>
      <c r="I6824" s="362">
        <f t="shared" si="174"/>
        <v>1400</v>
      </c>
    </row>
    <row r="6825" spans="1:9" ht="27.6" x14ac:dyDescent="0.3">
      <c r="A6825" s="55">
        <v>12</v>
      </c>
      <c r="B6825" s="257" t="s">
        <v>1253</v>
      </c>
      <c r="C6825" s="20">
        <v>1</v>
      </c>
      <c r="D6825" s="429">
        <v>85389000</v>
      </c>
      <c r="E6825" s="55">
        <v>2525</v>
      </c>
      <c r="F6825" s="55">
        <f t="shared" si="171"/>
        <v>227.25</v>
      </c>
      <c r="G6825" s="55">
        <f t="shared" si="172"/>
        <v>227.25</v>
      </c>
      <c r="H6825" s="55">
        <f t="shared" si="173"/>
        <v>2979.5</v>
      </c>
      <c r="I6825" s="362">
        <f t="shared" si="174"/>
        <v>2525</v>
      </c>
    </row>
    <row r="6826" spans="1:9" x14ac:dyDescent="0.3">
      <c r="A6826" s="55">
        <v>13</v>
      </c>
      <c r="B6826" s="257" t="s">
        <v>1255</v>
      </c>
      <c r="C6826" s="20">
        <v>1</v>
      </c>
      <c r="D6826" s="356">
        <v>85389000</v>
      </c>
      <c r="E6826" s="55">
        <v>2510</v>
      </c>
      <c r="F6826" s="55">
        <f t="shared" si="171"/>
        <v>225.9</v>
      </c>
      <c r="G6826" s="55">
        <f t="shared" si="172"/>
        <v>225.9</v>
      </c>
      <c r="H6826" s="55">
        <f t="shared" si="173"/>
        <v>2961.8</v>
      </c>
      <c r="I6826" s="362">
        <f t="shared" si="174"/>
        <v>2510</v>
      </c>
    </row>
    <row r="6827" spans="1:9" x14ac:dyDescent="0.3">
      <c r="A6827" s="55">
        <v>14</v>
      </c>
      <c r="B6827" s="257" t="s">
        <v>1256</v>
      </c>
      <c r="C6827" s="20">
        <v>5</v>
      </c>
      <c r="D6827" s="163">
        <v>2508</v>
      </c>
      <c r="E6827" s="55">
        <v>400</v>
      </c>
      <c r="F6827" s="55">
        <f t="shared" si="171"/>
        <v>180</v>
      </c>
      <c r="G6827" s="55">
        <f t="shared" si="172"/>
        <v>180</v>
      </c>
      <c r="H6827" s="55">
        <f t="shared" si="173"/>
        <v>2360</v>
      </c>
      <c r="I6827" s="362">
        <f t="shared" si="174"/>
        <v>2000</v>
      </c>
    </row>
    <row r="6828" spans="1:9" x14ac:dyDescent="0.3">
      <c r="A6828" s="364"/>
      <c r="H6828" s="365"/>
    </row>
    <row r="6829" spans="1:9" x14ac:dyDescent="0.3">
      <c r="A6829" s="27"/>
      <c r="B6829" s="363"/>
      <c r="C6829" s="24"/>
      <c r="D6829" s="24"/>
      <c r="E6829" s="24"/>
      <c r="F6829" s="24"/>
      <c r="G6829" s="24"/>
      <c r="H6829" s="281"/>
    </row>
    <row r="6830" spans="1:9" x14ac:dyDescent="0.3">
      <c r="A6830" s="173"/>
      <c r="B6830" s="88"/>
      <c r="C6830" s="206"/>
      <c r="D6830" s="89"/>
      <c r="E6830" s="207"/>
      <c r="F6830" s="25"/>
      <c r="G6830" s="25"/>
      <c r="H6830" s="32"/>
    </row>
    <row r="6831" spans="1:9" x14ac:dyDescent="0.3">
      <c r="A6831" s="173"/>
      <c r="B6831" s="88"/>
      <c r="C6831" s="206"/>
      <c r="D6831" s="89"/>
      <c r="E6831" s="25"/>
      <c r="F6831" s="25"/>
      <c r="G6831" s="25"/>
      <c r="H6831" s="32"/>
    </row>
    <row r="6832" spans="1:9" x14ac:dyDescent="0.3">
      <c r="A6832" s="27"/>
      <c r="B6832" s="88"/>
      <c r="C6832" s="24"/>
      <c r="D6832" s="89"/>
      <c r="E6832" s="25"/>
      <c r="F6832" s="25"/>
      <c r="G6832" s="25"/>
      <c r="H6832" s="32"/>
    </row>
    <row r="6833" spans="1:8" x14ac:dyDescent="0.3">
      <c r="A6833" s="27"/>
      <c r="B6833" s="28"/>
      <c r="C6833" s="24"/>
      <c r="D6833" s="25"/>
      <c r="E6833" s="25"/>
      <c r="F6833" s="28"/>
      <c r="G6833" s="28"/>
      <c r="H6833" s="32"/>
    </row>
    <row r="6834" spans="1:8" ht="15.6" x14ac:dyDescent="0.3">
      <c r="A6834" s="448" t="s">
        <v>45</v>
      </c>
      <c r="B6834" s="449"/>
      <c r="C6834" s="24"/>
      <c r="D6834" s="25"/>
      <c r="E6834" s="25"/>
      <c r="F6834" s="447" t="s">
        <v>46</v>
      </c>
      <c r="G6834" s="447"/>
      <c r="H6834" s="66">
        <v>141669</v>
      </c>
    </row>
    <row r="6835" spans="1:8" ht="15.6" x14ac:dyDescent="0.3">
      <c r="A6835" s="497" t="s">
        <v>1292</v>
      </c>
      <c r="B6835" s="498"/>
      <c r="C6835" s="498"/>
      <c r="D6835" s="498"/>
      <c r="E6835" s="498"/>
      <c r="F6835" s="447" t="s">
        <v>47</v>
      </c>
      <c r="G6835" s="447"/>
      <c r="H6835" s="66">
        <f>H6834*9%</f>
        <v>12750.21</v>
      </c>
    </row>
    <row r="6836" spans="1:8" ht="15.6" x14ac:dyDescent="0.3">
      <c r="A6836" s="27"/>
      <c r="B6836" s="28"/>
      <c r="C6836" s="24"/>
      <c r="D6836" s="25"/>
      <c r="E6836" s="25"/>
      <c r="F6836" s="447" t="s">
        <v>48</v>
      </c>
      <c r="G6836" s="447"/>
      <c r="H6836" s="66">
        <f>H6835</f>
        <v>12750.21</v>
      </c>
    </row>
    <row r="6837" spans="1:8" ht="15.6" x14ac:dyDescent="0.3">
      <c r="A6837" s="64" t="s">
        <v>49</v>
      </c>
      <c r="B6837" s="65"/>
      <c r="C6837" s="24"/>
      <c r="D6837" s="25"/>
      <c r="E6837" s="25"/>
      <c r="F6837" s="447" t="s">
        <v>50</v>
      </c>
      <c r="G6837" s="447"/>
      <c r="H6837" s="66">
        <v>167169</v>
      </c>
    </row>
    <row r="6838" spans="1:8" ht="27" x14ac:dyDescent="0.3">
      <c r="A6838" s="68" t="s">
        <v>22</v>
      </c>
      <c r="B6838" s="30" t="s">
        <v>51</v>
      </c>
      <c r="C6838" s="70" t="s">
        <v>24</v>
      </c>
      <c r="D6838" s="31" t="s">
        <v>25</v>
      </c>
      <c r="E6838" s="543" t="s">
        <v>52</v>
      </c>
      <c r="F6838" s="543"/>
      <c r="G6838" s="28"/>
      <c r="H6838" s="32"/>
    </row>
    <row r="6839" spans="1:8" x14ac:dyDescent="0.3">
      <c r="A6839" s="72">
        <v>0.18</v>
      </c>
      <c r="B6839" s="73">
        <f>H6834</f>
        <v>141669</v>
      </c>
      <c r="C6839" s="91">
        <f>H6835</f>
        <v>12750.21</v>
      </c>
      <c r="D6839" s="91">
        <f>H6835</f>
        <v>12750.21</v>
      </c>
      <c r="E6839" s="506">
        <f>C6839+D6839</f>
        <v>25500.42</v>
      </c>
      <c r="F6839" s="507"/>
      <c r="G6839" s="74"/>
      <c r="H6839" s="75"/>
    </row>
    <row r="6840" spans="1:8" x14ac:dyDescent="0.3">
      <c r="A6840" s="508" t="s">
        <v>1293</v>
      </c>
      <c r="B6840" s="509"/>
      <c r="C6840" s="509"/>
      <c r="D6840" s="509"/>
      <c r="E6840" s="453"/>
      <c r="F6840" s="453"/>
      <c r="G6840" s="453"/>
      <c r="H6840" s="454"/>
    </row>
    <row r="6841" spans="1:8" ht="15.6" x14ac:dyDescent="0.3">
      <c r="A6841" s="455" t="s">
        <v>53</v>
      </c>
      <c r="B6841" s="456"/>
      <c r="C6841" s="456"/>
      <c r="D6841" s="457"/>
      <c r="E6841" s="458" t="s">
        <v>54</v>
      </c>
      <c r="F6841" s="459"/>
      <c r="G6841" s="459"/>
      <c r="H6841" s="460"/>
    </row>
    <row r="6842" spans="1:8" x14ac:dyDescent="0.3">
      <c r="A6842" s="461" t="s">
        <v>55</v>
      </c>
      <c r="B6842" s="462"/>
      <c r="C6842" s="462"/>
      <c r="D6842" s="463"/>
      <c r="E6842" s="39"/>
      <c r="F6842" s="28"/>
      <c r="G6842" s="28"/>
      <c r="H6842" s="32"/>
    </row>
    <row r="6843" spans="1:8" x14ac:dyDescent="0.3">
      <c r="A6843" s="461" t="s">
        <v>56</v>
      </c>
      <c r="B6843" s="462"/>
      <c r="C6843" s="462"/>
      <c r="D6843" s="463"/>
      <c r="E6843" s="39"/>
      <c r="F6843" s="28"/>
      <c r="G6843" s="28"/>
      <c r="H6843" s="32"/>
    </row>
    <row r="6844" spans="1:8" x14ac:dyDescent="0.3">
      <c r="A6844" s="461" t="s">
        <v>57</v>
      </c>
      <c r="B6844" s="462"/>
      <c r="C6844" s="462"/>
      <c r="D6844" s="463"/>
      <c r="E6844" s="39"/>
      <c r="F6844" s="28"/>
      <c r="G6844" s="28"/>
      <c r="H6844" s="32"/>
    </row>
    <row r="6845" spans="1:8" ht="15.6" x14ac:dyDescent="0.3">
      <c r="A6845" s="464" t="s">
        <v>58</v>
      </c>
      <c r="B6845" s="465"/>
      <c r="C6845" s="465"/>
      <c r="D6845" s="465"/>
      <c r="E6845" s="466" t="s">
        <v>59</v>
      </c>
      <c r="F6845" s="467"/>
      <c r="G6845" s="467"/>
      <c r="H6845" s="468"/>
    </row>
    <row r="6849" spans="1:9" ht="44.4" x14ac:dyDescent="0.7">
      <c r="A6849" s="469" t="s">
        <v>0</v>
      </c>
      <c r="B6849" s="470"/>
      <c r="C6849" s="470"/>
      <c r="D6849" s="470"/>
      <c r="E6849" s="531" t="s">
        <v>1</v>
      </c>
      <c r="F6849" s="544"/>
      <c r="G6849" s="544"/>
      <c r="H6849" s="545"/>
    </row>
    <row r="6850" spans="1:9" ht="20.399999999999999" x14ac:dyDescent="0.35">
      <c r="A6850" s="1"/>
      <c r="B6850" s="476" t="s">
        <v>2</v>
      </c>
      <c r="C6850" s="476"/>
      <c r="D6850" s="476"/>
      <c r="E6850" s="546"/>
      <c r="F6850" s="546"/>
      <c r="G6850" s="546"/>
      <c r="H6850" s="547"/>
    </row>
    <row r="6851" spans="1:9" x14ac:dyDescent="0.3">
      <c r="A6851" s="477" t="s">
        <v>3</v>
      </c>
      <c r="B6851" s="478"/>
      <c r="C6851" s="479" t="s">
        <v>4</v>
      </c>
      <c r="D6851" s="479"/>
      <c r="E6851" s="480" t="s">
        <v>5</v>
      </c>
      <c r="F6851" s="480"/>
      <c r="G6851" s="480"/>
      <c r="H6851" s="480"/>
    </row>
    <row r="6852" spans="1:9" ht="15.6" x14ac:dyDescent="0.3">
      <c r="A6852" s="4" t="s">
        <v>6</v>
      </c>
      <c r="B6852" s="5"/>
      <c r="C6852" s="481" t="s">
        <v>7</v>
      </c>
      <c r="D6852" s="481"/>
      <c r="E6852" s="482">
        <v>149</v>
      </c>
      <c r="F6852" s="482"/>
      <c r="G6852" s="7" t="s">
        <v>8</v>
      </c>
      <c r="H6852" s="354" t="s">
        <v>1219</v>
      </c>
    </row>
    <row r="6853" spans="1:9" ht="15.6" x14ac:dyDescent="0.3">
      <c r="A6853" s="551" t="s">
        <v>458</v>
      </c>
      <c r="B6853" s="552"/>
      <c r="C6853" s="481" t="s">
        <v>10</v>
      </c>
      <c r="D6853" s="481"/>
      <c r="E6853" s="482" t="s">
        <v>1263</v>
      </c>
      <c r="F6853" s="482"/>
      <c r="G6853" s="7" t="s">
        <v>8</v>
      </c>
      <c r="H6853" s="354" t="s">
        <v>1014</v>
      </c>
    </row>
    <row r="6854" spans="1:9" ht="38.25" customHeight="1" x14ac:dyDescent="0.3">
      <c r="A6854" s="560" t="s">
        <v>459</v>
      </c>
      <c r="B6854" s="561"/>
      <c r="C6854" s="483" t="s">
        <v>12</v>
      </c>
      <c r="D6854" s="484"/>
      <c r="E6854" s="564" t="s">
        <v>466</v>
      </c>
      <c r="F6854" s="593"/>
      <c r="G6854" s="10" t="s">
        <v>8</v>
      </c>
      <c r="H6854" s="252" t="s">
        <v>465</v>
      </c>
    </row>
    <row r="6855" spans="1:9" ht="15.6" x14ac:dyDescent="0.3">
      <c r="A6855" s="253" t="s">
        <v>460</v>
      </c>
      <c r="B6855" s="254"/>
      <c r="C6855" s="481" t="s">
        <v>15</v>
      </c>
      <c r="D6855" s="481"/>
      <c r="E6855" s="489" t="s">
        <v>461</v>
      </c>
      <c r="F6855" s="490"/>
      <c r="G6855" s="490"/>
      <c r="H6855" s="491"/>
    </row>
    <row r="6856" spans="1:9" ht="15.6" x14ac:dyDescent="0.3">
      <c r="A6856" s="255" t="s">
        <v>1257</v>
      </c>
      <c r="B6856" s="256"/>
      <c r="C6856" s="489"/>
      <c r="D6856" s="490"/>
      <c r="E6856" s="490"/>
      <c r="F6856" s="490"/>
      <c r="G6856" s="490"/>
      <c r="H6856" s="491"/>
    </row>
    <row r="6857" spans="1:9" ht="15" x14ac:dyDescent="0.3">
      <c r="A6857" s="492" t="s">
        <v>17</v>
      </c>
      <c r="B6857" s="494" t="s">
        <v>18</v>
      </c>
      <c r="C6857" s="494" t="s">
        <v>19</v>
      </c>
      <c r="D6857" s="495" t="s">
        <v>20</v>
      </c>
      <c r="E6857" s="494" t="s">
        <v>21</v>
      </c>
      <c r="F6857" s="494" t="s">
        <v>22</v>
      </c>
      <c r="G6857" s="494"/>
      <c r="H6857" s="492" t="s">
        <v>23</v>
      </c>
    </row>
    <row r="6858" spans="1:9" ht="27.6" x14ac:dyDescent="0.3">
      <c r="A6858" s="492"/>
      <c r="B6858" s="494"/>
      <c r="C6858" s="494"/>
      <c r="D6858" s="505"/>
      <c r="E6858" s="494"/>
      <c r="F6858" s="53" t="s">
        <v>24</v>
      </c>
      <c r="G6858" s="53" t="s">
        <v>25</v>
      </c>
      <c r="H6858" s="492"/>
    </row>
    <row r="6859" spans="1:9" ht="27.6" x14ac:dyDescent="0.3">
      <c r="A6859" s="55">
        <v>1</v>
      </c>
      <c r="B6859" s="257" t="s">
        <v>1258</v>
      </c>
      <c r="C6859" s="55">
        <v>1</v>
      </c>
      <c r="D6859" s="377">
        <v>85389000</v>
      </c>
      <c r="E6859" s="55">
        <v>8500</v>
      </c>
      <c r="F6859" s="55">
        <f t="shared" ref="F6859" si="175">E6859*C6859*9%</f>
        <v>765</v>
      </c>
      <c r="G6859" s="55">
        <f t="shared" ref="G6859:G6867" si="176">F6859</f>
        <v>765</v>
      </c>
      <c r="H6859" s="55">
        <f t="shared" ref="H6859" si="177">G6859+F6859+E6859*C6859</f>
        <v>10030</v>
      </c>
      <c r="I6859" s="362">
        <f t="shared" ref="I6859" si="178">E6859*C6859</f>
        <v>8500</v>
      </c>
    </row>
    <row r="6860" spans="1:9" x14ac:dyDescent="0.3">
      <c r="A6860" s="55">
        <v>2</v>
      </c>
      <c r="B6860" s="84" t="s">
        <v>1259</v>
      </c>
      <c r="C6860" s="55">
        <v>27</v>
      </c>
      <c r="D6860" s="163">
        <v>85446020</v>
      </c>
      <c r="E6860" s="55">
        <v>184</v>
      </c>
      <c r="F6860" s="55">
        <f t="shared" ref="F6860:F6867" si="179">E6860*C6860*9%</f>
        <v>447.12</v>
      </c>
      <c r="G6860" s="55">
        <f t="shared" si="176"/>
        <v>447.12</v>
      </c>
      <c r="H6860" s="55">
        <f t="shared" ref="H6860:H6867" si="180">G6860+F6860+E6860*C6860</f>
        <v>5862.24</v>
      </c>
      <c r="I6860" s="362">
        <f t="shared" ref="I6860:I6867" si="181">E6860*C6860</f>
        <v>4968</v>
      </c>
    </row>
    <row r="6861" spans="1:9" x14ac:dyDescent="0.3">
      <c r="A6861" s="55">
        <v>3</v>
      </c>
      <c r="B6861" s="84" t="s">
        <v>1264</v>
      </c>
      <c r="C6861" s="55">
        <v>3</v>
      </c>
      <c r="D6861" s="361">
        <v>998719</v>
      </c>
      <c r="E6861" s="55">
        <v>6000</v>
      </c>
      <c r="F6861" s="55">
        <f t="shared" si="179"/>
        <v>1620</v>
      </c>
      <c r="G6861" s="55">
        <f t="shared" si="176"/>
        <v>1620</v>
      </c>
      <c r="H6861" s="55">
        <f t="shared" si="180"/>
        <v>21240</v>
      </c>
      <c r="I6861" s="362">
        <f t="shared" si="181"/>
        <v>18000</v>
      </c>
    </row>
    <row r="6862" spans="1:9" x14ac:dyDescent="0.3">
      <c r="A6862" s="55">
        <v>4</v>
      </c>
      <c r="B6862" s="84" t="s">
        <v>1265</v>
      </c>
      <c r="C6862" s="55">
        <v>2</v>
      </c>
      <c r="D6862" s="163">
        <v>854690</v>
      </c>
      <c r="E6862" s="55">
        <v>1850</v>
      </c>
      <c r="F6862" s="55">
        <f t="shared" si="179"/>
        <v>333</v>
      </c>
      <c r="G6862" s="55">
        <f t="shared" si="176"/>
        <v>333</v>
      </c>
      <c r="H6862" s="55">
        <f t="shared" si="180"/>
        <v>4366</v>
      </c>
      <c r="I6862" s="362">
        <f t="shared" si="181"/>
        <v>3700</v>
      </c>
    </row>
    <row r="6863" spans="1:9" x14ac:dyDescent="0.3">
      <c r="A6863" s="55">
        <v>5</v>
      </c>
      <c r="B6863" s="84" t="s">
        <v>1266</v>
      </c>
      <c r="C6863" s="55">
        <v>2</v>
      </c>
      <c r="D6863" s="163">
        <v>854690</v>
      </c>
      <c r="E6863" s="55">
        <v>1850</v>
      </c>
      <c r="F6863" s="55">
        <f t="shared" si="179"/>
        <v>333</v>
      </c>
      <c r="G6863" s="55">
        <f t="shared" si="176"/>
        <v>333</v>
      </c>
      <c r="H6863" s="55">
        <f t="shared" si="180"/>
        <v>4366</v>
      </c>
      <c r="I6863" s="362">
        <f t="shared" si="181"/>
        <v>3700</v>
      </c>
    </row>
    <row r="6864" spans="1:9" x14ac:dyDescent="0.3">
      <c r="A6864" s="55">
        <v>6</v>
      </c>
      <c r="B6864" s="84" t="s">
        <v>1267</v>
      </c>
      <c r="C6864" s="55">
        <v>2</v>
      </c>
      <c r="D6864" s="163">
        <v>854690</v>
      </c>
      <c r="E6864" s="55">
        <v>1200</v>
      </c>
      <c r="F6864" s="55">
        <f t="shared" si="179"/>
        <v>216</v>
      </c>
      <c r="G6864" s="55">
        <f t="shared" si="176"/>
        <v>216</v>
      </c>
      <c r="H6864" s="55">
        <f t="shared" si="180"/>
        <v>2832</v>
      </c>
      <c r="I6864" s="362">
        <f t="shared" si="181"/>
        <v>2400</v>
      </c>
    </row>
    <row r="6865" spans="1:9" x14ac:dyDescent="0.3">
      <c r="A6865" s="55">
        <v>7</v>
      </c>
      <c r="B6865" s="257" t="s">
        <v>1268</v>
      </c>
      <c r="C6865" s="55">
        <v>6</v>
      </c>
      <c r="D6865" s="55">
        <v>998719</v>
      </c>
      <c r="E6865" s="55">
        <v>1600</v>
      </c>
      <c r="F6865" s="55">
        <f t="shared" si="179"/>
        <v>864</v>
      </c>
      <c r="G6865" s="55">
        <f t="shared" si="176"/>
        <v>864</v>
      </c>
      <c r="H6865" s="55">
        <f t="shared" si="180"/>
        <v>11328</v>
      </c>
      <c r="I6865" s="362">
        <f t="shared" si="181"/>
        <v>9600</v>
      </c>
    </row>
    <row r="6866" spans="1:9" x14ac:dyDescent="0.3">
      <c r="A6866" s="55">
        <v>8</v>
      </c>
      <c r="B6866" s="257" t="s">
        <v>1269</v>
      </c>
      <c r="C6866" s="20">
        <v>35</v>
      </c>
      <c r="D6866" s="86">
        <v>998719</v>
      </c>
      <c r="E6866" s="55">
        <v>450</v>
      </c>
      <c r="F6866" s="55">
        <f t="shared" si="179"/>
        <v>1417.5</v>
      </c>
      <c r="G6866" s="55">
        <f t="shared" si="176"/>
        <v>1417.5</v>
      </c>
      <c r="H6866" s="55">
        <f t="shared" si="180"/>
        <v>18585</v>
      </c>
      <c r="I6866" s="362">
        <f t="shared" si="181"/>
        <v>15750</v>
      </c>
    </row>
    <row r="6867" spans="1:9" x14ac:dyDescent="0.3">
      <c r="A6867" s="55">
        <v>9</v>
      </c>
      <c r="B6867" s="257" t="s">
        <v>1262</v>
      </c>
      <c r="C6867" s="20">
        <v>3</v>
      </c>
      <c r="D6867" s="86">
        <v>998719</v>
      </c>
      <c r="E6867" s="55">
        <v>500</v>
      </c>
      <c r="F6867" s="55">
        <f t="shared" si="179"/>
        <v>135</v>
      </c>
      <c r="G6867" s="55">
        <f t="shared" si="176"/>
        <v>135</v>
      </c>
      <c r="H6867" s="55">
        <f t="shared" si="180"/>
        <v>1770</v>
      </c>
      <c r="I6867" s="362">
        <f t="shared" si="181"/>
        <v>1500</v>
      </c>
    </row>
    <row r="6868" spans="1:9" x14ac:dyDescent="0.3">
      <c r="A6868" s="55"/>
      <c r="B6868" s="257"/>
      <c r="C6868" s="20"/>
      <c r="D6868" s="86"/>
      <c r="E6868" s="55"/>
      <c r="F6868" s="55"/>
      <c r="G6868" s="55"/>
      <c r="H6868" s="55"/>
    </row>
    <row r="6869" spans="1:9" x14ac:dyDescent="0.3">
      <c r="A6869" s="55"/>
      <c r="B6869" s="257"/>
      <c r="C6869" s="20"/>
      <c r="D6869" s="86"/>
      <c r="E6869" s="55"/>
      <c r="F6869" s="55"/>
      <c r="G6869" s="55"/>
      <c r="H6869" s="55"/>
    </row>
    <row r="6870" spans="1:9" x14ac:dyDescent="0.3">
      <c r="A6870" s="55"/>
      <c r="B6870" s="257"/>
      <c r="C6870" s="20"/>
      <c r="D6870" s="86"/>
      <c r="E6870" s="55"/>
      <c r="F6870" s="55"/>
      <c r="G6870" s="55"/>
      <c r="H6870" s="55"/>
    </row>
    <row r="6871" spans="1:9" x14ac:dyDescent="0.3">
      <c r="A6871" s="364"/>
      <c r="H6871" s="365"/>
    </row>
    <row r="6872" spans="1:9" x14ac:dyDescent="0.3">
      <c r="A6872" s="366"/>
      <c r="B6872" s="363"/>
      <c r="C6872" s="362"/>
      <c r="D6872" s="89"/>
      <c r="E6872" s="24"/>
      <c r="F6872" s="189"/>
      <c r="G6872" s="189"/>
      <c r="H6872" s="367"/>
    </row>
    <row r="6873" spans="1:9" x14ac:dyDescent="0.3">
      <c r="A6873" s="27"/>
      <c r="B6873" s="88"/>
      <c r="C6873" s="24"/>
      <c r="D6873" s="24"/>
      <c r="E6873" s="24"/>
      <c r="F6873" s="24"/>
      <c r="G6873" s="24"/>
      <c r="H6873" s="281"/>
    </row>
    <row r="6874" spans="1:9" x14ac:dyDescent="0.3">
      <c r="A6874" s="364"/>
      <c r="H6874" s="365"/>
    </row>
    <row r="6875" spans="1:9" x14ac:dyDescent="0.3">
      <c r="A6875" s="27"/>
      <c r="B6875" s="363"/>
      <c r="C6875" s="24"/>
      <c r="D6875" s="24"/>
      <c r="E6875" s="24"/>
      <c r="F6875" s="24"/>
      <c r="G6875" s="24"/>
      <c r="H6875" s="281"/>
    </row>
    <row r="6876" spans="1:9" x14ac:dyDescent="0.3">
      <c r="A6876" s="173"/>
      <c r="B6876" s="88"/>
      <c r="C6876" s="206"/>
      <c r="D6876" s="89"/>
      <c r="E6876" s="207"/>
      <c r="F6876" s="25"/>
      <c r="G6876" s="25"/>
      <c r="H6876" s="32"/>
    </row>
    <row r="6877" spans="1:9" x14ac:dyDescent="0.3">
      <c r="A6877" s="173"/>
      <c r="B6877" s="88"/>
      <c r="C6877" s="206"/>
      <c r="D6877" s="89"/>
      <c r="E6877" s="25"/>
      <c r="F6877" s="25"/>
      <c r="G6877" s="25"/>
      <c r="H6877" s="32"/>
    </row>
    <row r="6878" spans="1:9" x14ac:dyDescent="0.3">
      <c r="A6878" s="27"/>
      <c r="B6878" s="88"/>
      <c r="C6878" s="24"/>
      <c r="D6878" s="89"/>
      <c r="E6878" s="25"/>
      <c r="F6878" s="25"/>
      <c r="G6878" s="25"/>
      <c r="H6878" s="32"/>
    </row>
    <row r="6879" spans="1:9" x14ac:dyDescent="0.3">
      <c r="A6879" s="27"/>
      <c r="B6879" s="28"/>
      <c r="C6879" s="24"/>
      <c r="D6879" s="25"/>
      <c r="E6879" s="25"/>
      <c r="F6879" s="28"/>
      <c r="G6879" s="28"/>
      <c r="H6879" s="32"/>
    </row>
    <row r="6880" spans="1:9" ht="15.6" x14ac:dyDescent="0.3">
      <c r="A6880" s="448" t="s">
        <v>45</v>
      </c>
      <c r="B6880" s="449"/>
      <c r="C6880" s="24"/>
      <c r="D6880" s="25"/>
      <c r="E6880" s="25"/>
      <c r="F6880" s="447" t="s">
        <v>46</v>
      </c>
      <c r="G6880" s="447"/>
      <c r="H6880" s="66">
        <v>68118</v>
      </c>
    </row>
    <row r="6881" spans="1:8" ht="15.6" x14ac:dyDescent="0.3">
      <c r="A6881" s="497" t="s">
        <v>1294</v>
      </c>
      <c r="B6881" s="498"/>
      <c r="C6881" s="498"/>
      <c r="D6881" s="498"/>
      <c r="E6881" s="498"/>
      <c r="F6881" s="447" t="s">
        <v>47</v>
      </c>
      <c r="G6881" s="447"/>
      <c r="H6881" s="66">
        <f>H6880*9%</f>
        <v>6130.62</v>
      </c>
    </row>
    <row r="6882" spans="1:8" ht="15.6" x14ac:dyDescent="0.3">
      <c r="A6882" s="27"/>
      <c r="B6882" s="28"/>
      <c r="C6882" s="24"/>
      <c r="D6882" s="25"/>
      <c r="E6882" s="25"/>
      <c r="F6882" s="447" t="s">
        <v>48</v>
      </c>
      <c r="G6882" s="447"/>
      <c r="H6882" s="66">
        <f>H6881</f>
        <v>6130.62</v>
      </c>
    </row>
    <row r="6883" spans="1:8" ht="15.6" x14ac:dyDescent="0.3">
      <c r="A6883" s="64" t="s">
        <v>49</v>
      </c>
      <c r="B6883" s="65"/>
      <c r="C6883" s="24"/>
      <c r="D6883" s="25"/>
      <c r="E6883" s="25"/>
      <c r="F6883" s="447" t="s">
        <v>50</v>
      </c>
      <c r="G6883" s="447"/>
      <c r="H6883" s="66">
        <v>80379</v>
      </c>
    </row>
    <row r="6884" spans="1:8" ht="27" x14ac:dyDescent="0.3">
      <c r="A6884" s="68" t="s">
        <v>22</v>
      </c>
      <c r="B6884" s="30" t="s">
        <v>51</v>
      </c>
      <c r="C6884" s="70" t="s">
        <v>24</v>
      </c>
      <c r="D6884" s="31" t="s">
        <v>25</v>
      </c>
      <c r="E6884" s="450" t="s">
        <v>52</v>
      </c>
      <c r="F6884" s="450"/>
      <c r="G6884" s="28"/>
      <c r="H6884" s="32"/>
    </row>
    <row r="6885" spans="1:8" x14ac:dyDescent="0.3">
      <c r="A6885" s="72">
        <v>0.18</v>
      </c>
      <c r="B6885" s="73">
        <f>H6880</f>
        <v>68118</v>
      </c>
      <c r="C6885" s="91">
        <f>H6881</f>
        <v>6130.62</v>
      </c>
      <c r="D6885" s="91">
        <f>H6881</f>
        <v>6130.62</v>
      </c>
      <c r="E6885" s="506">
        <f>C6885+D6885</f>
        <v>12261.24</v>
      </c>
      <c r="F6885" s="507"/>
      <c r="G6885" s="74"/>
      <c r="H6885" s="75"/>
    </row>
    <row r="6886" spans="1:8" x14ac:dyDescent="0.3">
      <c r="A6886" s="508" t="s">
        <v>1295</v>
      </c>
      <c r="B6886" s="509"/>
      <c r="C6886" s="509"/>
      <c r="D6886" s="509"/>
      <c r="E6886" s="453"/>
      <c r="F6886" s="453"/>
      <c r="G6886" s="453"/>
      <c r="H6886" s="454"/>
    </row>
    <row r="6887" spans="1:8" ht="15.6" x14ac:dyDescent="0.3">
      <c r="A6887" s="455" t="s">
        <v>53</v>
      </c>
      <c r="B6887" s="456"/>
      <c r="C6887" s="456"/>
      <c r="D6887" s="457"/>
      <c r="E6887" s="458" t="s">
        <v>54</v>
      </c>
      <c r="F6887" s="459"/>
      <c r="G6887" s="459"/>
      <c r="H6887" s="460"/>
    </row>
    <row r="6888" spans="1:8" x14ac:dyDescent="0.3">
      <c r="A6888" s="461" t="s">
        <v>55</v>
      </c>
      <c r="B6888" s="462"/>
      <c r="C6888" s="462"/>
      <c r="D6888" s="463"/>
      <c r="E6888" s="39"/>
      <c r="F6888" s="28"/>
      <c r="G6888" s="28"/>
      <c r="H6888" s="32"/>
    </row>
    <row r="6889" spans="1:8" x14ac:dyDescent="0.3">
      <c r="A6889" s="461" t="s">
        <v>56</v>
      </c>
      <c r="B6889" s="462"/>
      <c r="C6889" s="462"/>
      <c r="D6889" s="463"/>
      <c r="E6889" s="39"/>
      <c r="F6889" s="28"/>
      <c r="G6889" s="28"/>
      <c r="H6889" s="32"/>
    </row>
    <row r="6890" spans="1:8" x14ac:dyDescent="0.3">
      <c r="A6890" s="461" t="s">
        <v>57</v>
      </c>
      <c r="B6890" s="462"/>
      <c r="C6890" s="462"/>
      <c r="D6890" s="463"/>
      <c r="E6890" s="39"/>
      <c r="F6890" s="28"/>
      <c r="G6890" s="28"/>
      <c r="H6890" s="32"/>
    </row>
    <row r="6891" spans="1:8" ht="15.6" x14ac:dyDescent="0.3">
      <c r="A6891" s="464" t="s">
        <v>58</v>
      </c>
      <c r="B6891" s="465"/>
      <c r="C6891" s="465"/>
      <c r="D6891" s="465"/>
      <c r="E6891" s="466" t="s">
        <v>59</v>
      </c>
      <c r="F6891" s="467"/>
      <c r="G6891" s="467"/>
      <c r="H6891" s="468"/>
    </row>
    <row r="6893" spans="1:8" ht="44.4" x14ac:dyDescent="0.7">
      <c r="A6893" s="469" t="s">
        <v>0</v>
      </c>
      <c r="B6893" s="470"/>
      <c r="C6893" s="470"/>
      <c r="D6893" s="470"/>
      <c r="E6893" s="531" t="s">
        <v>1</v>
      </c>
      <c r="F6893" s="544"/>
      <c r="G6893" s="544"/>
      <c r="H6893" s="545"/>
    </row>
    <row r="6894" spans="1:8" ht="20.399999999999999" x14ac:dyDescent="0.35">
      <c r="A6894" s="1"/>
      <c r="B6894" s="476" t="s">
        <v>2</v>
      </c>
      <c r="C6894" s="476"/>
      <c r="D6894" s="476"/>
      <c r="E6894" s="546"/>
      <c r="F6894" s="546"/>
      <c r="G6894" s="546"/>
      <c r="H6894" s="547"/>
    </row>
    <row r="6895" spans="1:8" x14ac:dyDescent="0.3">
      <c r="A6895" s="477" t="s">
        <v>3</v>
      </c>
      <c r="B6895" s="478"/>
      <c r="C6895" s="479" t="s">
        <v>4</v>
      </c>
      <c r="D6895" s="479"/>
      <c r="E6895" s="480" t="s">
        <v>5</v>
      </c>
      <c r="F6895" s="480"/>
      <c r="G6895" s="480"/>
      <c r="H6895" s="480"/>
    </row>
    <row r="6896" spans="1:8" ht="15.6" x14ac:dyDescent="0.3">
      <c r="A6896" s="4" t="s">
        <v>6</v>
      </c>
      <c r="B6896" s="5"/>
      <c r="C6896" s="481" t="s">
        <v>7</v>
      </c>
      <c r="D6896" s="481"/>
      <c r="E6896" s="482">
        <v>150</v>
      </c>
      <c r="F6896" s="482"/>
      <c r="G6896" s="7" t="s">
        <v>8</v>
      </c>
      <c r="H6896" s="354" t="s">
        <v>1219</v>
      </c>
    </row>
    <row r="6897" spans="1:9" ht="15.6" x14ac:dyDescent="0.3">
      <c r="A6897" s="551" t="s">
        <v>458</v>
      </c>
      <c r="B6897" s="552"/>
      <c r="C6897" s="481" t="s">
        <v>10</v>
      </c>
      <c r="D6897" s="481"/>
      <c r="E6897" s="482">
        <v>23</v>
      </c>
      <c r="F6897" s="482"/>
      <c r="G6897" s="7" t="s">
        <v>8</v>
      </c>
      <c r="H6897" s="354" t="s">
        <v>998</v>
      </c>
    </row>
    <row r="6898" spans="1:9" ht="28.5" customHeight="1" x14ac:dyDescent="0.3">
      <c r="A6898" s="560" t="s">
        <v>459</v>
      </c>
      <c r="B6898" s="561"/>
      <c r="C6898" s="483" t="s">
        <v>12</v>
      </c>
      <c r="D6898" s="484"/>
      <c r="E6898" s="652" t="s">
        <v>466</v>
      </c>
      <c r="F6898" s="653"/>
      <c r="G6898" s="10" t="s">
        <v>8</v>
      </c>
      <c r="H6898" s="252" t="s">
        <v>465</v>
      </c>
    </row>
    <row r="6899" spans="1:9" ht="15.6" x14ac:dyDescent="0.3">
      <c r="A6899" s="253" t="s">
        <v>460</v>
      </c>
      <c r="B6899" s="254"/>
      <c r="C6899" s="481" t="s">
        <v>15</v>
      </c>
      <c r="D6899" s="481"/>
      <c r="E6899" s="489" t="s">
        <v>461</v>
      </c>
      <c r="F6899" s="490"/>
      <c r="G6899" s="490"/>
      <c r="H6899" s="491"/>
    </row>
    <row r="6900" spans="1:9" ht="15.6" x14ac:dyDescent="0.3">
      <c r="A6900" s="255" t="s">
        <v>1260</v>
      </c>
      <c r="B6900" s="256"/>
      <c r="C6900" s="489"/>
      <c r="D6900" s="490"/>
      <c r="E6900" s="490"/>
      <c r="F6900" s="490"/>
      <c r="G6900" s="490"/>
      <c r="H6900" s="491"/>
    </row>
    <row r="6901" spans="1:9" ht="15" x14ac:dyDescent="0.3">
      <c r="A6901" s="492" t="s">
        <v>17</v>
      </c>
      <c r="B6901" s="494" t="s">
        <v>18</v>
      </c>
      <c r="C6901" s="494" t="s">
        <v>19</v>
      </c>
      <c r="D6901" s="495" t="s">
        <v>20</v>
      </c>
      <c r="E6901" s="494" t="s">
        <v>21</v>
      </c>
      <c r="F6901" s="494" t="s">
        <v>22</v>
      </c>
      <c r="G6901" s="494"/>
      <c r="H6901" s="492" t="s">
        <v>23</v>
      </c>
    </row>
    <row r="6902" spans="1:9" ht="27.6" x14ac:dyDescent="0.3">
      <c r="A6902" s="492"/>
      <c r="B6902" s="494"/>
      <c r="C6902" s="494"/>
      <c r="D6902" s="505"/>
      <c r="E6902" s="494"/>
      <c r="F6902" s="53" t="s">
        <v>24</v>
      </c>
      <c r="G6902" s="53" t="s">
        <v>25</v>
      </c>
      <c r="H6902" s="492"/>
    </row>
    <row r="6903" spans="1:9" ht="27.6" x14ac:dyDescent="0.3">
      <c r="A6903" s="55">
        <v>1</v>
      </c>
      <c r="B6903" s="257" t="s">
        <v>1258</v>
      </c>
      <c r="C6903" s="55">
        <v>2</v>
      </c>
      <c r="D6903" s="377">
        <v>85389000</v>
      </c>
      <c r="E6903" s="55">
        <v>8500</v>
      </c>
      <c r="F6903" s="55">
        <f t="shared" ref="F6903" si="182">E6903*C6903*9%</f>
        <v>1530</v>
      </c>
      <c r="G6903" s="55">
        <f t="shared" ref="G6903:G6905" si="183">F6903</f>
        <v>1530</v>
      </c>
      <c r="H6903" s="55">
        <f t="shared" ref="H6903" si="184">G6903+F6903+E6903*C6903</f>
        <v>20060</v>
      </c>
      <c r="I6903" s="362">
        <f t="shared" ref="I6903" si="185">E6903*C6903</f>
        <v>17000</v>
      </c>
    </row>
    <row r="6904" spans="1:9" x14ac:dyDescent="0.3">
      <c r="A6904" s="55">
        <v>2</v>
      </c>
      <c r="B6904" s="84" t="s">
        <v>1261</v>
      </c>
      <c r="C6904" s="55">
        <v>15</v>
      </c>
      <c r="D6904" s="361">
        <v>730820</v>
      </c>
      <c r="E6904" s="55">
        <v>270</v>
      </c>
      <c r="F6904" s="55">
        <f t="shared" ref="F6904:F6905" si="186">E6904*C6904*9%</f>
        <v>364.5</v>
      </c>
      <c r="G6904" s="55">
        <f t="shared" si="183"/>
        <v>364.5</v>
      </c>
      <c r="H6904" s="55">
        <f t="shared" ref="H6904:H6905" si="187">G6904+F6904+E6904*C6904</f>
        <v>4779</v>
      </c>
      <c r="I6904" s="362">
        <f t="shared" ref="I6904:I6905" si="188">E6904*C6904</f>
        <v>4050</v>
      </c>
    </row>
    <row r="6905" spans="1:9" x14ac:dyDescent="0.3">
      <c r="A6905" s="55">
        <v>3</v>
      </c>
      <c r="B6905" s="84" t="s">
        <v>1262</v>
      </c>
      <c r="C6905" s="55">
        <v>1</v>
      </c>
      <c r="D6905" s="361">
        <v>998719</v>
      </c>
      <c r="E6905" s="55">
        <v>500</v>
      </c>
      <c r="F6905" s="55">
        <f t="shared" si="186"/>
        <v>45</v>
      </c>
      <c r="G6905" s="55">
        <f t="shared" si="183"/>
        <v>45</v>
      </c>
      <c r="H6905" s="55">
        <f t="shared" si="187"/>
        <v>590</v>
      </c>
      <c r="I6905" s="362">
        <f t="shared" si="188"/>
        <v>500</v>
      </c>
    </row>
    <row r="6906" spans="1:9" x14ac:dyDescent="0.3">
      <c r="A6906" s="55"/>
      <c r="B6906" s="84"/>
      <c r="C6906" s="55"/>
      <c r="D6906" s="361"/>
      <c r="E6906" s="55"/>
      <c r="F6906" s="55"/>
      <c r="G6906" s="55"/>
      <c r="H6906" s="55"/>
    </row>
    <row r="6907" spans="1:9" x14ac:dyDescent="0.3">
      <c r="A6907" s="55"/>
      <c r="B6907" s="84"/>
      <c r="C6907" s="55"/>
      <c r="D6907" s="361"/>
      <c r="E6907" s="55"/>
      <c r="F6907" s="55"/>
      <c r="G6907" s="55"/>
      <c r="H6907" s="55"/>
    </row>
    <row r="6908" spans="1:9" x14ac:dyDescent="0.3">
      <c r="A6908" s="55"/>
      <c r="B6908" s="84"/>
      <c r="C6908" s="55"/>
      <c r="D6908" s="361"/>
      <c r="E6908" s="55"/>
      <c r="F6908" s="55"/>
      <c r="G6908" s="55"/>
      <c r="H6908" s="55"/>
    </row>
    <row r="6909" spans="1:9" x14ac:dyDescent="0.3">
      <c r="A6909" s="55"/>
      <c r="B6909" s="257"/>
      <c r="C6909" s="55"/>
      <c r="D6909" s="55"/>
      <c r="E6909" s="55"/>
      <c r="F6909" s="55"/>
      <c r="G6909" s="55"/>
      <c r="H6909" s="55"/>
    </row>
    <row r="6910" spans="1:9" x14ac:dyDescent="0.3">
      <c r="A6910" s="55"/>
      <c r="B6910" s="257"/>
      <c r="C6910" s="20"/>
      <c r="D6910" s="86"/>
      <c r="E6910" s="55"/>
      <c r="F6910" s="55"/>
      <c r="G6910" s="55"/>
      <c r="H6910" s="55"/>
    </row>
    <row r="6911" spans="1:9" x14ac:dyDescent="0.3">
      <c r="A6911" s="55"/>
      <c r="B6911" s="257"/>
      <c r="C6911" s="20"/>
      <c r="D6911" s="86"/>
      <c r="E6911" s="55"/>
      <c r="F6911" s="55"/>
      <c r="G6911" s="55"/>
      <c r="H6911" s="55"/>
    </row>
    <row r="6912" spans="1:9" x14ac:dyDescent="0.3">
      <c r="A6912" s="55"/>
      <c r="B6912" s="257"/>
      <c r="C6912" s="20"/>
      <c r="D6912" s="86"/>
      <c r="E6912" s="55"/>
      <c r="F6912" s="55"/>
      <c r="G6912" s="55"/>
      <c r="H6912" s="55"/>
    </row>
    <row r="6913" spans="1:8" x14ac:dyDescent="0.3">
      <c r="A6913" s="55"/>
      <c r="B6913" s="257"/>
      <c r="C6913" s="20"/>
      <c r="D6913" s="86"/>
      <c r="E6913" s="55"/>
      <c r="F6913" s="55"/>
      <c r="G6913" s="55"/>
      <c r="H6913" s="55"/>
    </row>
    <row r="6914" spans="1:8" x14ac:dyDescent="0.3">
      <c r="A6914" s="55"/>
      <c r="B6914" s="257"/>
      <c r="C6914" s="20"/>
      <c r="D6914" s="86"/>
      <c r="E6914" s="55"/>
      <c r="F6914" s="55"/>
      <c r="G6914" s="55"/>
      <c r="H6914" s="55"/>
    </row>
    <row r="6915" spans="1:8" x14ac:dyDescent="0.3">
      <c r="A6915" s="55"/>
      <c r="B6915" s="257"/>
      <c r="C6915" s="20"/>
      <c r="D6915" s="86"/>
      <c r="E6915" s="55"/>
      <c r="F6915" s="55"/>
      <c r="G6915" s="55"/>
      <c r="H6915" s="55"/>
    </row>
    <row r="6916" spans="1:8" x14ac:dyDescent="0.3">
      <c r="A6916" s="55"/>
      <c r="B6916" s="257"/>
      <c r="C6916" s="20"/>
      <c r="D6916" s="86"/>
      <c r="E6916" s="55"/>
      <c r="F6916" s="55"/>
      <c r="G6916" s="55"/>
      <c r="H6916" s="55"/>
    </row>
    <row r="6917" spans="1:8" x14ac:dyDescent="0.3">
      <c r="A6917" s="364"/>
      <c r="H6917" s="365"/>
    </row>
    <row r="6918" spans="1:8" x14ac:dyDescent="0.3">
      <c r="A6918" s="366"/>
      <c r="B6918" s="363"/>
      <c r="C6918" s="362"/>
      <c r="D6918" s="89"/>
      <c r="E6918" s="24"/>
      <c r="F6918" s="189"/>
      <c r="G6918" s="189"/>
      <c r="H6918" s="367"/>
    </row>
    <row r="6919" spans="1:8" x14ac:dyDescent="0.3">
      <c r="A6919" s="27"/>
      <c r="B6919" s="88"/>
      <c r="C6919" s="24"/>
      <c r="D6919" s="24"/>
      <c r="E6919" s="24"/>
      <c r="F6919" s="24"/>
      <c r="G6919" s="24"/>
      <c r="H6919" s="281"/>
    </row>
    <row r="6920" spans="1:8" x14ac:dyDescent="0.3">
      <c r="A6920" s="364"/>
      <c r="H6920" s="365"/>
    </row>
    <row r="6921" spans="1:8" x14ac:dyDescent="0.3">
      <c r="A6921" s="27"/>
      <c r="B6921" s="363"/>
      <c r="C6921" s="24"/>
      <c r="D6921" s="24"/>
      <c r="E6921" s="24"/>
      <c r="F6921" s="24"/>
      <c r="G6921" s="24"/>
      <c r="H6921" s="281"/>
    </row>
    <row r="6922" spans="1:8" x14ac:dyDescent="0.3">
      <c r="A6922" s="173"/>
      <c r="B6922" s="88"/>
      <c r="C6922" s="206"/>
      <c r="D6922" s="89"/>
      <c r="E6922" s="207"/>
      <c r="F6922" s="25"/>
      <c r="G6922" s="25"/>
      <c r="H6922" s="32"/>
    </row>
    <row r="6923" spans="1:8" x14ac:dyDescent="0.3">
      <c r="A6923" s="173"/>
      <c r="B6923" s="88"/>
      <c r="C6923" s="206"/>
      <c r="D6923" s="89"/>
      <c r="E6923" s="25"/>
      <c r="F6923" s="25"/>
      <c r="G6923" s="25"/>
      <c r="H6923" s="32"/>
    </row>
    <row r="6924" spans="1:8" x14ac:dyDescent="0.3">
      <c r="A6924" s="27"/>
      <c r="B6924" s="88"/>
      <c r="C6924" s="24"/>
      <c r="D6924" s="89"/>
      <c r="E6924" s="25"/>
      <c r="F6924" s="25"/>
      <c r="G6924" s="25"/>
      <c r="H6924" s="32"/>
    </row>
    <row r="6925" spans="1:8" x14ac:dyDescent="0.3">
      <c r="A6925" s="27"/>
      <c r="B6925" s="28"/>
      <c r="C6925" s="24"/>
      <c r="D6925" s="25"/>
      <c r="E6925" s="25"/>
      <c r="F6925" s="28"/>
      <c r="G6925" s="28"/>
      <c r="H6925" s="32"/>
    </row>
    <row r="6926" spans="1:8" ht="15.6" x14ac:dyDescent="0.3">
      <c r="A6926" s="448" t="s">
        <v>45</v>
      </c>
      <c r="B6926" s="449"/>
      <c r="C6926" s="24"/>
      <c r="D6926" s="25"/>
      <c r="E6926" s="25"/>
      <c r="F6926" s="447" t="s">
        <v>46</v>
      </c>
      <c r="G6926" s="447"/>
      <c r="H6926" s="66">
        <v>21550</v>
      </c>
    </row>
    <row r="6927" spans="1:8" ht="15.6" x14ac:dyDescent="0.3">
      <c r="A6927" s="497" t="s">
        <v>1287</v>
      </c>
      <c r="B6927" s="498"/>
      <c r="C6927" s="498"/>
      <c r="D6927" s="498"/>
      <c r="E6927" s="498"/>
      <c r="F6927" s="447" t="s">
        <v>47</v>
      </c>
      <c r="G6927" s="447"/>
      <c r="H6927" s="66">
        <f>H6926*9%</f>
        <v>1939.5</v>
      </c>
    </row>
    <row r="6928" spans="1:8" ht="15.6" x14ac:dyDescent="0.3">
      <c r="A6928" s="27"/>
      <c r="B6928" s="28"/>
      <c r="C6928" s="24"/>
      <c r="D6928" s="25"/>
      <c r="E6928" s="25"/>
      <c r="F6928" s="447" t="s">
        <v>48</v>
      </c>
      <c r="G6928" s="447"/>
      <c r="H6928" s="66">
        <f>H6927</f>
        <v>1939.5</v>
      </c>
    </row>
    <row r="6929" spans="1:8" ht="15.6" x14ac:dyDescent="0.3">
      <c r="A6929" s="64" t="s">
        <v>49</v>
      </c>
      <c r="B6929" s="65"/>
      <c r="C6929" s="24"/>
      <c r="D6929" s="25"/>
      <c r="E6929" s="25"/>
      <c r="F6929" s="447" t="s">
        <v>50</v>
      </c>
      <c r="G6929" s="447"/>
      <c r="H6929" s="66">
        <f>H6926+H6927+H6928</f>
        <v>25429</v>
      </c>
    </row>
    <row r="6930" spans="1:8" ht="27" x14ac:dyDescent="0.3">
      <c r="A6930" s="68" t="s">
        <v>22</v>
      </c>
      <c r="B6930" s="30" t="s">
        <v>51</v>
      </c>
      <c r="C6930" s="70" t="s">
        <v>24</v>
      </c>
      <c r="D6930" s="31" t="s">
        <v>25</v>
      </c>
      <c r="E6930" s="450" t="s">
        <v>52</v>
      </c>
      <c r="F6930" s="450"/>
      <c r="G6930" s="28"/>
      <c r="H6930" s="32"/>
    </row>
    <row r="6931" spans="1:8" x14ac:dyDescent="0.3">
      <c r="A6931" s="72">
        <v>0.18</v>
      </c>
      <c r="B6931" s="73">
        <f>H6926</f>
        <v>21550</v>
      </c>
      <c r="C6931" s="91">
        <f>H6927</f>
        <v>1939.5</v>
      </c>
      <c r="D6931" s="91">
        <f>H6927</f>
        <v>1939.5</v>
      </c>
      <c r="E6931" s="506">
        <f>C6931+D6931</f>
        <v>3879</v>
      </c>
      <c r="F6931" s="507"/>
      <c r="G6931" s="74"/>
      <c r="H6931" s="75"/>
    </row>
    <row r="6932" spans="1:8" x14ac:dyDescent="0.3">
      <c r="A6932" s="508" t="s">
        <v>1288</v>
      </c>
      <c r="B6932" s="509"/>
      <c r="C6932" s="509"/>
      <c r="D6932" s="509"/>
      <c r="E6932" s="453"/>
      <c r="F6932" s="453"/>
      <c r="G6932" s="453"/>
      <c r="H6932" s="454"/>
    </row>
    <row r="6933" spans="1:8" ht="15.6" x14ac:dyDescent="0.3">
      <c r="A6933" s="455" t="s">
        <v>53</v>
      </c>
      <c r="B6933" s="456"/>
      <c r="C6933" s="456"/>
      <c r="D6933" s="457"/>
      <c r="E6933" s="458" t="s">
        <v>54</v>
      </c>
      <c r="F6933" s="459"/>
      <c r="G6933" s="459"/>
      <c r="H6933" s="460"/>
    </row>
    <row r="6934" spans="1:8" x14ac:dyDescent="0.3">
      <c r="A6934" s="461" t="s">
        <v>55</v>
      </c>
      <c r="B6934" s="462"/>
      <c r="C6934" s="462"/>
      <c r="D6934" s="463"/>
      <c r="E6934" s="39"/>
      <c r="F6934" s="28"/>
      <c r="G6934" s="28"/>
      <c r="H6934" s="32"/>
    </row>
    <row r="6935" spans="1:8" x14ac:dyDescent="0.3">
      <c r="A6935" s="461" t="s">
        <v>56</v>
      </c>
      <c r="B6935" s="462"/>
      <c r="C6935" s="462"/>
      <c r="D6935" s="463"/>
      <c r="E6935" s="39"/>
      <c r="F6935" s="28"/>
      <c r="G6935" s="28"/>
      <c r="H6935" s="32"/>
    </row>
    <row r="6936" spans="1:8" x14ac:dyDescent="0.3">
      <c r="A6936" s="461" t="s">
        <v>57</v>
      </c>
      <c r="B6936" s="462"/>
      <c r="C6936" s="462"/>
      <c r="D6936" s="463"/>
      <c r="E6936" s="39"/>
      <c r="F6936" s="28"/>
      <c r="G6936" s="28"/>
      <c r="H6936" s="32"/>
    </row>
    <row r="6937" spans="1:8" ht="15.6" x14ac:dyDescent="0.3">
      <c r="A6937" s="464" t="s">
        <v>58</v>
      </c>
      <c r="B6937" s="465"/>
      <c r="C6937" s="465"/>
      <c r="D6937" s="465"/>
      <c r="E6937" s="466" t="s">
        <v>59</v>
      </c>
      <c r="F6937" s="467"/>
      <c r="G6937" s="467"/>
      <c r="H6937" s="468"/>
    </row>
    <row r="6940" spans="1:8" ht="44.4" x14ac:dyDescent="0.7">
      <c r="A6940" s="469" t="s">
        <v>0</v>
      </c>
      <c r="B6940" s="470"/>
      <c r="C6940" s="470"/>
      <c r="D6940" s="470"/>
      <c r="E6940" s="531" t="s">
        <v>1</v>
      </c>
      <c r="F6940" s="544"/>
      <c r="G6940" s="544"/>
      <c r="H6940" s="545"/>
    </row>
    <row r="6941" spans="1:8" ht="20.399999999999999" x14ac:dyDescent="0.35">
      <c r="A6941" s="1"/>
      <c r="B6941" s="476" t="s">
        <v>2</v>
      </c>
      <c r="C6941" s="476"/>
      <c r="D6941" s="476"/>
      <c r="E6941" s="546"/>
      <c r="F6941" s="546"/>
      <c r="G6941" s="546"/>
      <c r="H6941" s="547"/>
    </row>
    <row r="6942" spans="1:8" x14ac:dyDescent="0.3">
      <c r="A6942" s="477" t="s">
        <v>3</v>
      </c>
      <c r="B6942" s="478"/>
      <c r="C6942" s="479" t="s">
        <v>4</v>
      </c>
      <c r="D6942" s="479"/>
      <c r="E6942" s="480" t="s">
        <v>5</v>
      </c>
      <c r="F6942" s="480"/>
      <c r="G6942" s="480"/>
      <c r="H6942" s="480"/>
    </row>
    <row r="6943" spans="1:8" ht="15.6" x14ac:dyDescent="0.3">
      <c r="A6943" s="4" t="s">
        <v>6</v>
      </c>
      <c r="B6943" s="5"/>
      <c r="C6943" s="481" t="s">
        <v>7</v>
      </c>
      <c r="D6943" s="481"/>
      <c r="E6943" s="482">
        <v>151</v>
      </c>
      <c r="F6943" s="482"/>
      <c r="G6943" s="7" t="s">
        <v>8</v>
      </c>
      <c r="H6943" s="354" t="s">
        <v>1219</v>
      </c>
    </row>
    <row r="6944" spans="1:8" ht="15.6" x14ac:dyDescent="0.3">
      <c r="A6944" s="551" t="s">
        <v>458</v>
      </c>
      <c r="B6944" s="552"/>
      <c r="C6944" s="481" t="s">
        <v>10</v>
      </c>
      <c r="D6944" s="481"/>
      <c r="E6944" s="482" t="s">
        <v>1271</v>
      </c>
      <c r="F6944" s="482"/>
      <c r="G6944" s="7" t="s">
        <v>8</v>
      </c>
      <c r="H6944" s="354">
        <v>45848</v>
      </c>
    </row>
    <row r="6945" spans="1:8" ht="27" customHeight="1" x14ac:dyDescent="0.3">
      <c r="A6945" s="560" t="s">
        <v>459</v>
      </c>
      <c r="B6945" s="561"/>
      <c r="C6945" s="483" t="s">
        <v>12</v>
      </c>
      <c r="D6945" s="484"/>
      <c r="E6945" s="652" t="s">
        <v>466</v>
      </c>
      <c r="F6945" s="653"/>
      <c r="G6945" s="10" t="s">
        <v>8</v>
      </c>
      <c r="H6945" s="252" t="s">
        <v>465</v>
      </c>
    </row>
    <row r="6946" spans="1:8" ht="15.6" x14ac:dyDescent="0.3">
      <c r="A6946" s="253" t="s">
        <v>460</v>
      </c>
      <c r="B6946" s="254"/>
      <c r="C6946" s="481" t="s">
        <v>15</v>
      </c>
      <c r="D6946" s="481"/>
      <c r="E6946" s="489" t="s">
        <v>461</v>
      </c>
      <c r="F6946" s="490"/>
      <c r="G6946" s="490"/>
      <c r="H6946" s="491"/>
    </row>
    <row r="6947" spans="1:8" ht="15.6" x14ac:dyDescent="0.3">
      <c r="A6947" s="255" t="s">
        <v>1270</v>
      </c>
      <c r="B6947" s="256"/>
      <c r="C6947" s="489"/>
      <c r="D6947" s="490"/>
      <c r="E6947" s="490"/>
      <c r="F6947" s="490"/>
      <c r="G6947" s="490"/>
      <c r="H6947" s="491"/>
    </row>
    <row r="6948" spans="1:8" ht="15" x14ac:dyDescent="0.3">
      <c r="A6948" s="492" t="s">
        <v>17</v>
      </c>
      <c r="B6948" s="494" t="s">
        <v>18</v>
      </c>
      <c r="C6948" s="494" t="s">
        <v>19</v>
      </c>
      <c r="D6948" s="495" t="s">
        <v>20</v>
      </c>
      <c r="E6948" s="494" t="s">
        <v>21</v>
      </c>
      <c r="F6948" s="494" t="s">
        <v>22</v>
      </c>
      <c r="G6948" s="494"/>
      <c r="H6948" s="492" t="s">
        <v>23</v>
      </c>
    </row>
    <row r="6949" spans="1:8" ht="27.6" x14ac:dyDescent="0.3">
      <c r="A6949" s="492"/>
      <c r="B6949" s="494"/>
      <c r="C6949" s="494"/>
      <c r="D6949" s="505"/>
      <c r="E6949" s="494"/>
      <c r="F6949" s="53" t="s">
        <v>24</v>
      </c>
      <c r="G6949" s="53" t="s">
        <v>25</v>
      </c>
      <c r="H6949" s="492"/>
    </row>
    <row r="6950" spans="1:8" x14ac:dyDescent="0.3">
      <c r="A6950" s="55">
        <v>1</v>
      </c>
      <c r="B6950" s="257" t="s">
        <v>1296</v>
      </c>
      <c r="C6950" s="55">
        <v>1</v>
      </c>
      <c r="D6950" s="356">
        <v>85446020</v>
      </c>
      <c r="E6950" s="55">
        <v>1600</v>
      </c>
      <c r="F6950" s="55">
        <f t="shared" ref="F6950" si="189">E6950*C6950*9%</f>
        <v>144</v>
      </c>
      <c r="G6950" s="55">
        <f t="shared" ref="G6950" si="190">F6950</f>
        <v>144</v>
      </c>
      <c r="H6950" s="55">
        <f>G6950+F6950+E6950*C6950</f>
        <v>1888</v>
      </c>
    </row>
    <row r="6951" spans="1:8" x14ac:dyDescent="0.3">
      <c r="A6951" s="55"/>
      <c r="B6951" s="84"/>
      <c r="C6951" s="55"/>
      <c r="D6951" s="361"/>
      <c r="E6951" s="55"/>
      <c r="F6951" s="55"/>
      <c r="G6951" s="55"/>
      <c r="H6951" s="55"/>
    </row>
    <row r="6952" spans="1:8" x14ac:dyDescent="0.3">
      <c r="A6952" s="55"/>
      <c r="B6952" s="84"/>
      <c r="C6952" s="55"/>
      <c r="D6952" s="361"/>
      <c r="E6952" s="55"/>
      <c r="F6952" s="55"/>
      <c r="G6952" s="55"/>
      <c r="H6952" s="55"/>
    </row>
    <row r="6953" spans="1:8" x14ac:dyDescent="0.3">
      <c r="A6953" s="55"/>
      <c r="B6953" s="84"/>
      <c r="C6953" s="55"/>
      <c r="D6953" s="163"/>
      <c r="E6953" s="55"/>
      <c r="F6953" s="55"/>
      <c r="G6953" s="55"/>
      <c r="H6953" s="55"/>
    </row>
    <row r="6954" spans="1:8" x14ac:dyDescent="0.3">
      <c r="A6954" s="55"/>
      <c r="B6954" s="84"/>
      <c r="C6954" s="55"/>
      <c r="D6954" s="163"/>
      <c r="E6954" s="55"/>
      <c r="F6954" s="55"/>
      <c r="G6954" s="55"/>
      <c r="H6954" s="55"/>
    </row>
    <row r="6955" spans="1:8" x14ac:dyDescent="0.3">
      <c r="A6955" s="55"/>
      <c r="B6955" s="84"/>
      <c r="C6955" s="55"/>
      <c r="D6955" s="163"/>
      <c r="E6955" s="55"/>
      <c r="F6955" s="55"/>
      <c r="G6955" s="55"/>
      <c r="H6955" s="55"/>
    </row>
    <row r="6956" spans="1:8" x14ac:dyDescent="0.3">
      <c r="A6956" s="55"/>
      <c r="B6956" s="257"/>
      <c r="C6956" s="55"/>
      <c r="D6956" s="55"/>
      <c r="E6956" s="55"/>
      <c r="F6956" s="55"/>
      <c r="G6956" s="55"/>
      <c r="H6956" s="55"/>
    </row>
    <row r="6957" spans="1:8" x14ac:dyDescent="0.3">
      <c r="A6957" s="55"/>
      <c r="B6957" s="257"/>
      <c r="C6957" s="20"/>
      <c r="D6957" s="86"/>
      <c r="E6957" s="55"/>
      <c r="F6957" s="55"/>
      <c r="G6957" s="55"/>
      <c r="H6957" s="55"/>
    </row>
    <row r="6958" spans="1:8" x14ac:dyDescent="0.3">
      <c r="A6958" s="55"/>
      <c r="B6958" s="257"/>
      <c r="C6958" s="20"/>
      <c r="D6958" s="86"/>
      <c r="E6958" s="55"/>
      <c r="F6958" s="55"/>
      <c r="G6958" s="55"/>
      <c r="H6958" s="55"/>
    </row>
    <row r="6959" spans="1:8" x14ac:dyDescent="0.3">
      <c r="A6959" s="55"/>
      <c r="B6959" s="257"/>
      <c r="C6959" s="20"/>
      <c r="D6959" s="86"/>
      <c r="E6959" s="55"/>
      <c r="F6959" s="55"/>
      <c r="G6959" s="55"/>
      <c r="H6959" s="55"/>
    </row>
    <row r="6960" spans="1:8" x14ac:dyDescent="0.3">
      <c r="A6960" s="55"/>
      <c r="B6960" s="257"/>
      <c r="C6960" s="20"/>
      <c r="D6960" s="86"/>
      <c r="E6960" s="55"/>
      <c r="F6960" s="55"/>
      <c r="G6960" s="55"/>
      <c r="H6960" s="55"/>
    </row>
    <row r="6961" spans="1:8" x14ac:dyDescent="0.3">
      <c r="A6961" s="55"/>
      <c r="B6961" s="257"/>
      <c r="C6961" s="20"/>
      <c r="D6961" s="86"/>
      <c r="E6961" s="55"/>
      <c r="F6961" s="55"/>
      <c r="G6961" s="55"/>
      <c r="H6961" s="55"/>
    </row>
    <row r="6962" spans="1:8" x14ac:dyDescent="0.3">
      <c r="A6962" s="364"/>
      <c r="H6962" s="365"/>
    </row>
    <row r="6963" spans="1:8" x14ac:dyDescent="0.3">
      <c r="A6963" s="366"/>
      <c r="B6963" s="363"/>
      <c r="C6963" s="362"/>
      <c r="D6963" s="89"/>
      <c r="E6963" s="24"/>
      <c r="F6963" s="189"/>
      <c r="G6963" s="189"/>
      <c r="H6963" s="367"/>
    </row>
    <row r="6964" spans="1:8" x14ac:dyDescent="0.3">
      <c r="A6964" s="27"/>
      <c r="B6964" s="88"/>
      <c r="C6964" s="24"/>
      <c r="D6964" s="24"/>
      <c r="E6964" s="24"/>
      <c r="F6964" s="24"/>
      <c r="G6964" s="24"/>
      <c r="H6964" s="281"/>
    </row>
    <row r="6965" spans="1:8" x14ac:dyDescent="0.3">
      <c r="A6965" s="364"/>
      <c r="H6965" s="365"/>
    </row>
    <row r="6966" spans="1:8" x14ac:dyDescent="0.3">
      <c r="A6966" s="27"/>
      <c r="B6966" s="363"/>
      <c r="C6966" s="24"/>
      <c r="D6966" s="24"/>
      <c r="E6966" s="24"/>
      <c r="F6966" s="24"/>
      <c r="G6966" s="24"/>
      <c r="H6966" s="281"/>
    </row>
    <row r="6967" spans="1:8" x14ac:dyDescent="0.3">
      <c r="A6967" s="173"/>
      <c r="B6967" s="88"/>
      <c r="C6967" s="206"/>
      <c r="D6967" s="89"/>
      <c r="E6967" s="207"/>
      <c r="F6967" s="25"/>
      <c r="G6967" s="25"/>
      <c r="H6967" s="32"/>
    </row>
    <row r="6968" spans="1:8" x14ac:dyDescent="0.3">
      <c r="A6968" s="173"/>
      <c r="B6968" s="88"/>
      <c r="C6968" s="206"/>
      <c r="D6968" s="89"/>
      <c r="E6968" s="25"/>
      <c r="F6968" s="25"/>
      <c r="G6968" s="25"/>
      <c r="H6968" s="32"/>
    </row>
    <row r="6969" spans="1:8" x14ac:dyDescent="0.3">
      <c r="A6969" s="27"/>
      <c r="B6969" s="88"/>
      <c r="C6969" s="24"/>
      <c r="D6969" s="89"/>
      <c r="E6969" s="25"/>
      <c r="F6969" s="25"/>
      <c r="G6969" s="25"/>
      <c r="H6969" s="32"/>
    </row>
    <row r="6970" spans="1:8" x14ac:dyDescent="0.3">
      <c r="A6970" s="27"/>
      <c r="B6970" s="28"/>
      <c r="C6970" s="24"/>
      <c r="D6970" s="25"/>
      <c r="E6970" s="25"/>
      <c r="F6970" s="28"/>
      <c r="G6970" s="28"/>
      <c r="H6970" s="32"/>
    </row>
    <row r="6971" spans="1:8" ht="15.6" x14ac:dyDescent="0.3">
      <c r="A6971" s="448" t="s">
        <v>45</v>
      </c>
      <c r="B6971" s="449"/>
      <c r="C6971" s="24"/>
      <c r="D6971" s="25"/>
      <c r="E6971" s="25"/>
      <c r="F6971" s="447" t="s">
        <v>46</v>
      </c>
      <c r="G6971" s="447"/>
      <c r="H6971" s="66">
        <v>1600</v>
      </c>
    </row>
    <row r="6972" spans="1:8" ht="15.6" x14ac:dyDescent="0.3">
      <c r="A6972" s="497" t="s">
        <v>1297</v>
      </c>
      <c r="B6972" s="498"/>
      <c r="C6972" s="498"/>
      <c r="D6972" s="498"/>
      <c r="E6972" s="498"/>
      <c r="F6972" s="447" t="s">
        <v>47</v>
      </c>
      <c r="G6972" s="447"/>
      <c r="H6972" s="66">
        <f>H6971*9%</f>
        <v>144</v>
      </c>
    </row>
    <row r="6973" spans="1:8" ht="15.6" x14ac:dyDescent="0.3">
      <c r="A6973" s="27"/>
      <c r="B6973" s="28"/>
      <c r="C6973" s="24"/>
      <c r="D6973" s="25"/>
      <c r="E6973" s="25"/>
      <c r="F6973" s="447" t="s">
        <v>48</v>
      </c>
      <c r="G6973" s="447"/>
      <c r="H6973" s="66">
        <f>H6972</f>
        <v>144</v>
      </c>
    </row>
    <row r="6974" spans="1:8" ht="15.6" x14ac:dyDescent="0.3">
      <c r="A6974" s="64" t="s">
        <v>49</v>
      </c>
      <c r="B6974" s="65"/>
      <c r="C6974" s="24"/>
      <c r="D6974" s="25"/>
      <c r="E6974" s="25"/>
      <c r="F6974" s="447" t="s">
        <v>50</v>
      </c>
      <c r="G6974" s="447"/>
      <c r="H6974" s="66">
        <v>1888</v>
      </c>
    </row>
    <row r="6975" spans="1:8" ht="27" x14ac:dyDescent="0.3">
      <c r="A6975" s="68" t="s">
        <v>22</v>
      </c>
      <c r="B6975" s="30" t="s">
        <v>51</v>
      </c>
      <c r="C6975" s="70" t="s">
        <v>24</v>
      </c>
      <c r="D6975" s="31" t="s">
        <v>25</v>
      </c>
      <c r="E6975" s="450" t="s">
        <v>52</v>
      </c>
      <c r="F6975" s="450"/>
      <c r="G6975" s="28"/>
      <c r="H6975" s="32"/>
    </row>
    <row r="6976" spans="1:8" x14ac:dyDescent="0.3">
      <c r="A6976" s="72">
        <v>0.18</v>
      </c>
      <c r="B6976" s="73">
        <f>H6971</f>
        <v>1600</v>
      </c>
      <c r="C6976" s="91">
        <f>H6972</f>
        <v>144</v>
      </c>
      <c r="D6976" s="91">
        <f>H6972</f>
        <v>144</v>
      </c>
      <c r="E6976" s="506">
        <f>C6976+D6976</f>
        <v>288</v>
      </c>
      <c r="F6976" s="507"/>
      <c r="G6976" s="74"/>
      <c r="H6976" s="75"/>
    </row>
    <row r="6977" spans="1:8" x14ac:dyDescent="0.3">
      <c r="A6977" s="508" t="s">
        <v>1298</v>
      </c>
      <c r="B6977" s="509"/>
      <c r="C6977" s="509"/>
      <c r="D6977" s="509"/>
      <c r="E6977" s="453"/>
      <c r="F6977" s="453"/>
      <c r="G6977" s="453"/>
      <c r="H6977" s="454"/>
    </row>
    <row r="6978" spans="1:8" ht="15.6" x14ac:dyDescent="0.3">
      <c r="A6978" s="455" t="s">
        <v>53</v>
      </c>
      <c r="B6978" s="456"/>
      <c r="C6978" s="456"/>
      <c r="D6978" s="457"/>
      <c r="E6978" s="458" t="s">
        <v>54</v>
      </c>
      <c r="F6978" s="459"/>
      <c r="G6978" s="459"/>
      <c r="H6978" s="460"/>
    </row>
    <row r="6979" spans="1:8" x14ac:dyDescent="0.3">
      <c r="A6979" s="461" t="s">
        <v>55</v>
      </c>
      <c r="B6979" s="462"/>
      <c r="C6979" s="462"/>
      <c r="D6979" s="463"/>
      <c r="E6979" s="39"/>
      <c r="F6979" s="28"/>
      <c r="G6979" s="28"/>
      <c r="H6979" s="32"/>
    </row>
    <row r="6980" spans="1:8" x14ac:dyDescent="0.3">
      <c r="A6980" s="461" t="s">
        <v>56</v>
      </c>
      <c r="B6980" s="462"/>
      <c r="C6980" s="462"/>
      <c r="D6980" s="463"/>
      <c r="E6980" s="39"/>
      <c r="F6980" s="28"/>
      <c r="G6980" s="28"/>
      <c r="H6980" s="32"/>
    </row>
    <row r="6981" spans="1:8" x14ac:dyDescent="0.3">
      <c r="A6981" s="461" t="s">
        <v>57</v>
      </c>
      <c r="B6981" s="462"/>
      <c r="C6981" s="462"/>
      <c r="D6981" s="463"/>
      <c r="E6981" s="39"/>
      <c r="F6981" s="28"/>
      <c r="G6981" s="28"/>
      <c r="H6981" s="32"/>
    </row>
    <row r="6982" spans="1:8" ht="15.6" x14ac:dyDescent="0.3">
      <c r="A6982" s="464" t="s">
        <v>58</v>
      </c>
      <c r="B6982" s="465"/>
      <c r="C6982" s="465"/>
      <c r="D6982" s="465"/>
      <c r="E6982" s="466" t="s">
        <v>59</v>
      </c>
      <c r="F6982" s="467"/>
      <c r="G6982" s="467"/>
      <c r="H6982" s="468"/>
    </row>
    <row r="6985" spans="1:8" ht="44.4" x14ac:dyDescent="0.7">
      <c r="A6985" s="469" t="s">
        <v>0</v>
      </c>
      <c r="B6985" s="470"/>
      <c r="C6985" s="470"/>
      <c r="D6985" s="470"/>
      <c r="E6985" s="531" t="s">
        <v>1</v>
      </c>
      <c r="F6985" s="544"/>
      <c r="G6985" s="544"/>
      <c r="H6985" s="545"/>
    </row>
    <row r="6986" spans="1:8" ht="20.399999999999999" x14ac:dyDescent="0.35">
      <c r="A6986" s="1"/>
      <c r="B6986" s="476" t="s">
        <v>2</v>
      </c>
      <c r="C6986" s="476"/>
      <c r="D6986" s="476"/>
      <c r="E6986" s="546"/>
      <c r="F6986" s="546"/>
      <c r="G6986" s="546"/>
      <c r="H6986" s="547"/>
    </row>
    <row r="6987" spans="1:8" x14ac:dyDescent="0.3">
      <c r="A6987" s="477" t="s">
        <v>3</v>
      </c>
      <c r="B6987" s="478"/>
      <c r="C6987" s="479" t="s">
        <v>4</v>
      </c>
      <c r="D6987" s="479"/>
      <c r="E6987" s="480" t="s">
        <v>5</v>
      </c>
      <c r="F6987" s="480"/>
      <c r="G6987" s="480"/>
      <c r="H6987" s="480"/>
    </row>
    <row r="6988" spans="1:8" ht="15.6" x14ac:dyDescent="0.3">
      <c r="A6988" s="4" t="s">
        <v>6</v>
      </c>
      <c r="B6988" s="5"/>
      <c r="C6988" s="481" t="s">
        <v>7</v>
      </c>
      <c r="D6988" s="481"/>
      <c r="E6988" s="482">
        <v>152</v>
      </c>
      <c r="F6988" s="482"/>
      <c r="G6988" s="7" t="s">
        <v>8</v>
      </c>
      <c r="H6988" s="354" t="s">
        <v>1219</v>
      </c>
    </row>
    <row r="6989" spans="1:8" ht="15.6" x14ac:dyDescent="0.3">
      <c r="A6989" s="551" t="s">
        <v>1274</v>
      </c>
      <c r="B6989" s="552"/>
      <c r="C6989" s="481" t="s">
        <v>10</v>
      </c>
      <c r="D6989" s="481"/>
      <c r="E6989" s="482"/>
      <c r="F6989" s="482"/>
      <c r="G6989" s="7" t="s">
        <v>8</v>
      </c>
      <c r="H6989" s="354"/>
    </row>
    <row r="6990" spans="1:8" ht="15" x14ac:dyDescent="0.3">
      <c r="A6990" s="560" t="s">
        <v>1275</v>
      </c>
      <c r="B6990" s="561"/>
      <c r="C6990" s="483" t="s">
        <v>12</v>
      </c>
      <c r="D6990" s="484"/>
      <c r="E6990" s="564"/>
      <c r="F6990" s="593"/>
      <c r="G6990" s="10" t="s">
        <v>8</v>
      </c>
      <c r="H6990" s="252"/>
    </row>
    <row r="6991" spans="1:8" ht="15.6" x14ac:dyDescent="0.3">
      <c r="A6991" s="253" t="s">
        <v>1276</v>
      </c>
      <c r="B6991" s="254"/>
      <c r="C6991" s="481" t="s">
        <v>15</v>
      </c>
      <c r="D6991" s="481"/>
      <c r="E6991" s="489" t="s">
        <v>1273</v>
      </c>
      <c r="F6991" s="490"/>
      <c r="G6991" s="490"/>
      <c r="H6991" s="491"/>
    </row>
    <row r="6992" spans="1:8" ht="15.6" x14ac:dyDescent="0.3">
      <c r="A6992" s="255" t="s">
        <v>1277</v>
      </c>
      <c r="B6992" s="256"/>
      <c r="C6992" s="489"/>
      <c r="D6992" s="490"/>
      <c r="E6992" s="490"/>
      <c r="F6992" s="490"/>
      <c r="G6992" s="490"/>
      <c r="H6992" s="491"/>
    </row>
    <row r="6993" spans="1:9" ht="15" x14ac:dyDescent="0.3">
      <c r="A6993" s="492" t="s">
        <v>17</v>
      </c>
      <c r="B6993" s="494" t="s">
        <v>18</v>
      </c>
      <c r="C6993" s="494" t="s">
        <v>19</v>
      </c>
      <c r="D6993" s="495" t="s">
        <v>20</v>
      </c>
      <c r="E6993" s="494" t="s">
        <v>21</v>
      </c>
      <c r="F6993" s="494" t="s">
        <v>22</v>
      </c>
      <c r="G6993" s="494"/>
      <c r="H6993" s="492" t="s">
        <v>23</v>
      </c>
    </row>
    <row r="6994" spans="1:9" ht="27.6" x14ac:dyDescent="0.3">
      <c r="A6994" s="492"/>
      <c r="B6994" s="494"/>
      <c r="C6994" s="494"/>
      <c r="D6994" s="505"/>
      <c r="E6994" s="494"/>
      <c r="F6994" s="53" t="s">
        <v>24</v>
      </c>
      <c r="G6994" s="53" t="s">
        <v>25</v>
      </c>
      <c r="H6994" s="492"/>
    </row>
    <row r="6995" spans="1:9" s="99" customFormat="1" ht="27.6" x14ac:dyDescent="0.3">
      <c r="A6995" s="57">
        <v>1</v>
      </c>
      <c r="B6995" s="371" t="s">
        <v>1278</v>
      </c>
      <c r="C6995" s="57">
        <v>1</v>
      </c>
      <c r="D6995" s="372">
        <v>998719</v>
      </c>
      <c r="E6995" s="57">
        <v>3500</v>
      </c>
      <c r="F6995" s="57">
        <f>E6995*C6995*9%</f>
        <v>315</v>
      </c>
      <c r="G6995" s="57">
        <f>F6995</f>
        <v>315</v>
      </c>
      <c r="H6995" s="57">
        <f>G6995+F6995+E6995*C6995</f>
        <v>4130</v>
      </c>
      <c r="I6995" s="373">
        <f>E6995*C6995</f>
        <v>3500</v>
      </c>
    </row>
    <row r="6996" spans="1:9" s="99" customFormat="1" x14ac:dyDescent="0.3">
      <c r="A6996" s="57">
        <v>2</v>
      </c>
      <c r="B6996" s="374" t="s">
        <v>1279</v>
      </c>
      <c r="C6996" s="57">
        <v>14</v>
      </c>
      <c r="D6996" s="372">
        <v>998719</v>
      </c>
      <c r="E6996" s="57">
        <v>600</v>
      </c>
      <c r="F6996" s="57">
        <f>E6996*C6996*9%</f>
        <v>756</v>
      </c>
      <c r="G6996" s="57">
        <f>F6996</f>
        <v>756</v>
      </c>
      <c r="H6996" s="57">
        <f>G6996+F6996+E6996*C6996</f>
        <v>9912</v>
      </c>
      <c r="I6996" s="373">
        <f>E6996*C6996</f>
        <v>8400</v>
      </c>
    </row>
    <row r="6997" spans="1:9" x14ac:dyDescent="0.3">
      <c r="A6997" s="55"/>
      <c r="B6997" s="84"/>
      <c r="C6997" s="55"/>
      <c r="D6997" s="361"/>
      <c r="E6997" s="55"/>
      <c r="F6997" s="55"/>
      <c r="G6997" s="55"/>
      <c r="H6997" s="55"/>
    </row>
    <row r="6998" spans="1:9" x14ac:dyDescent="0.3">
      <c r="A6998" s="55"/>
      <c r="B6998" s="84"/>
      <c r="C6998" s="55"/>
      <c r="D6998" s="163"/>
      <c r="E6998" s="55"/>
      <c r="F6998" s="55"/>
      <c r="G6998" s="55"/>
      <c r="H6998" s="55"/>
    </row>
    <row r="6999" spans="1:9" x14ac:dyDescent="0.3">
      <c r="A6999" s="55"/>
      <c r="B6999" s="84"/>
      <c r="C6999" s="55"/>
      <c r="D6999" s="163"/>
      <c r="E6999" s="55"/>
      <c r="F6999" s="55"/>
      <c r="G6999" s="55"/>
      <c r="H6999" s="55"/>
    </row>
    <row r="7000" spans="1:9" x14ac:dyDescent="0.3">
      <c r="A7000" s="55"/>
      <c r="B7000" s="84"/>
      <c r="C7000" s="55"/>
      <c r="D7000" s="163"/>
      <c r="E7000" s="55"/>
      <c r="F7000" s="55"/>
      <c r="G7000" s="55"/>
      <c r="H7000" s="55"/>
    </row>
    <row r="7001" spans="1:9" x14ac:dyDescent="0.3">
      <c r="A7001" s="55"/>
      <c r="B7001" s="257"/>
      <c r="C7001" s="55"/>
      <c r="D7001" s="55"/>
      <c r="E7001" s="55"/>
      <c r="F7001" s="55"/>
      <c r="G7001" s="55"/>
      <c r="H7001" s="55"/>
    </row>
    <row r="7002" spans="1:9" x14ac:dyDescent="0.3">
      <c r="A7002" s="55"/>
      <c r="B7002" s="257"/>
      <c r="C7002" s="20"/>
      <c r="D7002" s="86"/>
      <c r="E7002" s="55"/>
      <c r="F7002" s="55"/>
      <c r="G7002" s="55"/>
      <c r="H7002" s="55"/>
    </row>
    <row r="7003" spans="1:9" x14ac:dyDescent="0.3">
      <c r="A7003" s="55"/>
      <c r="B7003" s="257"/>
      <c r="C7003" s="20"/>
      <c r="D7003" s="86"/>
      <c r="E7003" s="55"/>
      <c r="F7003" s="55"/>
      <c r="G7003" s="55"/>
      <c r="H7003" s="55"/>
    </row>
    <row r="7004" spans="1:9" x14ac:dyDescent="0.3">
      <c r="A7004" s="55"/>
      <c r="B7004" s="257"/>
      <c r="C7004" s="20"/>
      <c r="D7004" s="86"/>
      <c r="E7004" s="55"/>
      <c r="F7004" s="55"/>
      <c r="G7004" s="55"/>
      <c r="H7004" s="55"/>
    </row>
    <row r="7005" spans="1:9" x14ac:dyDescent="0.3">
      <c r="A7005" s="55"/>
      <c r="B7005" s="257"/>
      <c r="C7005" s="20"/>
      <c r="D7005" s="86"/>
      <c r="E7005" s="55"/>
      <c r="F7005" s="55"/>
      <c r="G7005" s="55"/>
      <c r="H7005" s="55"/>
    </row>
    <row r="7006" spans="1:9" x14ac:dyDescent="0.3">
      <c r="A7006" s="55"/>
      <c r="B7006" s="257"/>
      <c r="C7006" s="20"/>
      <c r="D7006" s="86"/>
      <c r="E7006" s="55"/>
      <c r="F7006" s="55"/>
      <c r="G7006" s="55"/>
      <c r="H7006" s="55"/>
    </row>
    <row r="7007" spans="1:9" x14ac:dyDescent="0.3">
      <c r="A7007" s="364"/>
      <c r="H7007" s="365"/>
    </row>
    <row r="7008" spans="1:9" x14ac:dyDescent="0.3">
      <c r="A7008" s="366"/>
      <c r="B7008" s="363"/>
      <c r="C7008" s="362"/>
      <c r="D7008" s="89"/>
      <c r="E7008" s="24"/>
      <c r="F7008" s="189"/>
      <c r="G7008" s="189"/>
      <c r="H7008" s="367"/>
    </row>
    <row r="7009" spans="1:8" x14ac:dyDescent="0.3">
      <c r="A7009" s="27"/>
      <c r="B7009" s="88"/>
      <c r="C7009" s="24"/>
      <c r="D7009" s="24"/>
      <c r="E7009" s="24"/>
      <c r="F7009" s="24"/>
      <c r="G7009" s="24"/>
      <c r="H7009" s="281"/>
    </row>
    <row r="7010" spans="1:8" x14ac:dyDescent="0.3">
      <c r="A7010" s="364"/>
      <c r="H7010" s="365"/>
    </row>
    <row r="7011" spans="1:8" x14ac:dyDescent="0.3">
      <c r="A7011" s="27"/>
      <c r="B7011" s="363"/>
      <c r="C7011" s="24"/>
      <c r="D7011" s="24"/>
      <c r="E7011" s="24"/>
      <c r="F7011" s="24"/>
      <c r="G7011" s="24"/>
      <c r="H7011" s="281"/>
    </row>
    <row r="7012" spans="1:8" x14ac:dyDescent="0.3">
      <c r="A7012" s="173"/>
      <c r="B7012" s="88"/>
      <c r="C7012" s="206"/>
      <c r="D7012" s="89"/>
      <c r="E7012" s="207"/>
      <c r="F7012" s="25"/>
      <c r="G7012" s="25"/>
      <c r="H7012" s="32"/>
    </row>
    <row r="7013" spans="1:8" x14ac:dyDescent="0.3">
      <c r="A7013" s="173"/>
      <c r="B7013" s="88"/>
      <c r="C7013" s="206"/>
      <c r="D7013" s="89"/>
      <c r="E7013" s="25"/>
      <c r="F7013" s="25"/>
      <c r="G7013" s="25"/>
      <c r="H7013" s="32"/>
    </row>
    <row r="7014" spans="1:8" x14ac:dyDescent="0.3">
      <c r="A7014" s="27"/>
      <c r="B7014" s="88"/>
      <c r="C7014" s="24"/>
      <c r="D7014" s="89"/>
      <c r="E7014" s="25"/>
      <c r="F7014" s="25"/>
      <c r="G7014" s="25"/>
      <c r="H7014" s="32"/>
    </row>
    <row r="7015" spans="1:8" x14ac:dyDescent="0.3">
      <c r="A7015" s="27"/>
      <c r="B7015" s="28"/>
      <c r="C7015" s="24"/>
      <c r="D7015" s="25"/>
      <c r="E7015" s="25"/>
      <c r="F7015" s="28"/>
      <c r="G7015" s="28"/>
      <c r="H7015" s="32"/>
    </row>
    <row r="7016" spans="1:8" ht="15.6" x14ac:dyDescent="0.3">
      <c r="A7016" s="448" t="s">
        <v>45</v>
      </c>
      <c r="B7016" s="449"/>
      <c r="C7016" s="24"/>
      <c r="D7016" s="25"/>
      <c r="E7016" s="25"/>
      <c r="F7016" s="447" t="s">
        <v>46</v>
      </c>
      <c r="G7016" s="447"/>
      <c r="H7016" s="66">
        <v>11900</v>
      </c>
    </row>
    <row r="7017" spans="1:8" ht="15.6" x14ac:dyDescent="0.3">
      <c r="A7017" s="497" t="s">
        <v>1280</v>
      </c>
      <c r="B7017" s="498"/>
      <c r="C7017" s="498"/>
      <c r="D7017" s="498"/>
      <c r="E7017" s="498"/>
      <c r="F7017" s="447" t="s">
        <v>47</v>
      </c>
      <c r="G7017" s="447"/>
      <c r="H7017" s="66">
        <f>H7016*9%</f>
        <v>1071</v>
      </c>
    </row>
    <row r="7018" spans="1:8" ht="15.6" x14ac:dyDescent="0.3">
      <c r="A7018" s="27"/>
      <c r="B7018" s="28"/>
      <c r="C7018" s="24"/>
      <c r="D7018" s="25"/>
      <c r="E7018" s="25"/>
      <c r="F7018" s="447" t="s">
        <v>48</v>
      </c>
      <c r="G7018" s="447"/>
      <c r="H7018" s="66">
        <f>H7017</f>
        <v>1071</v>
      </c>
    </row>
    <row r="7019" spans="1:8" ht="15.6" x14ac:dyDescent="0.3">
      <c r="A7019" s="64" t="s">
        <v>49</v>
      </c>
      <c r="B7019" s="65"/>
      <c r="C7019" s="24"/>
      <c r="D7019" s="25"/>
      <c r="E7019" s="25"/>
      <c r="F7019" s="447" t="s">
        <v>50</v>
      </c>
      <c r="G7019" s="447"/>
      <c r="H7019" s="66">
        <v>14042</v>
      </c>
    </row>
    <row r="7020" spans="1:8" ht="27" x14ac:dyDescent="0.3">
      <c r="A7020" s="68" t="s">
        <v>22</v>
      </c>
      <c r="B7020" s="30" t="s">
        <v>51</v>
      </c>
      <c r="C7020" s="70" t="s">
        <v>24</v>
      </c>
      <c r="D7020" s="31" t="s">
        <v>25</v>
      </c>
      <c r="E7020" s="450" t="s">
        <v>52</v>
      </c>
      <c r="F7020" s="450"/>
      <c r="G7020" s="28"/>
      <c r="H7020" s="32"/>
    </row>
    <row r="7021" spans="1:8" x14ac:dyDescent="0.3">
      <c r="A7021" s="72">
        <v>0.18</v>
      </c>
      <c r="B7021" s="73">
        <f>H7016</f>
        <v>11900</v>
      </c>
      <c r="C7021" s="91">
        <f>H7017</f>
        <v>1071</v>
      </c>
      <c r="D7021" s="91">
        <f>H7017</f>
        <v>1071</v>
      </c>
      <c r="E7021" s="506">
        <f>C7021+D7021</f>
        <v>2142</v>
      </c>
      <c r="F7021" s="507"/>
      <c r="G7021" s="74"/>
      <c r="H7021" s="75"/>
    </row>
    <row r="7022" spans="1:8" x14ac:dyDescent="0.3">
      <c r="A7022" s="508" t="s">
        <v>1281</v>
      </c>
      <c r="B7022" s="509"/>
      <c r="C7022" s="509"/>
      <c r="D7022" s="509"/>
      <c r="E7022" s="453"/>
      <c r="F7022" s="453"/>
      <c r="G7022" s="453"/>
      <c r="H7022" s="454"/>
    </row>
    <row r="7023" spans="1:8" ht="15.6" x14ac:dyDescent="0.3">
      <c r="A7023" s="455" t="s">
        <v>53</v>
      </c>
      <c r="B7023" s="456"/>
      <c r="C7023" s="456"/>
      <c r="D7023" s="457"/>
      <c r="E7023" s="458" t="s">
        <v>54</v>
      </c>
      <c r="F7023" s="459"/>
      <c r="G7023" s="459"/>
      <c r="H7023" s="460"/>
    </row>
    <row r="7024" spans="1:8" x14ac:dyDescent="0.3">
      <c r="A7024" s="461" t="s">
        <v>55</v>
      </c>
      <c r="B7024" s="462"/>
      <c r="C7024" s="462"/>
      <c r="D7024" s="463"/>
      <c r="E7024" s="39"/>
      <c r="F7024" s="28"/>
      <c r="G7024" s="28"/>
      <c r="H7024" s="32"/>
    </row>
    <row r="7025" spans="1:8" x14ac:dyDescent="0.3">
      <c r="A7025" s="461" t="s">
        <v>56</v>
      </c>
      <c r="B7025" s="462"/>
      <c r="C7025" s="462"/>
      <c r="D7025" s="463"/>
      <c r="E7025" s="39"/>
      <c r="F7025" s="28"/>
      <c r="G7025" s="28"/>
      <c r="H7025" s="32"/>
    </row>
    <row r="7026" spans="1:8" x14ac:dyDescent="0.3">
      <c r="A7026" s="461" t="s">
        <v>57</v>
      </c>
      <c r="B7026" s="462"/>
      <c r="C7026" s="462"/>
      <c r="D7026" s="463"/>
      <c r="E7026" s="39"/>
      <c r="F7026" s="28"/>
      <c r="G7026" s="28"/>
      <c r="H7026" s="32"/>
    </row>
    <row r="7027" spans="1:8" ht="15.6" x14ac:dyDescent="0.3">
      <c r="A7027" s="464" t="s">
        <v>58</v>
      </c>
      <c r="B7027" s="465"/>
      <c r="C7027" s="465"/>
      <c r="D7027" s="465"/>
      <c r="E7027" s="466" t="s">
        <v>59</v>
      </c>
      <c r="F7027" s="467"/>
      <c r="G7027" s="467"/>
      <c r="H7027" s="468"/>
    </row>
    <row r="7031" spans="1:8" ht="44.4" x14ac:dyDescent="0.7">
      <c r="A7031" s="469" t="s">
        <v>0</v>
      </c>
      <c r="B7031" s="470"/>
      <c r="C7031" s="470"/>
      <c r="D7031" s="470"/>
      <c r="E7031" s="531" t="s">
        <v>1</v>
      </c>
      <c r="F7031" s="544"/>
      <c r="G7031" s="544"/>
      <c r="H7031" s="545"/>
    </row>
    <row r="7032" spans="1:8" ht="20.399999999999999" x14ac:dyDescent="0.35">
      <c r="A7032" s="1"/>
      <c r="B7032" s="476" t="s">
        <v>2</v>
      </c>
      <c r="C7032" s="476"/>
      <c r="D7032" s="476"/>
      <c r="E7032" s="546"/>
      <c r="F7032" s="546"/>
      <c r="G7032" s="546"/>
      <c r="H7032" s="547"/>
    </row>
    <row r="7033" spans="1:8" x14ac:dyDescent="0.3">
      <c r="A7033" s="477" t="s">
        <v>3</v>
      </c>
      <c r="B7033" s="478"/>
      <c r="C7033" s="479" t="s">
        <v>4</v>
      </c>
      <c r="D7033" s="479"/>
      <c r="E7033" s="480" t="s">
        <v>5</v>
      </c>
      <c r="F7033" s="480"/>
      <c r="G7033" s="480"/>
      <c r="H7033" s="480"/>
    </row>
    <row r="7034" spans="1:8" ht="15.6" x14ac:dyDescent="0.3">
      <c r="A7034" s="4" t="s">
        <v>6</v>
      </c>
      <c r="B7034" s="5"/>
      <c r="C7034" s="481" t="s">
        <v>7</v>
      </c>
      <c r="D7034" s="481"/>
      <c r="E7034" s="482">
        <v>153</v>
      </c>
      <c r="F7034" s="482"/>
      <c r="G7034" s="7" t="s">
        <v>8</v>
      </c>
      <c r="H7034" s="354" t="s">
        <v>1289</v>
      </c>
    </row>
    <row r="7035" spans="1:8" ht="15.6" x14ac:dyDescent="0.3">
      <c r="A7035" s="551" t="s">
        <v>458</v>
      </c>
      <c r="B7035" s="552"/>
      <c r="C7035" s="481" t="s">
        <v>10</v>
      </c>
      <c r="D7035" s="481"/>
      <c r="E7035" s="482">
        <v>181</v>
      </c>
      <c r="F7035" s="482"/>
      <c r="G7035" s="7" t="s">
        <v>8</v>
      </c>
      <c r="H7035" s="354">
        <v>45848</v>
      </c>
    </row>
    <row r="7036" spans="1:8" ht="25.5" customHeight="1" x14ac:dyDescent="0.3">
      <c r="A7036" s="560" t="s">
        <v>459</v>
      </c>
      <c r="B7036" s="561"/>
      <c r="C7036" s="483" t="s">
        <v>12</v>
      </c>
      <c r="D7036" s="484"/>
      <c r="E7036" s="652" t="s">
        <v>466</v>
      </c>
      <c r="F7036" s="653"/>
      <c r="G7036" s="10" t="s">
        <v>8</v>
      </c>
      <c r="H7036" s="252" t="s">
        <v>465</v>
      </c>
    </row>
    <row r="7037" spans="1:8" ht="15.6" x14ac:dyDescent="0.3">
      <c r="A7037" s="253" t="s">
        <v>460</v>
      </c>
      <c r="B7037" s="254"/>
      <c r="C7037" s="481" t="s">
        <v>15</v>
      </c>
      <c r="D7037" s="481"/>
      <c r="E7037" s="489" t="s">
        <v>461</v>
      </c>
      <c r="F7037" s="490"/>
      <c r="G7037" s="490"/>
      <c r="H7037" s="491"/>
    </row>
    <row r="7038" spans="1:8" ht="15.6" x14ac:dyDescent="0.3">
      <c r="A7038" s="255" t="s">
        <v>697</v>
      </c>
      <c r="B7038" s="256"/>
      <c r="C7038" s="489"/>
      <c r="D7038" s="490"/>
      <c r="E7038" s="490"/>
      <c r="F7038" s="490"/>
      <c r="G7038" s="490"/>
      <c r="H7038" s="491"/>
    </row>
    <row r="7039" spans="1:8" ht="15" x14ac:dyDescent="0.3">
      <c r="A7039" s="492" t="s">
        <v>17</v>
      </c>
      <c r="B7039" s="494" t="s">
        <v>18</v>
      </c>
      <c r="C7039" s="494" t="s">
        <v>19</v>
      </c>
      <c r="D7039" s="495" t="s">
        <v>20</v>
      </c>
      <c r="E7039" s="494" t="s">
        <v>21</v>
      </c>
      <c r="F7039" s="494" t="s">
        <v>22</v>
      </c>
      <c r="G7039" s="494"/>
      <c r="H7039" s="492" t="s">
        <v>23</v>
      </c>
    </row>
    <row r="7040" spans="1:8" ht="27.6" x14ac:dyDescent="0.3">
      <c r="A7040" s="492"/>
      <c r="B7040" s="494"/>
      <c r="C7040" s="494"/>
      <c r="D7040" s="505"/>
      <c r="E7040" s="494"/>
      <c r="F7040" s="53" t="s">
        <v>24</v>
      </c>
      <c r="G7040" s="53" t="s">
        <v>25</v>
      </c>
      <c r="H7040" s="492"/>
    </row>
    <row r="7041" spans="1:9" x14ac:dyDescent="0.3">
      <c r="A7041" s="55">
        <v>2</v>
      </c>
      <c r="B7041" s="84" t="s">
        <v>1272</v>
      </c>
      <c r="C7041" s="55">
        <v>2</v>
      </c>
      <c r="D7041" s="361">
        <v>8538</v>
      </c>
      <c r="E7041" s="55">
        <v>6400</v>
      </c>
      <c r="F7041" s="57">
        <f>E7041*C7041*9%</f>
        <v>1152</v>
      </c>
      <c r="G7041" s="57">
        <f>F7041</f>
        <v>1152</v>
      </c>
      <c r="H7041" s="57">
        <f>G7041+F7041+E7041*C7041</f>
        <v>15104</v>
      </c>
      <c r="I7041" s="373">
        <f>E7041*C7041</f>
        <v>12800</v>
      </c>
    </row>
    <row r="7042" spans="1:9" x14ac:dyDescent="0.3">
      <c r="A7042" s="55"/>
      <c r="B7042" s="84"/>
      <c r="C7042" s="55"/>
      <c r="D7042" s="361"/>
      <c r="E7042" s="55"/>
      <c r="F7042" s="55"/>
      <c r="G7042" s="55"/>
      <c r="H7042" s="55"/>
    </row>
    <row r="7043" spans="1:9" x14ac:dyDescent="0.3">
      <c r="A7043" s="55"/>
      <c r="B7043" s="84"/>
      <c r="C7043" s="55"/>
      <c r="D7043" s="163"/>
      <c r="E7043" s="55"/>
      <c r="F7043" s="55"/>
      <c r="G7043" s="55"/>
      <c r="H7043" s="55"/>
    </row>
    <row r="7044" spans="1:9" x14ac:dyDescent="0.3">
      <c r="A7044" s="55"/>
      <c r="B7044" s="84"/>
      <c r="C7044" s="55"/>
      <c r="D7044" s="163"/>
      <c r="E7044" s="55"/>
      <c r="F7044" s="55"/>
      <c r="G7044" s="55"/>
      <c r="H7044" s="55"/>
    </row>
    <row r="7045" spans="1:9" x14ac:dyDescent="0.3">
      <c r="A7045" s="55"/>
      <c r="B7045" s="84"/>
      <c r="C7045" s="55"/>
      <c r="D7045" s="163"/>
      <c r="E7045" s="55"/>
      <c r="F7045" s="55"/>
      <c r="G7045" s="55"/>
      <c r="H7045" s="55"/>
    </row>
    <row r="7046" spans="1:9" x14ac:dyDescent="0.3">
      <c r="A7046" s="55"/>
      <c r="B7046" s="257"/>
      <c r="C7046" s="55"/>
      <c r="D7046" s="55"/>
      <c r="E7046" s="55"/>
      <c r="F7046" s="55"/>
      <c r="G7046" s="55"/>
      <c r="H7046" s="55"/>
    </row>
    <row r="7047" spans="1:9" x14ac:dyDescent="0.3">
      <c r="A7047" s="55"/>
      <c r="B7047" s="257"/>
      <c r="C7047" s="20"/>
      <c r="D7047" s="86"/>
      <c r="E7047" s="55"/>
      <c r="F7047" s="55"/>
      <c r="G7047" s="55"/>
      <c r="H7047" s="55"/>
    </row>
    <row r="7048" spans="1:9" x14ac:dyDescent="0.3">
      <c r="A7048" s="55"/>
      <c r="B7048" s="257"/>
      <c r="C7048" s="20"/>
      <c r="D7048" s="86"/>
      <c r="E7048" s="55"/>
      <c r="F7048" s="55"/>
      <c r="G7048" s="55"/>
      <c r="H7048" s="55"/>
    </row>
    <row r="7049" spans="1:9" x14ac:dyDescent="0.3">
      <c r="A7049" s="55"/>
      <c r="B7049" s="257"/>
      <c r="C7049" s="20"/>
      <c r="D7049" s="86"/>
      <c r="E7049" s="55"/>
      <c r="F7049" s="55"/>
      <c r="G7049" s="55"/>
      <c r="H7049" s="55"/>
    </row>
    <row r="7050" spans="1:9" x14ac:dyDescent="0.3">
      <c r="A7050" s="55"/>
      <c r="B7050" s="257"/>
      <c r="C7050" s="20"/>
      <c r="D7050" s="86"/>
      <c r="E7050" s="55"/>
      <c r="F7050" s="55"/>
      <c r="G7050" s="55"/>
      <c r="H7050" s="55"/>
    </row>
    <row r="7051" spans="1:9" x14ac:dyDescent="0.3">
      <c r="A7051" s="55"/>
      <c r="B7051" s="257"/>
      <c r="C7051" s="20"/>
      <c r="D7051" s="86"/>
      <c r="E7051" s="55"/>
      <c r="F7051" s="55"/>
      <c r="G7051" s="55"/>
      <c r="H7051" s="55"/>
    </row>
    <row r="7052" spans="1:9" x14ac:dyDescent="0.3">
      <c r="A7052" s="364"/>
      <c r="H7052" s="365"/>
    </row>
    <row r="7053" spans="1:9" x14ac:dyDescent="0.3">
      <c r="A7053" s="366"/>
      <c r="B7053" s="363"/>
      <c r="C7053" s="362"/>
      <c r="D7053" s="89"/>
      <c r="E7053" s="24"/>
      <c r="F7053" s="189"/>
      <c r="G7053" s="189"/>
      <c r="H7053" s="367"/>
    </row>
    <row r="7054" spans="1:9" x14ac:dyDescent="0.3">
      <c r="A7054" s="27"/>
      <c r="B7054" s="88"/>
      <c r="C7054" s="24"/>
      <c r="D7054" s="24"/>
      <c r="E7054" s="24"/>
      <c r="F7054" s="24"/>
      <c r="G7054" s="24"/>
      <c r="H7054" s="281"/>
    </row>
    <row r="7055" spans="1:9" x14ac:dyDescent="0.3">
      <c r="A7055" s="364"/>
      <c r="H7055" s="365"/>
    </row>
    <row r="7056" spans="1:9" x14ac:dyDescent="0.3">
      <c r="A7056" s="27"/>
      <c r="B7056" s="363"/>
      <c r="C7056" s="24"/>
      <c r="D7056" s="24"/>
      <c r="E7056" s="24"/>
      <c r="F7056" s="24"/>
      <c r="G7056" s="24"/>
      <c r="H7056" s="281"/>
    </row>
    <row r="7057" spans="1:8" x14ac:dyDescent="0.3">
      <c r="A7057" s="173"/>
      <c r="B7057" s="88"/>
      <c r="C7057" s="206"/>
      <c r="D7057" s="89"/>
      <c r="E7057" s="207"/>
      <c r="F7057" s="25"/>
      <c r="G7057" s="25"/>
      <c r="H7057" s="32"/>
    </row>
    <row r="7058" spans="1:8" x14ac:dyDescent="0.3">
      <c r="A7058" s="173"/>
      <c r="B7058" s="88"/>
      <c r="C7058" s="206"/>
      <c r="D7058" s="89"/>
      <c r="E7058" s="25"/>
      <c r="F7058" s="25"/>
      <c r="G7058" s="25"/>
      <c r="H7058" s="32"/>
    </row>
    <row r="7059" spans="1:8" x14ac:dyDescent="0.3">
      <c r="A7059" s="27"/>
      <c r="B7059" s="88"/>
      <c r="C7059" s="24"/>
      <c r="D7059" s="89"/>
      <c r="E7059" s="25"/>
      <c r="F7059" s="25"/>
      <c r="G7059" s="25"/>
      <c r="H7059" s="32"/>
    </row>
    <row r="7060" spans="1:8" x14ac:dyDescent="0.3">
      <c r="A7060" s="27"/>
      <c r="B7060" s="28"/>
      <c r="C7060" s="24"/>
      <c r="D7060" s="25"/>
      <c r="E7060" s="25"/>
      <c r="F7060" s="28"/>
      <c r="G7060" s="28"/>
      <c r="H7060" s="32"/>
    </row>
    <row r="7061" spans="1:8" ht="15.6" x14ac:dyDescent="0.3">
      <c r="A7061" s="448" t="s">
        <v>45</v>
      </c>
      <c r="B7061" s="449"/>
      <c r="C7061" s="24"/>
      <c r="D7061" s="25"/>
      <c r="E7061" s="25"/>
      <c r="F7061" s="447" t="s">
        <v>46</v>
      </c>
      <c r="G7061" s="447"/>
      <c r="H7061" s="66">
        <v>12800</v>
      </c>
    </row>
    <row r="7062" spans="1:8" ht="15.6" x14ac:dyDescent="0.3">
      <c r="A7062" s="497" t="s">
        <v>1299</v>
      </c>
      <c r="B7062" s="498"/>
      <c r="C7062" s="498"/>
      <c r="D7062" s="498"/>
      <c r="E7062" s="498"/>
      <c r="F7062" s="447" t="s">
        <v>47</v>
      </c>
      <c r="G7062" s="447"/>
      <c r="H7062" s="66">
        <f>H7061*9%</f>
        <v>1152</v>
      </c>
    </row>
    <row r="7063" spans="1:8" ht="15.6" x14ac:dyDescent="0.3">
      <c r="A7063" s="27"/>
      <c r="B7063" s="28"/>
      <c r="C7063" s="24"/>
      <c r="D7063" s="25"/>
      <c r="E7063" s="25"/>
      <c r="F7063" s="447" t="s">
        <v>48</v>
      </c>
      <c r="G7063" s="447"/>
      <c r="H7063" s="66">
        <f>H7062</f>
        <v>1152</v>
      </c>
    </row>
    <row r="7064" spans="1:8" ht="15.6" x14ac:dyDescent="0.3">
      <c r="A7064" s="64" t="s">
        <v>49</v>
      </c>
      <c r="B7064" s="65"/>
      <c r="C7064" s="24"/>
      <c r="D7064" s="25"/>
      <c r="E7064" s="25"/>
      <c r="F7064" s="447" t="s">
        <v>50</v>
      </c>
      <c r="G7064" s="447"/>
      <c r="H7064" s="66">
        <v>15104</v>
      </c>
    </row>
    <row r="7065" spans="1:8" ht="27" x14ac:dyDescent="0.3">
      <c r="A7065" s="68" t="s">
        <v>22</v>
      </c>
      <c r="B7065" s="30" t="s">
        <v>51</v>
      </c>
      <c r="C7065" s="70" t="s">
        <v>24</v>
      </c>
      <c r="D7065" s="31" t="s">
        <v>25</v>
      </c>
      <c r="E7065" s="450" t="s">
        <v>52</v>
      </c>
      <c r="F7065" s="450"/>
      <c r="G7065" s="28"/>
      <c r="H7065" s="32"/>
    </row>
    <row r="7066" spans="1:8" x14ac:dyDescent="0.3">
      <c r="A7066" s="72">
        <v>0.18</v>
      </c>
      <c r="B7066" s="73">
        <f>H7061</f>
        <v>12800</v>
      </c>
      <c r="C7066" s="91">
        <f>H7062</f>
        <v>1152</v>
      </c>
      <c r="D7066" s="91">
        <f>H7062</f>
        <v>1152</v>
      </c>
      <c r="E7066" s="506">
        <f>C7066+D7066</f>
        <v>2304</v>
      </c>
      <c r="F7066" s="507"/>
      <c r="G7066" s="74"/>
      <c r="H7066" s="75"/>
    </row>
    <row r="7067" spans="1:8" x14ac:dyDescent="0.3">
      <c r="A7067" s="508" t="s">
        <v>1300</v>
      </c>
      <c r="B7067" s="509"/>
      <c r="C7067" s="509"/>
      <c r="D7067" s="509"/>
      <c r="E7067" s="453"/>
      <c r="F7067" s="453"/>
      <c r="G7067" s="453"/>
      <c r="H7067" s="454"/>
    </row>
    <row r="7068" spans="1:8" ht="15.6" x14ac:dyDescent="0.3">
      <c r="A7068" s="455" t="s">
        <v>53</v>
      </c>
      <c r="B7068" s="456"/>
      <c r="C7068" s="456"/>
      <c r="D7068" s="457"/>
      <c r="E7068" s="458" t="s">
        <v>54</v>
      </c>
      <c r="F7068" s="459"/>
      <c r="G7068" s="459"/>
      <c r="H7068" s="460"/>
    </row>
    <row r="7069" spans="1:8" x14ac:dyDescent="0.3">
      <c r="A7069" s="461" t="s">
        <v>55</v>
      </c>
      <c r="B7069" s="462"/>
      <c r="C7069" s="462"/>
      <c r="D7069" s="463"/>
      <c r="E7069" s="39"/>
      <c r="F7069" s="28"/>
      <c r="G7069" s="28"/>
      <c r="H7069" s="32"/>
    </row>
    <row r="7070" spans="1:8" x14ac:dyDescent="0.3">
      <c r="A7070" s="461" t="s">
        <v>56</v>
      </c>
      <c r="B7070" s="462"/>
      <c r="C7070" s="462"/>
      <c r="D7070" s="463"/>
      <c r="E7070" s="39"/>
      <c r="F7070" s="28"/>
      <c r="G7070" s="28"/>
      <c r="H7070" s="32"/>
    </row>
    <row r="7071" spans="1:8" x14ac:dyDescent="0.3">
      <c r="A7071" s="461" t="s">
        <v>57</v>
      </c>
      <c r="B7071" s="462"/>
      <c r="C7071" s="462"/>
      <c r="D7071" s="463"/>
      <c r="E7071" s="39"/>
      <c r="F7071" s="28"/>
      <c r="G7071" s="28"/>
      <c r="H7071" s="32"/>
    </row>
    <row r="7072" spans="1:8" ht="15.6" x14ac:dyDescent="0.3">
      <c r="A7072" s="464" t="s">
        <v>58</v>
      </c>
      <c r="B7072" s="465"/>
      <c r="C7072" s="465"/>
      <c r="D7072" s="465"/>
      <c r="E7072" s="466" t="s">
        <v>59</v>
      </c>
      <c r="F7072" s="467"/>
      <c r="G7072" s="467"/>
      <c r="H7072" s="468"/>
    </row>
    <row r="7077" spans="1:8" ht="44.4" x14ac:dyDescent="0.7">
      <c r="A7077" s="469" t="s">
        <v>0</v>
      </c>
      <c r="B7077" s="470"/>
      <c r="C7077" s="470"/>
      <c r="D7077" s="470"/>
      <c r="E7077" s="531" t="s">
        <v>1</v>
      </c>
      <c r="F7077" s="544"/>
      <c r="G7077" s="544"/>
      <c r="H7077" s="545"/>
    </row>
    <row r="7078" spans="1:8" ht="20.399999999999999" x14ac:dyDescent="0.35">
      <c r="A7078" s="1"/>
      <c r="B7078" s="476" t="s">
        <v>2</v>
      </c>
      <c r="C7078" s="476"/>
      <c r="D7078" s="476"/>
      <c r="E7078" s="546"/>
      <c r="F7078" s="546"/>
      <c r="G7078" s="546"/>
      <c r="H7078" s="547"/>
    </row>
    <row r="7079" spans="1:8" x14ac:dyDescent="0.3">
      <c r="A7079" s="477" t="s">
        <v>3</v>
      </c>
      <c r="B7079" s="478"/>
      <c r="C7079" s="479" t="s">
        <v>4</v>
      </c>
      <c r="D7079" s="479"/>
      <c r="E7079" s="480" t="s">
        <v>5</v>
      </c>
      <c r="F7079" s="480"/>
      <c r="G7079" s="480"/>
      <c r="H7079" s="480"/>
    </row>
    <row r="7080" spans="1:8" ht="15.6" x14ac:dyDescent="0.3">
      <c r="A7080" s="4" t="s">
        <v>6</v>
      </c>
      <c r="B7080" s="5"/>
      <c r="C7080" s="481" t="s">
        <v>7</v>
      </c>
      <c r="D7080" s="481"/>
      <c r="E7080" s="482">
        <v>154</v>
      </c>
      <c r="F7080" s="482"/>
      <c r="G7080" s="7" t="s">
        <v>8</v>
      </c>
      <c r="H7080" s="354" t="s">
        <v>1289</v>
      </c>
    </row>
    <row r="7081" spans="1:8" ht="15.6" x14ac:dyDescent="0.3">
      <c r="A7081" s="551" t="s">
        <v>458</v>
      </c>
      <c r="B7081" s="552"/>
      <c r="C7081" s="481" t="s">
        <v>10</v>
      </c>
      <c r="D7081" s="481"/>
      <c r="E7081" s="482">
        <v>20</v>
      </c>
      <c r="F7081" s="482"/>
      <c r="G7081" s="7" t="s">
        <v>8</v>
      </c>
      <c r="H7081" s="354" t="s">
        <v>1301</v>
      </c>
    </row>
    <row r="7082" spans="1:8" ht="24.75" customHeight="1" x14ac:dyDescent="0.3">
      <c r="A7082" s="560" t="s">
        <v>459</v>
      </c>
      <c r="B7082" s="561"/>
      <c r="C7082" s="483" t="s">
        <v>12</v>
      </c>
      <c r="D7082" s="484"/>
      <c r="E7082" s="652"/>
      <c r="F7082" s="653"/>
      <c r="G7082" s="10" t="s">
        <v>8</v>
      </c>
      <c r="H7082" s="252"/>
    </row>
    <row r="7083" spans="1:8" ht="15.6" x14ac:dyDescent="0.3">
      <c r="A7083" s="253" t="s">
        <v>460</v>
      </c>
      <c r="B7083" s="254"/>
      <c r="C7083" s="481" t="s">
        <v>15</v>
      </c>
      <c r="D7083" s="481"/>
      <c r="E7083" s="489" t="s">
        <v>461</v>
      </c>
      <c r="F7083" s="490"/>
      <c r="G7083" s="490"/>
      <c r="H7083" s="491"/>
    </row>
    <row r="7084" spans="1:8" ht="15.6" x14ac:dyDescent="0.3">
      <c r="A7084" s="255" t="s">
        <v>1302</v>
      </c>
      <c r="B7084" s="256"/>
      <c r="C7084" s="489"/>
      <c r="D7084" s="490"/>
      <c r="E7084" s="490"/>
      <c r="F7084" s="490"/>
      <c r="G7084" s="490"/>
      <c r="H7084" s="491"/>
    </row>
    <row r="7085" spans="1:8" ht="15" x14ac:dyDescent="0.3">
      <c r="A7085" s="492" t="s">
        <v>17</v>
      </c>
      <c r="B7085" s="494" t="s">
        <v>18</v>
      </c>
      <c r="C7085" s="494" t="s">
        <v>19</v>
      </c>
      <c r="D7085" s="495" t="s">
        <v>20</v>
      </c>
      <c r="E7085" s="494" t="s">
        <v>21</v>
      </c>
      <c r="F7085" s="494" t="s">
        <v>22</v>
      </c>
      <c r="G7085" s="494"/>
      <c r="H7085" s="492" t="s">
        <v>23</v>
      </c>
    </row>
    <row r="7086" spans="1:8" ht="27.6" x14ac:dyDescent="0.3">
      <c r="A7086" s="492"/>
      <c r="B7086" s="494"/>
      <c r="C7086" s="494"/>
      <c r="D7086" s="505"/>
      <c r="E7086" s="494"/>
      <c r="F7086" s="53" t="s">
        <v>24</v>
      </c>
      <c r="G7086" s="53" t="s">
        <v>25</v>
      </c>
      <c r="H7086" s="492"/>
    </row>
    <row r="7087" spans="1:8" x14ac:dyDescent="0.3">
      <c r="A7087" s="55">
        <v>1</v>
      </c>
      <c r="B7087" s="84" t="s">
        <v>1303</v>
      </c>
      <c r="C7087" s="55">
        <v>25</v>
      </c>
      <c r="D7087" s="208">
        <v>85446020</v>
      </c>
      <c r="E7087" s="55">
        <v>836</v>
      </c>
      <c r="F7087" s="57">
        <f>E7087*C7087*9%</f>
        <v>1881</v>
      </c>
      <c r="G7087" s="57">
        <f>F7087</f>
        <v>1881</v>
      </c>
      <c r="H7087" s="57">
        <f>G7087+F7087+E7087*C7087</f>
        <v>24662</v>
      </c>
    </row>
    <row r="7088" spans="1:8" x14ac:dyDescent="0.3">
      <c r="A7088" s="55"/>
      <c r="B7088" s="84"/>
      <c r="C7088" s="55"/>
      <c r="D7088" s="361"/>
      <c r="E7088" s="55"/>
      <c r="F7088" s="55"/>
      <c r="G7088" s="55"/>
      <c r="H7088" s="55"/>
    </row>
    <row r="7089" spans="1:8" x14ac:dyDescent="0.3">
      <c r="A7089" s="55"/>
      <c r="B7089" s="84"/>
      <c r="C7089" s="55"/>
      <c r="D7089" s="163"/>
      <c r="E7089" s="55"/>
      <c r="F7089" s="55"/>
      <c r="G7089" s="55"/>
      <c r="H7089" s="55"/>
    </row>
    <row r="7090" spans="1:8" x14ac:dyDescent="0.3">
      <c r="A7090" s="55"/>
      <c r="B7090" s="84"/>
      <c r="C7090" s="55"/>
      <c r="D7090" s="163"/>
      <c r="E7090" s="55"/>
      <c r="F7090" s="55"/>
      <c r="G7090" s="55"/>
      <c r="H7090" s="55"/>
    </row>
    <row r="7091" spans="1:8" x14ac:dyDescent="0.3">
      <c r="A7091" s="55"/>
      <c r="B7091" s="84"/>
      <c r="C7091" s="55"/>
      <c r="D7091" s="163"/>
      <c r="E7091" s="55"/>
      <c r="F7091" s="55"/>
      <c r="G7091" s="55"/>
      <c r="H7091" s="55"/>
    </row>
    <row r="7092" spans="1:8" x14ac:dyDescent="0.3">
      <c r="A7092" s="55"/>
      <c r="B7092" s="257"/>
      <c r="C7092" s="55"/>
      <c r="D7092" s="55"/>
      <c r="E7092" s="55"/>
      <c r="F7092" s="55"/>
      <c r="G7092" s="55"/>
      <c r="H7092" s="55"/>
    </row>
    <row r="7093" spans="1:8" x14ac:dyDescent="0.3">
      <c r="A7093" s="55"/>
      <c r="B7093" s="257"/>
      <c r="C7093" s="20"/>
      <c r="D7093" s="86"/>
      <c r="E7093" s="55"/>
      <c r="F7093" s="55"/>
      <c r="G7093" s="55"/>
      <c r="H7093" s="55"/>
    </row>
    <row r="7094" spans="1:8" x14ac:dyDescent="0.3">
      <c r="A7094" s="55"/>
      <c r="B7094" s="257"/>
      <c r="C7094" s="20"/>
      <c r="D7094" s="86"/>
      <c r="E7094" s="55"/>
      <c r="F7094" s="55"/>
      <c r="G7094" s="55"/>
      <c r="H7094" s="55"/>
    </row>
    <row r="7095" spans="1:8" x14ac:dyDescent="0.3">
      <c r="A7095" s="55"/>
      <c r="B7095" s="257"/>
      <c r="C7095" s="20"/>
      <c r="D7095" s="86"/>
      <c r="E7095" s="55"/>
      <c r="F7095" s="55"/>
      <c r="G7095" s="55"/>
      <c r="H7095" s="55"/>
    </row>
    <row r="7096" spans="1:8" x14ac:dyDescent="0.3">
      <c r="A7096" s="55"/>
      <c r="B7096" s="257"/>
      <c r="C7096" s="20"/>
      <c r="D7096" s="86"/>
      <c r="E7096" s="55"/>
      <c r="F7096" s="55"/>
      <c r="G7096" s="55"/>
      <c r="H7096" s="55"/>
    </row>
    <row r="7097" spans="1:8" x14ac:dyDescent="0.3">
      <c r="A7097" s="55"/>
      <c r="B7097" s="257"/>
      <c r="C7097" s="20"/>
      <c r="D7097" s="86"/>
      <c r="E7097" s="55"/>
      <c r="F7097" s="55"/>
      <c r="G7097" s="55"/>
      <c r="H7097" s="55"/>
    </row>
    <row r="7098" spans="1:8" x14ac:dyDescent="0.3">
      <c r="A7098" s="364"/>
      <c r="H7098" s="365"/>
    </row>
    <row r="7099" spans="1:8" x14ac:dyDescent="0.3">
      <c r="A7099" s="366"/>
      <c r="B7099" s="363"/>
      <c r="C7099" s="362"/>
      <c r="D7099" s="89"/>
      <c r="E7099" s="24"/>
      <c r="F7099" s="189"/>
      <c r="G7099" s="189"/>
      <c r="H7099" s="367"/>
    </row>
    <row r="7100" spans="1:8" x14ac:dyDescent="0.3">
      <c r="A7100" s="27"/>
      <c r="B7100" s="88"/>
      <c r="C7100" s="24"/>
      <c r="D7100" s="24"/>
      <c r="E7100" s="24"/>
      <c r="F7100" s="24"/>
      <c r="G7100" s="24"/>
      <c r="H7100" s="281"/>
    </row>
    <row r="7101" spans="1:8" x14ac:dyDescent="0.3">
      <c r="A7101" s="364"/>
      <c r="H7101" s="365"/>
    </row>
    <row r="7102" spans="1:8" x14ac:dyDescent="0.3">
      <c r="A7102" s="27"/>
      <c r="B7102" s="363"/>
      <c r="C7102" s="24"/>
      <c r="D7102" s="24"/>
      <c r="E7102" s="24"/>
      <c r="F7102" s="24"/>
      <c r="G7102" s="24"/>
      <c r="H7102" s="281"/>
    </row>
    <row r="7103" spans="1:8" x14ac:dyDescent="0.3">
      <c r="A7103" s="173"/>
      <c r="B7103" s="88"/>
      <c r="C7103" s="206"/>
      <c r="D7103" s="89"/>
      <c r="E7103" s="207"/>
      <c r="F7103" s="25"/>
      <c r="G7103" s="25"/>
      <c r="H7103" s="32"/>
    </row>
    <row r="7104" spans="1:8" x14ac:dyDescent="0.3">
      <c r="A7104" s="173"/>
      <c r="B7104" s="88"/>
      <c r="C7104" s="206"/>
      <c r="D7104" s="89"/>
      <c r="E7104" s="25"/>
      <c r="F7104" s="25"/>
      <c r="G7104" s="25"/>
      <c r="H7104" s="32"/>
    </row>
    <row r="7105" spans="1:8" x14ac:dyDescent="0.3">
      <c r="A7105" s="27"/>
      <c r="B7105" s="88"/>
      <c r="C7105" s="24"/>
      <c r="D7105" s="89"/>
      <c r="E7105" s="25"/>
      <c r="F7105" s="25"/>
      <c r="G7105" s="25"/>
      <c r="H7105" s="32"/>
    </row>
    <row r="7106" spans="1:8" x14ac:dyDescent="0.3">
      <c r="A7106" s="27"/>
      <c r="B7106" s="28"/>
      <c r="C7106" s="24"/>
      <c r="D7106" s="25"/>
      <c r="E7106" s="25"/>
      <c r="F7106" s="28"/>
      <c r="G7106" s="28"/>
      <c r="H7106" s="32"/>
    </row>
    <row r="7107" spans="1:8" ht="15.6" x14ac:dyDescent="0.3">
      <c r="A7107" s="448" t="s">
        <v>45</v>
      </c>
      <c r="B7107" s="449"/>
      <c r="C7107" s="24"/>
      <c r="D7107" s="25"/>
      <c r="E7107" s="25"/>
      <c r="F7107" s="447" t="s">
        <v>46</v>
      </c>
      <c r="G7107" s="447"/>
      <c r="H7107" s="66">
        <v>20900</v>
      </c>
    </row>
    <row r="7108" spans="1:8" ht="15.6" x14ac:dyDescent="0.3">
      <c r="A7108" s="497" t="s">
        <v>1304</v>
      </c>
      <c r="B7108" s="498"/>
      <c r="C7108" s="498"/>
      <c r="D7108" s="498"/>
      <c r="E7108" s="498"/>
      <c r="F7108" s="447" t="s">
        <v>47</v>
      </c>
      <c r="G7108" s="447"/>
      <c r="H7108" s="66">
        <f>H7107*9%</f>
        <v>1881</v>
      </c>
    </row>
    <row r="7109" spans="1:8" ht="15.6" x14ac:dyDescent="0.3">
      <c r="A7109" s="27"/>
      <c r="B7109" s="28"/>
      <c r="C7109" s="24"/>
      <c r="D7109" s="25"/>
      <c r="E7109" s="25"/>
      <c r="F7109" s="447" t="s">
        <v>48</v>
      </c>
      <c r="G7109" s="447"/>
      <c r="H7109" s="66">
        <f>H7108</f>
        <v>1881</v>
      </c>
    </row>
    <row r="7110" spans="1:8" ht="15.6" x14ac:dyDescent="0.3">
      <c r="A7110" s="64" t="s">
        <v>49</v>
      </c>
      <c r="B7110" s="65"/>
      <c r="C7110" s="24"/>
      <c r="D7110" s="25"/>
      <c r="E7110" s="25"/>
      <c r="F7110" s="447" t="s">
        <v>50</v>
      </c>
      <c r="G7110" s="447"/>
      <c r="H7110" s="66">
        <v>24662</v>
      </c>
    </row>
    <row r="7111" spans="1:8" ht="27" x14ac:dyDescent="0.3">
      <c r="A7111" s="68" t="s">
        <v>22</v>
      </c>
      <c r="B7111" s="30" t="s">
        <v>51</v>
      </c>
      <c r="C7111" s="70" t="s">
        <v>24</v>
      </c>
      <c r="D7111" s="31" t="s">
        <v>25</v>
      </c>
      <c r="E7111" s="450" t="s">
        <v>52</v>
      </c>
      <c r="F7111" s="450"/>
      <c r="G7111" s="28"/>
      <c r="H7111" s="32"/>
    </row>
    <row r="7112" spans="1:8" x14ac:dyDescent="0.3">
      <c r="A7112" s="72">
        <v>0.18</v>
      </c>
      <c r="B7112" s="73">
        <f>H7107</f>
        <v>20900</v>
      </c>
      <c r="C7112" s="91">
        <f>H7108</f>
        <v>1881</v>
      </c>
      <c r="D7112" s="91">
        <f>H7108</f>
        <v>1881</v>
      </c>
      <c r="E7112" s="506">
        <f>C7112+D7112</f>
        <v>3762</v>
      </c>
      <c r="F7112" s="507"/>
      <c r="G7112" s="74"/>
      <c r="H7112" s="75"/>
    </row>
    <row r="7113" spans="1:8" x14ac:dyDescent="0.3">
      <c r="A7113" s="508" t="s">
        <v>1305</v>
      </c>
      <c r="B7113" s="509"/>
      <c r="C7113" s="509"/>
      <c r="D7113" s="509"/>
      <c r="E7113" s="453"/>
      <c r="F7113" s="453"/>
      <c r="G7113" s="453"/>
      <c r="H7113" s="454"/>
    </row>
    <row r="7114" spans="1:8" ht="15.6" x14ac:dyDescent="0.3">
      <c r="A7114" s="455" t="s">
        <v>53</v>
      </c>
      <c r="B7114" s="456"/>
      <c r="C7114" s="456"/>
      <c r="D7114" s="457"/>
      <c r="E7114" s="458" t="s">
        <v>54</v>
      </c>
      <c r="F7114" s="459"/>
      <c r="G7114" s="459"/>
      <c r="H7114" s="460"/>
    </row>
    <row r="7115" spans="1:8" x14ac:dyDescent="0.3">
      <c r="A7115" s="461" t="s">
        <v>55</v>
      </c>
      <c r="B7115" s="462"/>
      <c r="C7115" s="462"/>
      <c r="D7115" s="463"/>
      <c r="E7115" s="39"/>
      <c r="F7115" s="28"/>
      <c r="G7115" s="28"/>
      <c r="H7115" s="32"/>
    </row>
    <row r="7116" spans="1:8" x14ac:dyDescent="0.3">
      <c r="A7116" s="461" t="s">
        <v>56</v>
      </c>
      <c r="B7116" s="462"/>
      <c r="C7116" s="462"/>
      <c r="D7116" s="463"/>
      <c r="E7116" s="39"/>
      <c r="F7116" s="28"/>
      <c r="G7116" s="28"/>
      <c r="H7116" s="32"/>
    </row>
    <row r="7117" spans="1:8" x14ac:dyDescent="0.3">
      <c r="A7117" s="461" t="s">
        <v>57</v>
      </c>
      <c r="B7117" s="462"/>
      <c r="C7117" s="462"/>
      <c r="D7117" s="463"/>
      <c r="E7117" s="39"/>
      <c r="F7117" s="28"/>
      <c r="G7117" s="28"/>
      <c r="H7117" s="32"/>
    </row>
    <row r="7118" spans="1:8" ht="15.6" x14ac:dyDescent="0.3">
      <c r="A7118" s="464" t="s">
        <v>58</v>
      </c>
      <c r="B7118" s="465"/>
      <c r="C7118" s="465"/>
      <c r="D7118" s="465"/>
      <c r="E7118" s="466" t="s">
        <v>59</v>
      </c>
      <c r="F7118" s="467"/>
      <c r="G7118" s="467"/>
      <c r="H7118" s="468"/>
    </row>
    <row r="7120" spans="1:8" x14ac:dyDescent="0.3">
      <c r="F7120" s="163"/>
    </row>
    <row r="7122" spans="1:9" ht="44.4" x14ac:dyDescent="0.7">
      <c r="A7122" s="469" t="s">
        <v>0</v>
      </c>
      <c r="B7122" s="470"/>
      <c r="C7122" s="470"/>
      <c r="D7122" s="470"/>
      <c r="E7122" s="531" t="s">
        <v>1</v>
      </c>
      <c r="F7122" s="544"/>
      <c r="G7122" s="544"/>
      <c r="H7122" s="545"/>
    </row>
    <row r="7123" spans="1:9" ht="20.399999999999999" x14ac:dyDescent="0.35">
      <c r="A7123" s="1"/>
      <c r="B7123" s="535" t="s">
        <v>2</v>
      </c>
      <c r="C7123" s="535"/>
      <c r="D7123" s="535"/>
      <c r="E7123" s="546"/>
      <c r="F7123" s="546"/>
      <c r="G7123" s="546"/>
      <c r="H7123" s="547"/>
    </row>
    <row r="7124" spans="1:9" ht="15" thickBot="1" x14ac:dyDescent="0.35">
      <c r="A7124" s="477" t="s">
        <v>3</v>
      </c>
      <c r="B7124" s="478"/>
      <c r="C7124" s="136"/>
      <c r="D7124" s="499" t="s">
        <v>4</v>
      </c>
      <c r="E7124" s="499"/>
      <c r="F7124" s="137"/>
      <c r="G7124" s="360" t="s">
        <v>134</v>
      </c>
      <c r="H7124" s="379"/>
    </row>
    <row r="7125" spans="1:9" ht="15.6" x14ac:dyDescent="0.3">
      <c r="A7125" s="138" t="s">
        <v>6</v>
      </c>
      <c r="B7125" s="5"/>
      <c r="C7125" s="536" t="s">
        <v>7</v>
      </c>
      <c r="D7125" s="516"/>
      <c r="E7125" s="489">
        <v>155</v>
      </c>
      <c r="F7125" s="491"/>
      <c r="G7125" s="123" t="s">
        <v>8</v>
      </c>
      <c r="H7125" s="380">
        <v>45759</v>
      </c>
      <c r="I7125" s="378"/>
    </row>
    <row r="7126" spans="1:9" ht="16.2" thickBot="1" x14ac:dyDescent="0.35">
      <c r="A7126" s="241" t="s">
        <v>275</v>
      </c>
      <c r="B7126" s="242"/>
      <c r="C7126" s="536" t="s">
        <v>276</v>
      </c>
      <c r="D7126" s="516"/>
      <c r="E7126" s="624">
        <v>4300585476</v>
      </c>
      <c r="F7126" s="625"/>
      <c r="G7126" s="7"/>
      <c r="H7126" s="178"/>
    </row>
    <row r="7127" spans="1:9" ht="15.6" x14ac:dyDescent="0.3">
      <c r="A7127" s="626" t="s">
        <v>277</v>
      </c>
      <c r="B7127" s="627"/>
      <c r="C7127" s="628" t="s">
        <v>265</v>
      </c>
      <c r="D7127" s="484"/>
      <c r="E7127" s="489" t="s">
        <v>266</v>
      </c>
      <c r="F7127" s="491"/>
      <c r="G7127" s="10"/>
      <c r="H7127" s="82"/>
    </row>
    <row r="7128" spans="1:9" ht="15.6" x14ac:dyDescent="0.3">
      <c r="A7128" s="629" t="s">
        <v>278</v>
      </c>
      <c r="B7128" s="630"/>
      <c r="C7128" s="536" t="s">
        <v>15</v>
      </c>
      <c r="D7128" s="516"/>
      <c r="E7128" s="631" t="s">
        <v>279</v>
      </c>
      <c r="F7128" s="632"/>
      <c r="G7128" s="633"/>
      <c r="H7128" s="126"/>
    </row>
    <row r="7129" spans="1:9" ht="15.6" x14ac:dyDescent="0.3">
      <c r="A7129" s="558"/>
      <c r="B7129" s="559"/>
      <c r="C7129" s="489"/>
      <c r="D7129" s="490"/>
      <c r="E7129" s="490"/>
      <c r="F7129" s="490"/>
      <c r="G7129" s="490"/>
      <c r="H7129" s="491"/>
    </row>
    <row r="7130" spans="1:9" ht="15" x14ac:dyDescent="0.3">
      <c r="A7130" s="493" t="s">
        <v>17</v>
      </c>
      <c r="B7130" s="495" t="s">
        <v>18</v>
      </c>
      <c r="C7130" s="495" t="s">
        <v>19</v>
      </c>
      <c r="D7130" s="495" t="s">
        <v>20</v>
      </c>
      <c r="E7130" s="495" t="s">
        <v>21</v>
      </c>
      <c r="F7130" s="541" t="s">
        <v>22</v>
      </c>
      <c r="G7130" s="542"/>
      <c r="H7130" s="493" t="s">
        <v>23</v>
      </c>
    </row>
    <row r="7131" spans="1:9" ht="27.6" x14ac:dyDescent="0.3">
      <c r="A7131" s="527"/>
      <c r="B7131" s="505"/>
      <c r="C7131" s="505"/>
      <c r="D7131" s="505"/>
      <c r="E7131" s="505"/>
      <c r="F7131" s="53" t="s">
        <v>24</v>
      </c>
      <c r="G7131" s="53" t="s">
        <v>25</v>
      </c>
      <c r="H7131" s="527"/>
    </row>
    <row r="7132" spans="1:9" x14ac:dyDescent="0.3">
      <c r="A7132" s="15">
        <v>1</v>
      </c>
      <c r="B7132" s="190" t="s">
        <v>1306</v>
      </c>
      <c r="C7132" s="191">
        <v>1</v>
      </c>
      <c r="D7132" s="192">
        <v>998715</v>
      </c>
      <c r="E7132" s="299">
        <v>3810</v>
      </c>
      <c r="F7132" s="193">
        <f>E7132*C7132*9%</f>
        <v>342.9</v>
      </c>
      <c r="G7132" s="58">
        <f>F7132</f>
        <v>342.9</v>
      </c>
      <c r="H7132" s="59">
        <f>G7132+F7132+E7132</f>
        <v>4495.8</v>
      </c>
    </row>
    <row r="7133" spans="1:9" x14ac:dyDescent="0.3">
      <c r="A7133" s="20"/>
      <c r="B7133" s="60"/>
      <c r="C7133" s="55"/>
      <c r="D7133" s="55"/>
      <c r="E7133" s="55"/>
      <c r="F7133" s="93"/>
      <c r="G7133" s="93"/>
      <c r="H7133" s="62"/>
    </row>
    <row r="7134" spans="1:9" x14ac:dyDescent="0.3">
      <c r="A7134" s="20"/>
      <c r="B7134" s="60"/>
      <c r="C7134" s="55"/>
      <c r="D7134" s="55"/>
      <c r="E7134" s="55"/>
      <c r="F7134" s="93"/>
      <c r="G7134" s="93"/>
      <c r="H7134" s="62"/>
    </row>
    <row r="7135" spans="1:9" x14ac:dyDescent="0.3">
      <c r="A7135" s="20"/>
      <c r="B7135" s="63"/>
      <c r="C7135" s="129"/>
      <c r="D7135" s="55"/>
      <c r="E7135" s="55"/>
      <c r="F7135" s="93"/>
      <c r="G7135" s="93"/>
      <c r="H7135" s="62"/>
    </row>
    <row r="7136" spans="1:9" x14ac:dyDescent="0.3">
      <c r="A7136" s="20"/>
      <c r="B7136" s="63"/>
      <c r="C7136" s="129"/>
      <c r="D7136" s="55"/>
      <c r="E7136" s="55"/>
      <c r="F7136" s="93"/>
      <c r="G7136" s="93"/>
      <c r="H7136" s="62"/>
    </row>
    <row r="7137" spans="1:8" x14ac:dyDescent="0.3">
      <c r="A7137" s="20"/>
      <c r="B7137" s="130"/>
      <c r="C7137" s="129"/>
      <c r="D7137" s="55"/>
      <c r="E7137" s="55"/>
      <c r="F7137" s="93"/>
      <c r="G7137" s="93"/>
      <c r="H7137" s="62"/>
    </row>
    <row r="7138" spans="1:8" x14ac:dyDescent="0.3">
      <c r="A7138" s="20"/>
      <c r="B7138" s="63"/>
      <c r="C7138" s="129"/>
      <c r="D7138" s="55"/>
      <c r="E7138" s="55"/>
      <c r="F7138" s="93"/>
      <c r="G7138" s="93"/>
      <c r="H7138" s="62"/>
    </row>
    <row r="7139" spans="1:8" x14ac:dyDescent="0.3">
      <c r="A7139" s="20"/>
      <c r="B7139" s="63"/>
      <c r="C7139" s="55"/>
      <c r="D7139" s="55"/>
      <c r="E7139" s="55"/>
      <c r="F7139" s="93"/>
      <c r="G7139" s="93"/>
      <c r="H7139" s="62"/>
    </row>
    <row r="7140" spans="1:8" x14ac:dyDescent="0.3">
      <c r="A7140" s="27"/>
      <c r="B7140" s="28"/>
      <c r="C7140" s="24"/>
      <c r="D7140" s="25"/>
      <c r="E7140" s="25"/>
      <c r="F7140" s="28"/>
      <c r="G7140" s="28"/>
      <c r="H7140" s="32"/>
    </row>
    <row r="7141" spans="1:8" x14ac:dyDescent="0.3">
      <c r="A7141" s="618" t="s">
        <v>267</v>
      </c>
      <c r="B7141" s="619"/>
      <c r="C7141" s="618" t="s">
        <v>268</v>
      </c>
      <c r="D7141" s="620"/>
      <c r="E7141" s="619"/>
      <c r="F7141" s="28"/>
      <c r="G7141" s="28"/>
      <c r="H7141" s="32"/>
    </row>
    <row r="7142" spans="1:8" x14ac:dyDescent="0.3">
      <c r="A7142" s="178" t="s">
        <v>269</v>
      </c>
      <c r="B7142" s="163"/>
      <c r="C7142" s="621">
        <v>10142001000604</v>
      </c>
      <c r="D7142" s="622"/>
      <c r="E7142" s="623"/>
      <c r="F7142" s="28"/>
      <c r="G7142" s="28"/>
      <c r="H7142" s="32"/>
    </row>
    <row r="7143" spans="1:8" x14ac:dyDescent="0.3">
      <c r="A7143" s="178" t="s">
        <v>270</v>
      </c>
      <c r="B7143" s="163"/>
      <c r="C7143" s="618" t="s">
        <v>271</v>
      </c>
      <c r="D7143" s="620"/>
      <c r="E7143" s="619"/>
      <c r="F7143" s="28"/>
      <c r="G7143" s="28"/>
      <c r="H7143" s="32"/>
    </row>
    <row r="7144" spans="1:8" x14ac:dyDescent="0.3">
      <c r="A7144" s="618" t="s">
        <v>272</v>
      </c>
      <c r="B7144" s="619"/>
      <c r="C7144" s="618" t="s">
        <v>273</v>
      </c>
      <c r="D7144" s="620"/>
      <c r="E7144" s="619"/>
      <c r="F7144" s="28"/>
      <c r="G7144" s="28"/>
      <c r="H7144" s="32"/>
    </row>
    <row r="7145" spans="1:8" x14ac:dyDescent="0.3">
      <c r="A7145" s="27"/>
      <c r="B7145" s="28"/>
      <c r="C7145" s="24"/>
      <c r="D7145" s="25"/>
      <c r="E7145" s="25"/>
      <c r="F7145" s="28"/>
      <c r="G7145" s="28"/>
      <c r="H7145" s="32"/>
    </row>
    <row r="7146" spans="1:8" x14ac:dyDescent="0.3">
      <c r="A7146" s="27"/>
      <c r="B7146" s="28"/>
      <c r="C7146" s="24"/>
      <c r="D7146" s="25"/>
      <c r="E7146" s="25"/>
      <c r="F7146" s="28"/>
      <c r="G7146" s="28"/>
      <c r="H7146" s="32"/>
    </row>
    <row r="7147" spans="1:8" x14ac:dyDescent="0.3">
      <c r="A7147" s="27"/>
      <c r="B7147" s="28"/>
      <c r="C7147" s="24"/>
      <c r="D7147" s="25"/>
      <c r="E7147" s="25"/>
      <c r="F7147" s="28"/>
      <c r="G7147" s="28"/>
      <c r="H7147" s="32"/>
    </row>
    <row r="7148" spans="1:8" ht="15.6" x14ac:dyDescent="0.3">
      <c r="A7148" s="448" t="s">
        <v>45</v>
      </c>
      <c r="B7148" s="449"/>
      <c r="C7148" s="24"/>
      <c r="D7148" s="25"/>
      <c r="E7148" s="25"/>
      <c r="F7148" s="447" t="s">
        <v>46</v>
      </c>
      <c r="G7148" s="447"/>
      <c r="H7148" s="66">
        <v>3810</v>
      </c>
    </row>
    <row r="7149" spans="1:8" ht="15.6" x14ac:dyDescent="0.3">
      <c r="A7149" s="497" t="s">
        <v>1307</v>
      </c>
      <c r="B7149" s="498"/>
      <c r="C7149" s="498"/>
      <c r="D7149" s="498"/>
      <c r="E7149" s="498"/>
      <c r="F7149" s="447" t="s">
        <v>47</v>
      </c>
      <c r="G7149" s="447"/>
      <c r="H7149" s="66">
        <v>343</v>
      </c>
    </row>
    <row r="7150" spans="1:8" ht="15.6" x14ac:dyDescent="0.3">
      <c r="A7150" s="27"/>
      <c r="B7150" s="28"/>
      <c r="C7150" s="24"/>
      <c r="D7150" s="25"/>
      <c r="E7150" s="25"/>
      <c r="F7150" s="447" t="s">
        <v>48</v>
      </c>
      <c r="G7150" s="447"/>
      <c r="H7150" s="66">
        <v>343</v>
      </c>
    </row>
    <row r="7151" spans="1:8" ht="15.6" x14ac:dyDescent="0.3">
      <c r="A7151" s="90" t="s">
        <v>49</v>
      </c>
      <c r="B7151" s="28"/>
      <c r="C7151" s="24"/>
      <c r="D7151" s="25"/>
      <c r="E7151" s="25"/>
      <c r="F7151" s="447" t="s">
        <v>50</v>
      </c>
      <c r="G7151" s="447"/>
      <c r="H7151" s="66">
        <v>4496</v>
      </c>
    </row>
    <row r="7152" spans="1:8" ht="27" x14ac:dyDescent="0.3">
      <c r="A7152" s="68" t="s">
        <v>22</v>
      </c>
      <c r="B7152" s="30" t="s">
        <v>51</v>
      </c>
      <c r="C7152" s="70" t="s">
        <v>24</v>
      </c>
      <c r="D7152" s="31" t="s">
        <v>25</v>
      </c>
      <c r="E7152" s="543" t="s">
        <v>52</v>
      </c>
      <c r="F7152" s="543"/>
      <c r="G7152" s="28"/>
      <c r="H7152" s="32"/>
    </row>
    <row r="7153" spans="1:8" x14ac:dyDescent="0.3">
      <c r="A7153" s="72">
        <v>0.18</v>
      </c>
      <c r="B7153" s="73">
        <f>H7148</f>
        <v>3810</v>
      </c>
      <c r="C7153" s="74">
        <f>H7149</f>
        <v>343</v>
      </c>
      <c r="D7153" s="74">
        <f>H7149</f>
        <v>343</v>
      </c>
      <c r="E7153" s="507">
        <f>C7153+D7153</f>
        <v>686</v>
      </c>
      <c r="F7153" s="507"/>
      <c r="G7153" s="74"/>
      <c r="H7153" s="75"/>
    </row>
    <row r="7154" spans="1:8" x14ac:dyDescent="0.3">
      <c r="A7154" s="508" t="s">
        <v>1308</v>
      </c>
      <c r="B7154" s="509"/>
      <c r="C7154" s="509"/>
      <c r="D7154" s="509"/>
      <c r="E7154" s="453"/>
      <c r="F7154" s="453"/>
      <c r="G7154" s="453"/>
      <c r="H7154" s="454"/>
    </row>
    <row r="7155" spans="1:8" ht="15.6" x14ac:dyDescent="0.3">
      <c r="A7155" s="455" t="s">
        <v>53</v>
      </c>
      <c r="B7155" s="456"/>
      <c r="C7155" s="456"/>
      <c r="D7155" s="457"/>
      <c r="E7155" s="458" t="s">
        <v>54</v>
      </c>
      <c r="F7155" s="459"/>
      <c r="G7155" s="459"/>
      <c r="H7155" s="460"/>
    </row>
    <row r="7156" spans="1:8" x14ac:dyDescent="0.3">
      <c r="A7156" s="461" t="s">
        <v>55</v>
      </c>
      <c r="B7156" s="462"/>
      <c r="C7156" s="462"/>
      <c r="D7156" s="463"/>
      <c r="E7156" s="39"/>
      <c r="F7156" s="28"/>
      <c r="G7156" s="28"/>
      <c r="H7156" s="32"/>
    </row>
    <row r="7157" spans="1:8" x14ac:dyDescent="0.3">
      <c r="A7157" s="461" t="s">
        <v>56</v>
      </c>
      <c r="B7157" s="462"/>
      <c r="C7157" s="462"/>
      <c r="D7157" s="463"/>
      <c r="E7157" s="39"/>
      <c r="F7157" s="28"/>
      <c r="G7157" s="28"/>
      <c r="H7157" s="32"/>
    </row>
    <row r="7158" spans="1:8" x14ac:dyDescent="0.3">
      <c r="A7158" s="461" t="s">
        <v>57</v>
      </c>
      <c r="B7158" s="462"/>
      <c r="C7158" s="462"/>
      <c r="D7158" s="463"/>
      <c r="E7158" s="39"/>
      <c r="F7158" s="28"/>
      <c r="G7158" s="28"/>
      <c r="H7158" s="32"/>
    </row>
    <row r="7159" spans="1:8" ht="15.6" x14ac:dyDescent="0.3">
      <c r="A7159" s="464" t="s">
        <v>58</v>
      </c>
      <c r="B7159" s="465"/>
      <c r="C7159" s="465"/>
      <c r="D7159" s="465"/>
      <c r="E7159" s="466" t="s">
        <v>59</v>
      </c>
      <c r="F7159" s="467"/>
      <c r="G7159" s="467"/>
      <c r="H7159" s="468"/>
    </row>
    <row r="7160" spans="1:8" ht="15.6" x14ac:dyDescent="0.3">
      <c r="A7160" s="104"/>
      <c r="B7160" s="104"/>
      <c r="C7160" s="104"/>
      <c r="D7160" s="104"/>
      <c r="E7160" s="105"/>
      <c r="F7160" s="105"/>
      <c r="G7160" s="105"/>
      <c r="H7160" s="105"/>
    </row>
    <row r="7161" spans="1:8" ht="15.6" x14ac:dyDescent="0.3">
      <c r="A7161" s="104"/>
      <c r="B7161" s="104"/>
      <c r="C7161" s="104"/>
      <c r="D7161" s="104"/>
      <c r="E7161" s="105"/>
      <c r="F7161" s="105"/>
      <c r="G7161" s="105"/>
      <c r="H7161" s="105"/>
    </row>
    <row r="7162" spans="1:8" ht="15.6" x14ac:dyDescent="0.3">
      <c r="A7162" s="104"/>
      <c r="B7162" s="104"/>
      <c r="C7162" s="104"/>
      <c r="D7162" s="104"/>
      <c r="E7162" s="105"/>
      <c r="F7162" s="105"/>
      <c r="G7162" s="105"/>
      <c r="H7162" s="105"/>
    </row>
    <row r="7163" spans="1:8" ht="15.6" x14ac:dyDescent="0.3">
      <c r="A7163" s="104"/>
      <c r="B7163" s="104"/>
      <c r="C7163" s="104"/>
      <c r="D7163" s="104"/>
      <c r="E7163" s="105"/>
      <c r="F7163" s="105"/>
      <c r="G7163" s="105"/>
      <c r="H7163" s="105"/>
    </row>
    <row r="7164" spans="1:8" ht="15.6" x14ac:dyDescent="0.3">
      <c r="A7164" s="104"/>
      <c r="B7164" s="104"/>
      <c r="C7164" s="104"/>
      <c r="D7164" s="104"/>
      <c r="E7164" s="105"/>
      <c r="F7164" s="105"/>
      <c r="G7164" s="105"/>
      <c r="H7164" s="105"/>
    </row>
    <row r="7165" spans="1:8" ht="15.6" x14ac:dyDescent="0.3">
      <c r="A7165" s="104"/>
      <c r="B7165" s="104"/>
      <c r="C7165" s="104"/>
      <c r="D7165" s="104"/>
      <c r="E7165" s="105"/>
      <c r="F7165" s="105"/>
      <c r="G7165" s="105"/>
      <c r="H7165" s="105"/>
    </row>
    <row r="7169" spans="1:8" ht="44.4" x14ac:dyDescent="0.7">
      <c r="A7169" s="469" t="s">
        <v>0</v>
      </c>
      <c r="B7169" s="470"/>
      <c r="C7169" s="470"/>
      <c r="D7169" s="470"/>
      <c r="E7169" s="531" t="s">
        <v>1311</v>
      </c>
      <c r="F7169" s="544"/>
      <c r="G7169" s="544"/>
      <c r="H7169" s="545"/>
    </row>
    <row r="7170" spans="1:8" ht="20.399999999999999" x14ac:dyDescent="0.35">
      <c r="A7170" s="1"/>
      <c r="B7170" s="476" t="s">
        <v>2</v>
      </c>
      <c r="C7170" s="476"/>
      <c r="D7170" s="476"/>
      <c r="E7170" s="546"/>
      <c r="F7170" s="546"/>
      <c r="G7170" s="546"/>
      <c r="H7170" s="547"/>
    </row>
    <row r="7171" spans="1:8" x14ac:dyDescent="0.3">
      <c r="A7171" s="477" t="s">
        <v>3</v>
      </c>
      <c r="B7171" s="478"/>
      <c r="C7171" s="479" t="s">
        <v>4</v>
      </c>
      <c r="D7171" s="479"/>
      <c r="E7171" s="654" t="s">
        <v>5</v>
      </c>
      <c r="F7171" s="654"/>
      <c r="G7171" s="654"/>
      <c r="H7171" s="654"/>
    </row>
    <row r="7172" spans="1:8" ht="15.6" x14ac:dyDescent="0.3">
      <c r="A7172" s="4" t="s">
        <v>6</v>
      </c>
      <c r="B7172" s="5"/>
      <c r="C7172" s="481" t="s">
        <v>7</v>
      </c>
      <c r="D7172" s="481"/>
      <c r="E7172" s="482">
        <v>156</v>
      </c>
      <c r="F7172" s="482"/>
      <c r="G7172" s="7" t="s">
        <v>8</v>
      </c>
      <c r="H7172" s="8">
        <v>45850</v>
      </c>
    </row>
    <row r="7173" spans="1:8" ht="15.6" x14ac:dyDescent="0.3">
      <c r="A7173" s="551" t="s">
        <v>287</v>
      </c>
      <c r="B7173" s="552"/>
      <c r="C7173" s="481" t="s">
        <v>10</v>
      </c>
      <c r="D7173" s="481"/>
      <c r="E7173" s="482">
        <v>25</v>
      </c>
      <c r="F7173" s="482"/>
      <c r="G7173" s="7" t="s">
        <v>8</v>
      </c>
      <c r="H7173" s="8" t="s">
        <v>1095</v>
      </c>
    </row>
    <row r="7174" spans="1:8" ht="26.25" customHeight="1" x14ac:dyDescent="0.3">
      <c r="A7174" s="517" t="s">
        <v>288</v>
      </c>
      <c r="B7174" s="553"/>
      <c r="C7174" s="483" t="s">
        <v>12</v>
      </c>
      <c r="D7174" s="484"/>
      <c r="E7174" s="554" t="s">
        <v>1312</v>
      </c>
      <c r="F7174" s="555"/>
      <c r="G7174" s="10" t="s">
        <v>8</v>
      </c>
      <c r="H7174" s="109">
        <v>45779</v>
      </c>
    </row>
    <row r="7175" spans="1:8" ht="15.6" x14ac:dyDescent="0.3">
      <c r="A7175" s="556"/>
      <c r="B7175" s="557"/>
      <c r="C7175" s="481" t="s">
        <v>15</v>
      </c>
      <c r="D7175" s="481"/>
      <c r="E7175" s="502" t="s">
        <v>289</v>
      </c>
      <c r="F7175" s="503"/>
      <c r="G7175" s="503"/>
      <c r="H7175" s="504"/>
    </row>
    <row r="7176" spans="1:8" ht="15.6" x14ac:dyDescent="0.3">
      <c r="A7176" s="558" t="s">
        <v>290</v>
      </c>
      <c r="B7176" s="559"/>
      <c r="C7176" s="489"/>
      <c r="D7176" s="490"/>
      <c r="E7176" s="490"/>
      <c r="F7176" s="490"/>
      <c r="G7176" s="490"/>
      <c r="H7176" s="491"/>
    </row>
    <row r="7177" spans="1:8" ht="15" x14ac:dyDescent="0.3">
      <c r="A7177" s="492" t="s">
        <v>17</v>
      </c>
      <c r="B7177" s="494" t="s">
        <v>18</v>
      </c>
      <c r="C7177" s="494" t="s">
        <v>19</v>
      </c>
      <c r="D7177" s="495" t="s">
        <v>20</v>
      </c>
      <c r="E7177" s="494" t="s">
        <v>21</v>
      </c>
      <c r="F7177" s="494" t="s">
        <v>22</v>
      </c>
      <c r="G7177" s="494"/>
      <c r="H7177" s="492" t="s">
        <v>23</v>
      </c>
    </row>
    <row r="7178" spans="1:8" ht="27.6" x14ac:dyDescent="0.3">
      <c r="A7178" s="492"/>
      <c r="B7178" s="494"/>
      <c r="C7178" s="494"/>
      <c r="D7178" s="505"/>
      <c r="E7178" s="494"/>
      <c r="F7178" s="53" t="s">
        <v>24</v>
      </c>
      <c r="G7178" s="53" t="s">
        <v>25</v>
      </c>
      <c r="H7178" s="492"/>
    </row>
    <row r="7179" spans="1:8" x14ac:dyDescent="0.3">
      <c r="A7179" s="55">
        <v>1</v>
      </c>
      <c r="B7179" s="84" t="s">
        <v>1313</v>
      </c>
      <c r="C7179" s="55">
        <v>2</v>
      </c>
      <c r="D7179" s="361">
        <v>8536</v>
      </c>
      <c r="E7179" s="55">
        <v>16500</v>
      </c>
      <c r="F7179" s="57">
        <f>E7179*C7179*9%</f>
        <v>2970</v>
      </c>
      <c r="G7179" s="57">
        <f>F7179</f>
        <v>2970</v>
      </c>
      <c r="H7179" s="57">
        <f>G7179+F7179+E7179*C7179</f>
        <v>38940</v>
      </c>
    </row>
    <row r="7180" spans="1:8" x14ac:dyDescent="0.3">
      <c r="A7180" s="55">
        <v>2</v>
      </c>
      <c r="B7180" s="84" t="s">
        <v>1314</v>
      </c>
      <c r="C7180" s="55">
        <v>2</v>
      </c>
      <c r="D7180" s="208">
        <v>998719</v>
      </c>
      <c r="E7180" s="55">
        <v>1500</v>
      </c>
      <c r="F7180" s="57">
        <f>E7180*C7180*9%</f>
        <v>270</v>
      </c>
      <c r="G7180" s="57">
        <f>F7180</f>
        <v>270</v>
      </c>
      <c r="H7180" s="57">
        <f>G7180+F7180+E7180*C7180</f>
        <v>3540</v>
      </c>
    </row>
    <row r="7181" spans="1:8" x14ac:dyDescent="0.3">
      <c r="A7181" s="55"/>
      <c r="B7181" s="84"/>
      <c r="C7181" s="55"/>
      <c r="D7181" s="163"/>
      <c r="E7181" s="55"/>
      <c r="F7181" s="55"/>
      <c r="G7181" s="55"/>
      <c r="H7181" s="55"/>
    </row>
    <row r="7182" spans="1:8" x14ac:dyDescent="0.3">
      <c r="A7182" s="55"/>
      <c r="B7182" s="84"/>
      <c r="C7182" s="55"/>
      <c r="D7182" s="163"/>
      <c r="E7182" s="55"/>
      <c r="F7182" s="55"/>
      <c r="G7182" s="55"/>
      <c r="H7182" s="55"/>
    </row>
    <row r="7183" spans="1:8" x14ac:dyDescent="0.3">
      <c r="A7183" s="55"/>
      <c r="B7183" s="84"/>
      <c r="C7183" s="55"/>
      <c r="D7183" s="163"/>
      <c r="E7183" s="55"/>
      <c r="F7183" s="55"/>
      <c r="G7183" s="55"/>
      <c r="H7183" s="55"/>
    </row>
    <row r="7184" spans="1:8" x14ac:dyDescent="0.3">
      <c r="A7184" s="55"/>
      <c r="B7184" s="257"/>
      <c r="C7184" s="55"/>
      <c r="D7184" s="55"/>
      <c r="E7184" s="55"/>
      <c r="F7184" s="55"/>
      <c r="G7184" s="55"/>
      <c r="H7184" s="55"/>
    </row>
    <row r="7185" spans="1:8" x14ac:dyDescent="0.3">
      <c r="A7185" s="55"/>
      <c r="B7185" s="257"/>
      <c r="C7185" s="20"/>
      <c r="D7185" s="86"/>
      <c r="E7185" s="55"/>
      <c r="F7185" s="55"/>
      <c r="G7185" s="55"/>
      <c r="H7185" s="55"/>
    </row>
    <row r="7186" spans="1:8" x14ac:dyDescent="0.3">
      <c r="A7186" s="55"/>
      <c r="B7186" s="257"/>
      <c r="C7186" s="20"/>
      <c r="D7186" s="86"/>
      <c r="E7186" s="55"/>
      <c r="F7186" s="55"/>
      <c r="G7186" s="55"/>
      <c r="H7186" s="55"/>
    </row>
    <row r="7187" spans="1:8" x14ac:dyDescent="0.3">
      <c r="A7187" s="55"/>
      <c r="B7187" s="257"/>
      <c r="C7187" s="20"/>
      <c r="D7187" s="86"/>
      <c r="E7187" s="55"/>
      <c r="F7187" s="55"/>
      <c r="G7187" s="55"/>
      <c r="H7187" s="55"/>
    </row>
    <row r="7188" spans="1:8" x14ac:dyDescent="0.3">
      <c r="A7188" s="55"/>
      <c r="B7188" s="257"/>
      <c r="C7188" s="20"/>
      <c r="D7188" s="86"/>
      <c r="E7188" s="55"/>
      <c r="F7188" s="55"/>
      <c r="G7188" s="55"/>
      <c r="H7188" s="55"/>
    </row>
    <row r="7189" spans="1:8" x14ac:dyDescent="0.3">
      <c r="A7189" s="55"/>
      <c r="B7189" s="257"/>
      <c r="C7189" s="20"/>
      <c r="D7189" s="86"/>
      <c r="E7189" s="55"/>
      <c r="F7189" s="55"/>
      <c r="G7189" s="55"/>
      <c r="H7189" s="55"/>
    </row>
    <row r="7190" spans="1:8" x14ac:dyDescent="0.3">
      <c r="A7190" s="364"/>
      <c r="H7190" s="365"/>
    </row>
    <row r="7191" spans="1:8" x14ac:dyDescent="0.3">
      <c r="A7191" s="366"/>
      <c r="B7191" s="363"/>
      <c r="C7191" s="362"/>
      <c r="D7191" s="89"/>
      <c r="E7191" s="24"/>
      <c r="F7191" s="189"/>
      <c r="G7191" s="189"/>
      <c r="H7191" s="367"/>
    </row>
    <row r="7192" spans="1:8" x14ac:dyDescent="0.3">
      <c r="A7192" s="27"/>
      <c r="B7192" s="88"/>
      <c r="C7192" s="24"/>
      <c r="D7192" s="24"/>
      <c r="E7192" s="24"/>
      <c r="F7192" s="24"/>
      <c r="G7192" s="24"/>
      <c r="H7192" s="281"/>
    </row>
    <row r="7193" spans="1:8" x14ac:dyDescent="0.3">
      <c r="A7193" s="364"/>
      <c r="H7193" s="365"/>
    </row>
    <row r="7194" spans="1:8" x14ac:dyDescent="0.3">
      <c r="A7194" s="27"/>
      <c r="B7194" s="363"/>
      <c r="C7194" s="24"/>
      <c r="D7194" s="24"/>
      <c r="E7194" s="24"/>
      <c r="F7194" s="24"/>
      <c r="G7194" s="24"/>
      <c r="H7194" s="281"/>
    </row>
    <row r="7195" spans="1:8" x14ac:dyDescent="0.3">
      <c r="A7195" s="173"/>
      <c r="B7195" s="88"/>
      <c r="C7195" s="206"/>
      <c r="D7195" s="89"/>
      <c r="E7195" s="207"/>
      <c r="F7195" s="25"/>
      <c r="G7195" s="25"/>
      <c r="H7195" s="32"/>
    </row>
    <row r="7196" spans="1:8" x14ac:dyDescent="0.3">
      <c r="A7196" s="173"/>
      <c r="B7196" s="88"/>
      <c r="C7196" s="206"/>
      <c r="D7196" s="89"/>
      <c r="E7196" s="25"/>
      <c r="F7196" s="25"/>
      <c r="G7196" s="25"/>
      <c r="H7196" s="32"/>
    </row>
    <row r="7197" spans="1:8" x14ac:dyDescent="0.3">
      <c r="A7197" s="27"/>
      <c r="B7197" s="88"/>
      <c r="C7197" s="24"/>
      <c r="D7197" s="89"/>
      <c r="E7197" s="25"/>
      <c r="F7197" s="25"/>
      <c r="G7197" s="25"/>
      <c r="H7197" s="32"/>
    </row>
    <row r="7198" spans="1:8" x14ac:dyDescent="0.3">
      <c r="A7198" s="27"/>
      <c r="B7198" s="28"/>
      <c r="C7198" s="24"/>
      <c r="D7198" s="25"/>
      <c r="E7198" s="25"/>
      <c r="F7198" s="28"/>
      <c r="G7198" s="28"/>
      <c r="H7198" s="32"/>
    </row>
    <row r="7199" spans="1:8" ht="15.6" x14ac:dyDescent="0.3">
      <c r="A7199" s="448" t="s">
        <v>45</v>
      </c>
      <c r="B7199" s="449"/>
      <c r="C7199" s="24"/>
      <c r="D7199" s="25"/>
      <c r="E7199" s="25"/>
      <c r="F7199" s="447" t="s">
        <v>46</v>
      </c>
      <c r="G7199" s="447"/>
      <c r="H7199" s="66">
        <v>36000</v>
      </c>
    </row>
    <row r="7200" spans="1:8" ht="15.6" x14ac:dyDescent="0.3">
      <c r="A7200" s="497" t="s">
        <v>1315</v>
      </c>
      <c r="B7200" s="498"/>
      <c r="C7200" s="498"/>
      <c r="D7200" s="498"/>
      <c r="E7200" s="498"/>
      <c r="F7200" s="447" t="s">
        <v>47</v>
      </c>
      <c r="G7200" s="447"/>
      <c r="H7200" s="66">
        <f>H7199*9%</f>
        <v>3240</v>
      </c>
    </row>
    <row r="7201" spans="1:8" ht="15.6" x14ac:dyDescent="0.3">
      <c r="A7201" s="27"/>
      <c r="B7201" s="28"/>
      <c r="C7201" s="24"/>
      <c r="D7201" s="25"/>
      <c r="E7201" s="25"/>
      <c r="F7201" s="447" t="s">
        <v>48</v>
      </c>
      <c r="G7201" s="447"/>
      <c r="H7201" s="66">
        <f>H7200</f>
        <v>3240</v>
      </c>
    </row>
    <row r="7202" spans="1:8" ht="15.6" x14ac:dyDescent="0.3">
      <c r="A7202" s="64" t="s">
        <v>49</v>
      </c>
      <c r="B7202" s="65"/>
      <c r="C7202" s="24"/>
      <c r="D7202" s="25"/>
      <c r="E7202" s="25"/>
      <c r="F7202" s="447" t="s">
        <v>50</v>
      </c>
      <c r="G7202" s="447"/>
      <c r="H7202" s="66">
        <v>42480</v>
      </c>
    </row>
    <row r="7203" spans="1:8" ht="27" x14ac:dyDescent="0.3">
      <c r="A7203" s="68" t="s">
        <v>22</v>
      </c>
      <c r="B7203" s="30" t="s">
        <v>51</v>
      </c>
      <c r="C7203" s="70" t="s">
        <v>24</v>
      </c>
      <c r="D7203" s="31" t="s">
        <v>25</v>
      </c>
      <c r="E7203" s="450" t="s">
        <v>52</v>
      </c>
      <c r="F7203" s="450"/>
      <c r="G7203" s="28"/>
      <c r="H7203" s="32"/>
    </row>
    <row r="7204" spans="1:8" x14ac:dyDescent="0.3">
      <c r="A7204" s="72">
        <v>0.18</v>
      </c>
      <c r="B7204" s="73">
        <f>H7199</f>
        <v>36000</v>
      </c>
      <c r="C7204" s="91">
        <f>H7200</f>
        <v>3240</v>
      </c>
      <c r="D7204" s="91">
        <f>H7200</f>
        <v>3240</v>
      </c>
      <c r="E7204" s="506">
        <f>C7204+D7204</f>
        <v>6480</v>
      </c>
      <c r="F7204" s="507"/>
      <c r="G7204" s="74"/>
      <c r="H7204" s="75"/>
    </row>
    <row r="7205" spans="1:8" x14ac:dyDescent="0.3">
      <c r="A7205" s="508" t="s">
        <v>1316</v>
      </c>
      <c r="B7205" s="509"/>
      <c r="C7205" s="509"/>
      <c r="D7205" s="509"/>
      <c r="E7205" s="453"/>
      <c r="F7205" s="453"/>
      <c r="G7205" s="453"/>
      <c r="H7205" s="454"/>
    </row>
    <row r="7206" spans="1:8" ht="15.6" x14ac:dyDescent="0.3">
      <c r="A7206" s="455" t="s">
        <v>53</v>
      </c>
      <c r="B7206" s="456"/>
      <c r="C7206" s="456"/>
      <c r="D7206" s="457"/>
      <c r="E7206" s="458" t="s">
        <v>54</v>
      </c>
      <c r="F7206" s="459"/>
      <c r="G7206" s="459"/>
      <c r="H7206" s="460"/>
    </row>
    <row r="7207" spans="1:8" x14ac:dyDescent="0.3">
      <c r="A7207" s="461" t="s">
        <v>55</v>
      </c>
      <c r="B7207" s="462"/>
      <c r="C7207" s="462"/>
      <c r="D7207" s="463"/>
      <c r="E7207" s="39"/>
      <c r="F7207" s="28"/>
      <c r="G7207" s="28"/>
      <c r="H7207" s="32"/>
    </row>
    <row r="7208" spans="1:8" x14ac:dyDescent="0.3">
      <c r="A7208" s="461" t="s">
        <v>56</v>
      </c>
      <c r="B7208" s="462"/>
      <c r="C7208" s="462"/>
      <c r="D7208" s="463"/>
      <c r="E7208" s="39"/>
      <c r="F7208" s="28"/>
      <c r="G7208" s="28"/>
      <c r="H7208" s="32"/>
    </row>
    <row r="7209" spans="1:8" x14ac:dyDescent="0.3">
      <c r="A7209" s="461" t="s">
        <v>57</v>
      </c>
      <c r="B7209" s="462"/>
      <c r="C7209" s="462"/>
      <c r="D7209" s="463"/>
      <c r="E7209" s="39"/>
      <c r="F7209" s="28"/>
      <c r="G7209" s="28"/>
      <c r="H7209" s="32"/>
    </row>
    <row r="7210" spans="1:8" ht="15.6" x14ac:dyDescent="0.3">
      <c r="A7210" s="464" t="s">
        <v>58</v>
      </c>
      <c r="B7210" s="465"/>
      <c r="C7210" s="465"/>
      <c r="D7210" s="465"/>
      <c r="E7210" s="466" t="s">
        <v>59</v>
      </c>
      <c r="F7210" s="467"/>
      <c r="G7210" s="467"/>
      <c r="H7210" s="468"/>
    </row>
    <row r="7214" spans="1:8" ht="44.4" x14ac:dyDescent="0.7">
      <c r="A7214" s="469" t="s">
        <v>0</v>
      </c>
      <c r="B7214" s="470"/>
      <c r="C7214" s="470"/>
      <c r="D7214" s="470"/>
      <c r="E7214" s="531" t="s">
        <v>1</v>
      </c>
      <c r="F7214" s="544"/>
      <c r="G7214" s="544"/>
      <c r="H7214" s="545"/>
    </row>
    <row r="7215" spans="1:8" ht="20.399999999999999" x14ac:dyDescent="0.35">
      <c r="A7215" s="1"/>
      <c r="B7215" s="649" t="s">
        <v>2</v>
      </c>
      <c r="C7215" s="649"/>
      <c r="D7215" s="649"/>
      <c r="E7215" s="546"/>
      <c r="F7215" s="546"/>
      <c r="G7215" s="546"/>
      <c r="H7215" s="547"/>
    </row>
    <row r="7216" spans="1:8" x14ac:dyDescent="0.3">
      <c r="A7216" s="477" t="s">
        <v>3</v>
      </c>
      <c r="B7216" s="478"/>
      <c r="C7216" s="479" t="s">
        <v>4</v>
      </c>
      <c r="D7216" s="479"/>
      <c r="E7216" s="650" t="s">
        <v>5</v>
      </c>
      <c r="F7216" s="650"/>
      <c r="G7216" s="650"/>
      <c r="H7216" s="650"/>
    </row>
    <row r="7217" spans="1:8" ht="15.6" x14ac:dyDescent="0.3">
      <c r="A7217" s="138" t="s">
        <v>6</v>
      </c>
      <c r="B7217" s="5"/>
      <c r="C7217" s="481" t="s">
        <v>7</v>
      </c>
      <c r="D7217" s="481"/>
      <c r="E7217" s="482">
        <v>157</v>
      </c>
      <c r="F7217" s="482"/>
      <c r="G7217" s="44" t="s">
        <v>8</v>
      </c>
      <c r="H7217" s="381">
        <v>45942</v>
      </c>
    </row>
    <row r="7218" spans="1:8" ht="15.6" x14ac:dyDescent="0.3">
      <c r="A7218" s="108" t="s">
        <v>576</v>
      </c>
      <c r="B7218" s="284"/>
      <c r="C7218" s="481" t="s">
        <v>10</v>
      </c>
      <c r="D7218" s="481"/>
      <c r="E7218" s="482"/>
      <c r="F7218" s="482"/>
      <c r="G7218" s="44" t="s">
        <v>8</v>
      </c>
      <c r="H7218" s="6"/>
    </row>
    <row r="7219" spans="1:8" ht="15" x14ac:dyDescent="0.3">
      <c r="A7219" s="517" t="s">
        <v>577</v>
      </c>
      <c r="B7219" s="553"/>
      <c r="C7219" s="519" t="s">
        <v>12</v>
      </c>
      <c r="D7219" s="519"/>
      <c r="E7219" s="727"/>
      <c r="F7219" s="728"/>
      <c r="G7219" s="48" t="s">
        <v>8</v>
      </c>
      <c r="H7219" s="11"/>
    </row>
    <row r="7220" spans="1:8" ht="15.6" x14ac:dyDescent="0.3">
      <c r="A7220" s="595" t="s">
        <v>578</v>
      </c>
      <c r="B7220" s="553"/>
      <c r="C7220" s="481" t="s">
        <v>15</v>
      </c>
      <c r="D7220" s="481"/>
      <c r="E7220" s="631" t="s">
        <v>579</v>
      </c>
      <c r="F7220" s="632"/>
      <c r="G7220" s="633"/>
      <c r="H7220" s="49"/>
    </row>
    <row r="7221" spans="1:8" ht="15.6" x14ac:dyDescent="0.3">
      <c r="A7221" s="678" t="s">
        <v>580</v>
      </c>
      <c r="B7221" s="679"/>
      <c r="C7221" s="24"/>
      <c r="D7221" s="25"/>
      <c r="E7221" s="50"/>
      <c r="F7221" s="50"/>
      <c r="G7221" s="51"/>
      <c r="H7221" s="52"/>
    </row>
    <row r="7222" spans="1:8" ht="15" x14ac:dyDescent="0.3">
      <c r="A7222" s="492" t="s">
        <v>17</v>
      </c>
      <c r="B7222" s="494" t="s">
        <v>18</v>
      </c>
      <c r="C7222" s="494" t="s">
        <v>19</v>
      </c>
      <c r="D7222" s="494" t="s">
        <v>20</v>
      </c>
      <c r="E7222" s="494" t="s">
        <v>21</v>
      </c>
      <c r="F7222" s="494" t="s">
        <v>22</v>
      </c>
      <c r="G7222" s="494"/>
      <c r="H7222" s="492" t="s">
        <v>23</v>
      </c>
    </row>
    <row r="7223" spans="1:8" ht="27.6" x14ac:dyDescent="0.3">
      <c r="A7223" s="492"/>
      <c r="B7223" s="494"/>
      <c r="C7223" s="494"/>
      <c r="D7223" s="494"/>
      <c r="E7223" s="494"/>
      <c r="F7223" s="53" t="s">
        <v>24</v>
      </c>
      <c r="G7223" s="53" t="s">
        <v>25</v>
      </c>
      <c r="H7223" s="492"/>
    </row>
    <row r="7224" spans="1:8" ht="28.8" x14ac:dyDescent="0.3">
      <c r="A7224" s="57">
        <v>1</v>
      </c>
      <c r="B7224" s="113" t="s">
        <v>1317</v>
      </c>
      <c r="C7224" s="57">
        <v>1</v>
      </c>
      <c r="D7224" s="56">
        <v>998719</v>
      </c>
      <c r="E7224" s="57">
        <v>25000</v>
      </c>
      <c r="F7224" s="58">
        <f>C7224*E7224*9%</f>
        <v>2250</v>
      </c>
      <c r="G7224" s="58">
        <f>C7224*E7224*9%</f>
        <v>2250</v>
      </c>
      <c r="H7224" s="59">
        <f>C7224*E7224+F7224+G7224</f>
        <v>29500</v>
      </c>
    </row>
    <row r="7225" spans="1:8" x14ac:dyDescent="0.3">
      <c r="A7225" s="55"/>
      <c r="B7225" s="113"/>
      <c r="C7225" s="55"/>
      <c r="D7225" s="56"/>
      <c r="E7225" s="55"/>
      <c r="F7225" s="93"/>
      <c r="G7225" s="93"/>
      <c r="H7225" s="62"/>
    </row>
    <row r="7226" spans="1:8" x14ac:dyDescent="0.3">
      <c r="A7226" s="55"/>
      <c r="B7226" s="113"/>
      <c r="C7226" s="55"/>
      <c r="D7226" s="56"/>
      <c r="E7226" s="55"/>
      <c r="F7226" s="93"/>
      <c r="G7226" s="93"/>
      <c r="H7226" s="62"/>
    </row>
    <row r="7227" spans="1:8" x14ac:dyDescent="0.3">
      <c r="A7227" s="55"/>
      <c r="B7227" s="285"/>
      <c r="C7227" s="55"/>
      <c r="D7227" s="61"/>
      <c r="E7227" s="55"/>
      <c r="F7227" s="286"/>
      <c r="G7227" s="286"/>
      <c r="H7227" s="55"/>
    </row>
    <row r="7228" spans="1:8" x14ac:dyDescent="0.3">
      <c r="A7228" s="55"/>
      <c r="B7228" s="285"/>
      <c r="C7228" s="55"/>
      <c r="D7228" s="61"/>
      <c r="E7228" s="55"/>
      <c r="F7228" s="286"/>
      <c r="G7228" s="286"/>
      <c r="H7228" s="55"/>
    </row>
    <row r="7229" spans="1:8" x14ac:dyDescent="0.3">
      <c r="A7229" s="55"/>
      <c r="B7229" s="60"/>
      <c r="C7229" s="55"/>
      <c r="D7229" s="61"/>
      <c r="E7229" s="57"/>
      <c r="F7229" s="115"/>
      <c r="G7229" s="115"/>
      <c r="H7229" s="57"/>
    </row>
    <row r="7230" spans="1:8" x14ac:dyDescent="0.3">
      <c r="A7230" s="55"/>
      <c r="B7230" s="60"/>
      <c r="C7230" s="55"/>
      <c r="D7230" s="56"/>
      <c r="E7230" s="57"/>
      <c r="F7230" s="115"/>
      <c r="G7230" s="115"/>
      <c r="H7230" s="57"/>
    </row>
    <row r="7231" spans="1:8" x14ac:dyDescent="0.3">
      <c r="A7231" s="55"/>
      <c r="B7231" s="60"/>
      <c r="C7231" s="55"/>
      <c r="D7231" s="56"/>
      <c r="E7231" s="57"/>
      <c r="F7231" s="115"/>
      <c r="G7231" s="115"/>
      <c r="H7231" s="57"/>
    </row>
    <row r="7232" spans="1:8" x14ac:dyDescent="0.3">
      <c r="A7232" s="55"/>
      <c r="B7232" s="94"/>
      <c r="C7232" s="55"/>
      <c r="D7232" s="47"/>
      <c r="E7232" s="47"/>
      <c r="F7232" s="115"/>
      <c r="G7232" s="115"/>
      <c r="H7232" s="47"/>
    </row>
    <row r="7233" spans="1:8" x14ac:dyDescent="0.3">
      <c r="A7233" s="27"/>
      <c r="B7233" s="28"/>
      <c r="C7233" s="24"/>
      <c r="D7233" s="25"/>
      <c r="E7233" s="25"/>
      <c r="F7233" s="282"/>
      <c r="G7233" s="282"/>
      <c r="H7233" s="32"/>
    </row>
    <row r="7234" spans="1:8" x14ac:dyDescent="0.3">
      <c r="A7234" s="27"/>
      <c r="B7234" s="28"/>
      <c r="C7234" s="24"/>
      <c r="D7234" s="25"/>
      <c r="E7234" s="25"/>
      <c r="F7234" s="282"/>
      <c r="G7234" s="282"/>
      <c r="H7234" s="32"/>
    </row>
    <row r="7235" spans="1:8" x14ac:dyDescent="0.3">
      <c r="A7235" s="27"/>
      <c r="B7235" s="28"/>
      <c r="C7235" s="24"/>
      <c r="D7235" s="25"/>
      <c r="E7235" s="25"/>
      <c r="F7235" s="282"/>
      <c r="G7235" s="282"/>
      <c r="H7235" s="32"/>
    </row>
    <row r="7236" spans="1:8" x14ac:dyDescent="0.3">
      <c r="A7236" s="27"/>
      <c r="B7236" s="28"/>
      <c r="C7236" s="24"/>
      <c r="D7236" s="25"/>
      <c r="E7236" s="25"/>
      <c r="F7236" s="282"/>
      <c r="G7236" s="282"/>
      <c r="H7236" s="32"/>
    </row>
    <row r="7237" spans="1:8" x14ac:dyDescent="0.3">
      <c r="A7237" s="27"/>
      <c r="B7237" s="28"/>
      <c r="C7237" s="24"/>
      <c r="D7237" s="25"/>
      <c r="E7237" s="25"/>
      <c r="F7237" s="282"/>
      <c r="G7237" s="282"/>
      <c r="H7237" s="32"/>
    </row>
    <row r="7238" spans="1:8" x14ac:dyDescent="0.3">
      <c r="A7238" s="27"/>
      <c r="B7238" s="28"/>
      <c r="C7238" s="24"/>
      <c r="D7238" s="25"/>
      <c r="E7238" s="25"/>
      <c r="F7238" s="282"/>
      <c r="G7238" s="282"/>
      <c r="H7238" s="32"/>
    </row>
    <row r="7239" spans="1:8" x14ac:dyDescent="0.3">
      <c r="A7239" s="27"/>
      <c r="B7239" s="28"/>
      <c r="C7239" s="24"/>
      <c r="D7239" s="25"/>
      <c r="E7239" s="25"/>
      <c r="F7239" s="25"/>
      <c r="G7239" s="28"/>
      <c r="H7239" s="32"/>
    </row>
    <row r="7240" spans="1:8" x14ac:dyDescent="0.3">
      <c r="A7240" s="27"/>
      <c r="B7240" s="28"/>
      <c r="C7240" s="24"/>
      <c r="D7240" s="25"/>
      <c r="E7240" s="25"/>
      <c r="F7240" s="25"/>
      <c r="G7240" s="28"/>
      <c r="H7240" s="32"/>
    </row>
    <row r="7241" spans="1:8" x14ac:dyDescent="0.3">
      <c r="A7241" s="27"/>
      <c r="B7241" s="28"/>
      <c r="C7241" s="24"/>
      <c r="D7241" s="25"/>
      <c r="E7241" s="25"/>
      <c r="F7241" s="25"/>
      <c r="G7241" s="28"/>
      <c r="H7241" s="32"/>
    </row>
    <row r="7242" spans="1:8" x14ac:dyDescent="0.3">
      <c r="A7242" s="27"/>
      <c r="B7242" s="28"/>
      <c r="C7242" s="24"/>
      <c r="D7242" s="25"/>
      <c r="E7242" s="25"/>
      <c r="F7242" s="25"/>
      <c r="G7242" s="28"/>
      <c r="H7242" s="32"/>
    </row>
    <row r="7243" spans="1:8" x14ac:dyDescent="0.3">
      <c r="A7243" s="27"/>
      <c r="B7243" s="28"/>
      <c r="C7243" s="24"/>
      <c r="D7243" s="25"/>
      <c r="E7243" s="25"/>
      <c r="F7243" s="25"/>
      <c r="G7243" s="28"/>
      <c r="H7243" s="32"/>
    </row>
    <row r="7244" spans="1:8" x14ac:dyDescent="0.3">
      <c r="A7244" s="27"/>
      <c r="B7244" s="28"/>
      <c r="C7244" s="24"/>
      <c r="D7244" s="25"/>
      <c r="E7244" s="25"/>
      <c r="F7244" s="25"/>
      <c r="G7244" s="28"/>
      <c r="H7244" s="32"/>
    </row>
    <row r="7245" spans="1:8" x14ac:dyDescent="0.3">
      <c r="A7245" s="27"/>
      <c r="B7245" s="28"/>
      <c r="C7245" s="24"/>
      <c r="D7245" s="25"/>
      <c r="E7245" s="25"/>
      <c r="F7245" s="25"/>
      <c r="G7245" s="28"/>
      <c r="H7245" s="32"/>
    </row>
    <row r="7246" spans="1:8" ht="15.6" x14ac:dyDescent="0.3">
      <c r="A7246" s="497" t="s">
        <v>97</v>
      </c>
      <c r="B7246" s="498"/>
      <c r="C7246" s="24"/>
      <c r="D7246" s="25"/>
      <c r="E7246" s="25"/>
      <c r="F7246" s="116" t="s">
        <v>46</v>
      </c>
      <c r="G7246" s="26"/>
      <c r="H7246" s="66">
        <v>25000</v>
      </c>
    </row>
    <row r="7247" spans="1:8" ht="15.6" x14ac:dyDescent="0.3">
      <c r="A7247" s="497" t="s">
        <v>1318</v>
      </c>
      <c r="B7247" s="498"/>
      <c r="C7247" s="498"/>
      <c r="D7247" s="498"/>
      <c r="E7247" s="67"/>
      <c r="F7247" s="116" t="s">
        <v>47</v>
      </c>
      <c r="G7247" s="26"/>
      <c r="H7247" s="66">
        <f>H7246*9%</f>
        <v>2250</v>
      </c>
    </row>
    <row r="7248" spans="1:8" ht="15.6" x14ac:dyDescent="0.3">
      <c r="A7248" s="27"/>
      <c r="B7248" s="28"/>
      <c r="C7248" s="24"/>
      <c r="D7248" s="25"/>
      <c r="E7248" s="25"/>
      <c r="F7248" s="116" t="s">
        <v>48</v>
      </c>
      <c r="G7248" s="26"/>
      <c r="H7248" s="66">
        <f>H7246*9%</f>
        <v>2250</v>
      </c>
    </row>
    <row r="7249" spans="1:8" ht="15.6" x14ac:dyDescent="0.3">
      <c r="A7249" s="497" t="s">
        <v>49</v>
      </c>
      <c r="B7249" s="498"/>
      <c r="C7249" s="498"/>
      <c r="D7249" s="25"/>
      <c r="E7249" s="25"/>
      <c r="F7249" s="116" t="s">
        <v>50</v>
      </c>
      <c r="G7249" s="26"/>
      <c r="H7249" s="66">
        <f>H7246+H7248+H7247</f>
        <v>29500</v>
      </c>
    </row>
    <row r="7250" spans="1:8" ht="27" x14ac:dyDescent="0.3">
      <c r="A7250" s="68" t="s">
        <v>22</v>
      </c>
      <c r="B7250" s="69" t="s">
        <v>51</v>
      </c>
      <c r="C7250" s="70" t="s">
        <v>24</v>
      </c>
      <c r="D7250" s="31" t="s">
        <v>25</v>
      </c>
      <c r="E7250" s="528" t="s">
        <v>52</v>
      </c>
      <c r="F7250" s="528"/>
      <c r="G7250" s="28"/>
      <c r="H7250" s="32"/>
    </row>
    <row r="7251" spans="1:8" x14ac:dyDescent="0.3">
      <c r="A7251" s="72">
        <v>0.18</v>
      </c>
      <c r="B7251" s="73">
        <f>H7246</f>
        <v>25000</v>
      </c>
      <c r="C7251" s="74">
        <f>H7247</f>
        <v>2250</v>
      </c>
      <c r="D7251" s="74">
        <f>H7248</f>
        <v>2250</v>
      </c>
      <c r="E7251" s="507">
        <f>C7251+D7251</f>
        <v>4500</v>
      </c>
      <c r="F7251" s="507"/>
      <c r="G7251" s="74"/>
      <c r="H7251" s="75"/>
    </row>
    <row r="7252" spans="1:8" x14ac:dyDescent="0.3">
      <c r="A7252" s="452" t="s">
        <v>1319</v>
      </c>
      <c r="B7252" s="453"/>
      <c r="C7252" s="453"/>
      <c r="D7252" s="453"/>
      <c r="E7252" s="453"/>
      <c r="F7252" s="78"/>
      <c r="G7252" s="36"/>
      <c r="H7252" s="79"/>
    </row>
    <row r="7253" spans="1:8" ht="15.6" x14ac:dyDescent="0.3">
      <c r="A7253" s="455" t="s">
        <v>53</v>
      </c>
      <c r="B7253" s="456"/>
      <c r="C7253" s="456"/>
      <c r="D7253" s="457"/>
      <c r="E7253" s="458" t="s">
        <v>54</v>
      </c>
      <c r="F7253" s="459"/>
      <c r="G7253" s="459"/>
      <c r="H7253" s="460"/>
    </row>
    <row r="7254" spans="1:8" x14ac:dyDescent="0.3">
      <c r="A7254" s="461" t="s">
        <v>55</v>
      </c>
      <c r="B7254" s="462"/>
      <c r="C7254" s="462"/>
      <c r="D7254" s="463"/>
      <c r="E7254" s="25"/>
      <c r="F7254" s="25"/>
      <c r="G7254" s="28"/>
      <c r="H7254" s="32"/>
    </row>
    <row r="7255" spans="1:8" x14ac:dyDescent="0.3">
      <c r="A7255" s="461" t="s">
        <v>56</v>
      </c>
      <c r="B7255" s="462"/>
      <c r="C7255" s="462"/>
      <c r="D7255" s="463"/>
      <c r="E7255" s="25"/>
      <c r="F7255" s="25"/>
      <c r="G7255" s="28"/>
      <c r="H7255" s="32"/>
    </row>
    <row r="7256" spans="1:8" x14ac:dyDescent="0.3">
      <c r="A7256" s="461" t="s">
        <v>57</v>
      </c>
      <c r="B7256" s="462"/>
      <c r="C7256" s="462"/>
      <c r="D7256" s="463"/>
      <c r="E7256" s="25"/>
      <c r="F7256" s="25"/>
      <c r="G7256" s="28"/>
      <c r="H7256" s="32"/>
    </row>
    <row r="7257" spans="1:8" ht="15.6" x14ac:dyDescent="0.3">
      <c r="A7257" s="464" t="s">
        <v>58</v>
      </c>
      <c r="B7257" s="465"/>
      <c r="C7257" s="465"/>
      <c r="D7257" s="510"/>
      <c r="E7257" s="466" t="s">
        <v>59</v>
      </c>
      <c r="F7257" s="467"/>
      <c r="G7257" s="467"/>
      <c r="H7257" s="468"/>
    </row>
    <row r="7260" spans="1:8" ht="44.4" x14ac:dyDescent="0.7">
      <c r="A7260" s="469" t="s">
        <v>0</v>
      </c>
      <c r="B7260" s="470"/>
      <c r="C7260" s="470"/>
      <c r="D7260" s="470"/>
      <c r="E7260" s="531" t="s">
        <v>1</v>
      </c>
      <c r="F7260" s="544"/>
      <c r="G7260" s="544"/>
      <c r="H7260" s="545"/>
    </row>
    <row r="7261" spans="1:8" ht="20.399999999999999" x14ac:dyDescent="0.35">
      <c r="A7261" s="1"/>
      <c r="B7261" s="649" t="s">
        <v>2</v>
      </c>
      <c r="C7261" s="649"/>
      <c r="D7261" s="649"/>
      <c r="E7261" s="546"/>
      <c r="F7261" s="546"/>
      <c r="G7261" s="546"/>
      <c r="H7261" s="547"/>
    </row>
    <row r="7262" spans="1:8" x14ac:dyDescent="0.3">
      <c r="A7262" s="477" t="s">
        <v>3</v>
      </c>
      <c r="B7262" s="478"/>
      <c r="C7262" s="479" t="s">
        <v>4</v>
      </c>
      <c r="D7262" s="479"/>
      <c r="E7262" s="650" t="s">
        <v>5</v>
      </c>
      <c r="F7262" s="650"/>
      <c r="G7262" s="650"/>
      <c r="H7262" s="650"/>
    </row>
    <row r="7263" spans="1:8" ht="15.6" x14ac:dyDescent="0.3">
      <c r="A7263" s="138" t="s">
        <v>6</v>
      </c>
      <c r="B7263" s="5"/>
      <c r="C7263" s="481" t="s">
        <v>7</v>
      </c>
      <c r="D7263" s="481"/>
      <c r="E7263" s="482">
        <v>158</v>
      </c>
      <c r="F7263" s="482"/>
      <c r="G7263" s="44" t="s">
        <v>8</v>
      </c>
      <c r="H7263" s="381" t="s">
        <v>1320</v>
      </c>
    </row>
    <row r="7264" spans="1:8" ht="15.6" x14ac:dyDescent="0.3">
      <c r="A7264" s="108" t="s">
        <v>1321</v>
      </c>
      <c r="B7264" s="284"/>
      <c r="C7264" s="481" t="s">
        <v>10</v>
      </c>
      <c r="D7264" s="481"/>
      <c r="E7264" s="482"/>
      <c r="F7264" s="482"/>
      <c r="G7264" s="44" t="s">
        <v>8</v>
      </c>
      <c r="H7264" s="6"/>
    </row>
    <row r="7265" spans="1:8" ht="15" x14ac:dyDescent="0.3">
      <c r="A7265" s="517" t="s">
        <v>1322</v>
      </c>
      <c r="B7265" s="553"/>
      <c r="C7265" s="519" t="s">
        <v>12</v>
      </c>
      <c r="D7265" s="519"/>
      <c r="E7265" s="727"/>
      <c r="F7265" s="728"/>
      <c r="G7265" s="48" t="s">
        <v>8</v>
      </c>
      <c r="H7265" s="11"/>
    </row>
    <row r="7266" spans="1:8" ht="15.6" x14ac:dyDescent="0.3">
      <c r="A7266" s="595"/>
      <c r="B7266" s="553"/>
      <c r="C7266" s="481" t="s">
        <v>15</v>
      </c>
      <c r="D7266" s="481"/>
      <c r="E7266" s="631" t="s">
        <v>1323</v>
      </c>
      <c r="F7266" s="632"/>
      <c r="G7266" s="633"/>
      <c r="H7266" s="49"/>
    </row>
    <row r="7267" spans="1:8" ht="15.6" x14ac:dyDescent="0.3">
      <c r="A7267" s="678"/>
      <c r="B7267" s="679"/>
      <c r="C7267" s="24"/>
      <c r="D7267" s="25"/>
      <c r="E7267" s="50"/>
      <c r="F7267" s="50"/>
      <c r="G7267" s="51"/>
      <c r="H7267" s="52"/>
    </row>
    <row r="7268" spans="1:8" ht="15" x14ac:dyDescent="0.3">
      <c r="A7268" s="492" t="s">
        <v>17</v>
      </c>
      <c r="B7268" s="494" t="s">
        <v>18</v>
      </c>
      <c r="C7268" s="494" t="s">
        <v>19</v>
      </c>
      <c r="D7268" s="494" t="s">
        <v>20</v>
      </c>
      <c r="E7268" s="494" t="s">
        <v>21</v>
      </c>
      <c r="F7268" s="494" t="s">
        <v>22</v>
      </c>
      <c r="G7268" s="494"/>
      <c r="H7268" s="492" t="s">
        <v>23</v>
      </c>
    </row>
    <row r="7269" spans="1:8" ht="27.6" x14ac:dyDescent="0.3">
      <c r="A7269" s="492"/>
      <c r="B7269" s="494"/>
      <c r="C7269" s="494"/>
      <c r="D7269" s="494"/>
      <c r="E7269" s="494"/>
      <c r="F7269" s="53" t="s">
        <v>24</v>
      </c>
      <c r="G7269" s="53" t="s">
        <v>25</v>
      </c>
      <c r="H7269" s="492"/>
    </row>
    <row r="7270" spans="1:8" x14ac:dyDescent="0.3">
      <c r="A7270" s="57">
        <v>1</v>
      </c>
      <c r="B7270" s="113" t="s">
        <v>1324</v>
      </c>
      <c r="C7270" s="57">
        <v>1</v>
      </c>
      <c r="D7270" s="56">
        <v>998719</v>
      </c>
      <c r="E7270" s="57">
        <v>4000</v>
      </c>
      <c r="F7270" s="58">
        <f>C7270*E7270*9%</f>
        <v>360</v>
      </c>
      <c r="G7270" s="58">
        <f>C7270*E7270*9%</f>
        <v>360</v>
      </c>
      <c r="H7270" s="59">
        <f>C7270*E7270+F7270+G7270</f>
        <v>4720</v>
      </c>
    </row>
    <row r="7271" spans="1:8" x14ac:dyDescent="0.3">
      <c r="A7271" s="55"/>
      <c r="B7271" s="113"/>
      <c r="C7271" s="55"/>
      <c r="D7271" s="56"/>
      <c r="E7271" s="55"/>
      <c r="F7271" s="93"/>
      <c r="G7271" s="93"/>
      <c r="H7271" s="62"/>
    </row>
    <row r="7272" spans="1:8" x14ac:dyDescent="0.3">
      <c r="A7272" s="55"/>
      <c r="B7272" s="113"/>
      <c r="C7272" s="55"/>
      <c r="D7272" s="56"/>
      <c r="E7272" s="55"/>
      <c r="F7272" s="93"/>
      <c r="G7272" s="93"/>
      <c r="H7272" s="62"/>
    </row>
    <row r="7273" spans="1:8" x14ac:dyDescent="0.3">
      <c r="A7273" s="55"/>
      <c r="B7273" s="285"/>
      <c r="C7273" s="55"/>
      <c r="D7273" s="61"/>
      <c r="E7273" s="55"/>
      <c r="F7273" s="286"/>
      <c r="G7273" s="286"/>
      <c r="H7273" s="55"/>
    </row>
    <row r="7274" spans="1:8" x14ac:dyDescent="0.3">
      <c r="A7274" s="55"/>
      <c r="B7274" s="285"/>
      <c r="C7274" s="55"/>
      <c r="D7274" s="61"/>
      <c r="E7274" s="55"/>
      <c r="F7274" s="286"/>
      <c r="G7274" s="286"/>
      <c r="H7274" s="55"/>
    </row>
    <row r="7275" spans="1:8" x14ac:dyDescent="0.3">
      <c r="A7275" s="55"/>
      <c r="B7275" s="60"/>
      <c r="C7275" s="55"/>
      <c r="D7275" s="61"/>
      <c r="E7275" s="57"/>
      <c r="F7275" s="115"/>
      <c r="G7275" s="115"/>
      <c r="H7275" s="57"/>
    </row>
    <row r="7276" spans="1:8" x14ac:dyDescent="0.3">
      <c r="A7276" s="55"/>
      <c r="B7276" s="60"/>
      <c r="C7276" s="55"/>
      <c r="D7276" s="56"/>
      <c r="E7276" s="57"/>
      <c r="F7276" s="115"/>
      <c r="G7276" s="115"/>
      <c r="H7276" s="57"/>
    </row>
    <row r="7277" spans="1:8" x14ac:dyDescent="0.3">
      <c r="A7277" s="55"/>
      <c r="B7277" s="60"/>
      <c r="C7277" s="55"/>
      <c r="D7277" s="56"/>
      <c r="E7277" s="57"/>
      <c r="F7277" s="115"/>
      <c r="G7277" s="115"/>
      <c r="H7277" s="57"/>
    </row>
    <row r="7278" spans="1:8" x14ac:dyDescent="0.3">
      <c r="A7278" s="55"/>
      <c r="B7278" s="94"/>
      <c r="C7278" s="55"/>
      <c r="D7278" s="47"/>
      <c r="E7278" s="47"/>
      <c r="F7278" s="115"/>
      <c r="G7278" s="115"/>
      <c r="H7278" s="47"/>
    </row>
    <row r="7279" spans="1:8" x14ac:dyDescent="0.3">
      <c r="A7279" s="27"/>
      <c r="B7279" s="28"/>
      <c r="C7279" s="24"/>
      <c r="D7279" s="25"/>
      <c r="E7279" s="25"/>
      <c r="F7279" s="282"/>
      <c r="G7279" s="282"/>
      <c r="H7279" s="32"/>
    </row>
    <row r="7280" spans="1:8" x14ac:dyDescent="0.3">
      <c r="A7280" s="27"/>
      <c r="B7280" s="28"/>
      <c r="C7280" s="24"/>
      <c r="D7280" s="25"/>
      <c r="E7280" s="25"/>
      <c r="F7280" s="282"/>
      <c r="G7280" s="282"/>
      <c r="H7280" s="32"/>
    </row>
    <row r="7281" spans="1:8" x14ac:dyDescent="0.3">
      <c r="A7281" s="27"/>
      <c r="B7281" s="28"/>
      <c r="C7281" s="24"/>
      <c r="D7281" s="25"/>
      <c r="E7281" s="25"/>
      <c r="F7281" s="282"/>
      <c r="G7281" s="282"/>
      <c r="H7281" s="32"/>
    </row>
    <row r="7282" spans="1:8" x14ac:dyDescent="0.3">
      <c r="A7282" s="27"/>
      <c r="B7282" s="28"/>
      <c r="C7282" s="24"/>
      <c r="D7282" s="25"/>
      <c r="E7282" s="25"/>
      <c r="F7282" s="282"/>
      <c r="G7282" s="282"/>
      <c r="H7282" s="32"/>
    </row>
    <row r="7283" spans="1:8" x14ac:dyDescent="0.3">
      <c r="A7283" s="27"/>
      <c r="B7283" s="28"/>
      <c r="C7283" s="24"/>
      <c r="D7283" s="25"/>
      <c r="E7283" s="25"/>
      <c r="F7283" s="282"/>
      <c r="G7283" s="282"/>
      <c r="H7283" s="32"/>
    </row>
    <row r="7284" spans="1:8" x14ac:dyDescent="0.3">
      <c r="A7284" s="27"/>
      <c r="B7284" s="28"/>
      <c r="C7284" s="24"/>
      <c r="D7284" s="25"/>
      <c r="E7284" s="25"/>
      <c r="F7284" s="282"/>
      <c r="G7284" s="282"/>
      <c r="H7284" s="32"/>
    </row>
    <row r="7285" spans="1:8" x14ac:dyDescent="0.3">
      <c r="A7285" s="27"/>
      <c r="B7285" s="28"/>
      <c r="C7285" s="24"/>
      <c r="D7285" s="25"/>
      <c r="E7285" s="25"/>
      <c r="F7285" s="25"/>
      <c r="G7285" s="28"/>
      <c r="H7285" s="32"/>
    </row>
    <row r="7286" spans="1:8" x14ac:dyDescent="0.3">
      <c r="A7286" s="27"/>
      <c r="B7286" s="28"/>
      <c r="C7286" s="24"/>
      <c r="D7286" s="25"/>
      <c r="E7286" s="25"/>
      <c r="F7286" s="25"/>
      <c r="G7286" s="28"/>
      <c r="H7286" s="32"/>
    </row>
    <row r="7287" spans="1:8" x14ac:dyDescent="0.3">
      <c r="A7287" s="27"/>
      <c r="B7287" s="28"/>
      <c r="C7287" s="24"/>
      <c r="D7287" s="25"/>
      <c r="E7287" s="25"/>
      <c r="F7287" s="25"/>
      <c r="G7287" s="28"/>
      <c r="H7287" s="32"/>
    </row>
    <row r="7288" spans="1:8" x14ac:dyDescent="0.3">
      <c r="A7288" s="27"/>
      <c r="B7288" s="28"/>
      <c r="C7288" s="24"/>
      <c r="D7288" s="25"/>
      <c r="E7288" s="25"/>
      <c r="F7288" s="25"/>
      <c r="G7288" s="28"/>
      <c r="H7288" s="32"/>
    </row>
    <row r="7289" spans="1:8" x14ac:dyDescent="0.3">
      <c r="A7289" s="27"/>
      <c r="B7289" s="28"/>
      <c r="C7289" s="24"/>
      <c r="D7289" s="25"/>
      <c r="E7289" s="25"/>
      <c r="F7289" s="25"/>
      <c r="G7289" s="28"/>
      <c r="H7289" s="32"/>
    </row>
    <row r="7290" spans="1:8" x14ac:dyDescent="0.3">
      <c r="A7290" s="27"/>
      <c r="B7290" s="28"/>
      <c r="C7290" s="24"/>
      <c r="D7290" s="25"/>
      <c r="E7290" s="25"/>
      <c r="F7290" s="25"/>
      <c r="G7290" s="28"/>
      <c r="H7290" s="32"/>
    </row>
    <row r="7291" spans="1:8" x14ac:dyDescent="0.3">
      <c r="A7291" s="27"/>
      <c r="B7291" s="28"/>
      <c r="C7291" s="24"/>
      <c r="D7291" s="25"/>
      <c r="E7291" s="25"/>
      <c r="F7291" s="25"/>
      <c r="G7291" s="28"/>
      <c r="H7291" s="32"/>
    </row>
    <row r="7292" spans="1:8" ht="15.6" x14ac:dyDescent="0.3">
      <c r="A7292" s="497" t="s">
        <v>97</v>
      </c>
      <c r="B7292" s="498"/>
      <c r="C7292" s="24"/>
      <c r="D7292" s="25"/>
      <c r="E7292" s="25"/>
      <c r="F7292" s="116" t="s">
        <v>46</v>
      </c>
      <c r="G7292" s="26"/>
      <c r="H7292" s="66">
        <v>4000</v>
      </c>
    </row>
    <row r="7293" spans="1:8" ht="15.6" x14ac:dyDescent="0.3">
      <c r="A7293" s="497" t="s">
        <v>1325</v>
      </c>
      <c r="B7293" s="498"/>
      <c r="C7293" s="498"/>
      <c r="D7293" s="498"/>
      <c r="E7293" s="67"/>
      <c r="F7293" s="116" t="s">
        <v>47</v>
      </c>
      <c r="G7293" s="26"/>
      <c r="H7293" s="66">
        <f>H7292*9%</f>
        <v>360</v>
      </c>
    </row>
    <row r="7294" spans="1:8" ht="15.6" x14ac:dyDescent="0.3">
      <c r="A7294" s="27"/>
      <c r="B7294" s="28"/>
      <c r="C7294" s="24"/>
      <c r="D7294" s="25"/>
      <c r="E7294" s="25"/>
      <c r="F7294" s="116" t="s">
        <v>48</v>
      </c>
      <c r="G7294" s="26"/>
      <c r="H7294" s="66">
        <f>H7292*9%</f>
        <v>360</v>
      </c>
    </row>
    <row r="7295" spans="1:8" ht="15.6" x14ac:dyDescent="0.3">
      <c r="A7295" s="497" t="s">
        <v>49</v>
      </c>
      <c r="B7295" s="498"/>
      <c r="C7295" s="498"/>
      <c r="D7295" s="25"/>
      <c r="E7295" s="25"/>
      <c r="F7295" s="116" t="s">
        <v>50</v>
      </c>
      <c r="G7295" s="26"/>
      <c r="H7295" s="66">
        <f>H7292+H7294+H7293</f>
        <v>4720</v>
      </c>
    </row>
    <row r="7296" spans="1:8" ht="27" x14ac:dyDescent="0.3">
      <c r="A7296" s="68" t="s">
        <v>22</v>
      </c>
      <c r="B7296" s="69" t="s">
        <v>51</v>
      </c>
      <c r="C7296" s="70" t="s">
        <v>24</v>
      </c>
      <c r="D7296" s="31" t="s">
        <v>25</v>
      </c>
      <c r="E7296" s="528" t="s">
        <v>52</v>
      </c>
      <c r="F7296" s="528"/>
      <c r="G7296" s="28"/>
      <c r="H7296" s="32"/>
    </row>
    <row r="7297" spans="1:8" x14ac:dyDescent="0.3">
      <c r="A7297" s="72">
        <v>0.18</v>
      </c>
      <c r="B7297" s="73">
        <f>H7292</f>
        <v>4000</v>
      </c>
      <c r="C7297" s="74">
        <f>H7293</f>
        <v>360</v>
      </c>
      <c r="D7297" s="74">
        <f>H7294</f>
        <v>360</v>
      </c>
      <c r="E7297" s="507">
        <f>C7297+D7297</f>
        <v>720</v>
      </c>
      <c r="F7297" s="507"/>
      <c r="G7297" s="74"/>
      <c r="H7297" s="75"/>
    </row>
    <row r="7298" spans="1:8" x14ac:dyDescent="0.3">
      <c r="A7298" s="452" t="s">
        <v>1326</v>
      </c>
      <c r="B7298" s="453"/>
      <c r="C7298" s="453"/>
      <c r="D7298" s="453"/>
      <c r="E7298" s="453"/>
      <c r="F7298" s="78"/>
      <c r="G7298" s="36"/>
      <c r="H7298" s="79"/>
    </row>
    <row r="7299" spans="1:8" ht="15.6" x14ac:dyDescent="0.3">
      <c r="A7299" s="455" t="s">
        <v>53</v>
      </c>
      <c r="B7299" s="456"/>
      <c r="C7299" s="456"/>
      <c r="D7299" s="457"/>
      <c r="E7299" s="458" t="s">
        <v>54</v>
      </c>
      <c r="F7299" s="459"/>
      <c r="G7299" s="459"/>
      <c r="H7299" s="460"/>
    </row>
    <row r="7300" spans="1:8" x14ac:dyDescent="0.3">
      <c r="A7300" s="461" t="s">
        <v>55</v>
      </c>
      <c r="B7300" s="462"/>
      <c r="C7300" s="462"/>
      <c r="D7300" s="463"/>
      <c r="E7300" s="25"/>
      <c r="F7300" s="25"/>
      <c r="G7300" s="28"/>
      <c r="H7300" s="32"/>
    </row>
    <row r="7301" spans="1:8" x14ac:dyDescent="0.3">
      <c r="A7301" s="461" t="s">
        <v>56</v>
      </c>
      <c r="B7301" s="462"/>
      <c r="C7301" s="462"/>
      <c r="D7301" s="463"/>
      <c r="E7301" s="25"/>
      <c r="F7301" s="25"/>
      <c r="G7301" s="28"/>
      <c r="H7301" s="32"/>
    </row>
    <row r="7302" spans="1:8" x14ac:dyDescent="0.3">
      <c r="A7302" s="461" t="s">
        <v>57</v>
      </c>
      <c r="B7302" s="462"/>
      <c r="C7302" s="462"/>
      <c r="D7302" s="463"/>
      <c r="E7302" s="25"/>
      <c r="F7302" s="25"/>
      <c r="G7302" s="28"/>
      <c r="H7302" s="32"/>
    </row>
    <row r="7303" spans="1:8" ht="15.6" x14ac:dyDescent="0.3">
      <c r="A7303" s="464" t="s">
        <v>58</v>
      </c>
      <c r="B7303" s="465"/>
      <c r="C7303" s="465"/>
      <c r="D7303" s="510"/>
      <c r="E7303" s="466" t="s">
        <v>59</v>
      </c>
      <c r="F7303" s="467"/>
      <c r="G7303" s="467"/>
      <c r="H7303" s="468"/>
    </row>
    <row r="7307" spans="1:8" ht="44.4" x14ac:dyDescent="0.7">
      <c r="A7307" s="469" t="s">
        <v>0</v>
      </c>
      <c r="B7307" s="470"/>
      <c r="C7307" s="470"/>
      <c r="D7307" s="470"/>
      <c r="E7307" s="531" t="s">
        <v>92</v>
      </c>
      <c r="F7307" s="544"/>
      <c r="G7307" s="544"/>
      <c r="H7307" s="545"/>
    </row>
    <row r="7308" spans="1:8" ht="20.399999999999999" x14ac:dyDescent="0.35">
      <c r="A7308" s="1"/>
      <c r="B7308" s="476" t="s">
        <v>2</v>
      </c>
      <c r="C7308" s="476"/>
      <c r="D7308" s="476"/>
      <c r="E7308" s="546"/>
      <c r="F7308" s="546"/>
      <c r="G7308" s="546"/>
      <c r="H7308" s="547"/>
    </row>
    <row r="7309" spans="1:8" x14ac:dyDescent="0.3">
      <c r="A7309" s="477" t="s">
        <v>3</v>
      </c>
      <c r="B7309" s="478"/>
      <c r="C7309" s="479" t="s">
        <v>4</v>
      </c>
      <c r="D7309" s="479"/>
      <c r="E7309" s="480" t="s">
        <v>5</v>
      </c>
      <c r="F7309" s="480"/>
      <c r="G7309" s="480"/>
      <c r="H7309" s="480"/>
    </row>
    <row r="7310" spans="1:8" ht="15.6" x14ac:dyDescent="0.3">
      <c r="A7310" s="4" t="s">
        <v>6</v>
      </c>
      <c r="B7310" s="5"/>
      <c r="C7310" s="481" t="s">
        <v>7</v>
      </c>
      <c r="D7310" s="481"/>
      <c r="E7310" s="482">
        <v>159</v>
      </c>
      <c r="F7310" s="482"/>
      <c r="G7310" s="7" t="s">
        <v>8</v>
      </c>
      <c r="H7310" s="383" t="s">
        <v>1320</v>
      </c>
    </row>
    <row r="7311" spans="1:8" ht="15.6" x14ac:dyDescent="0.3">
      <c r="A7311" s="556" t="s">
        <v>1327</v>
      </c>
      <c r="B7311" s="557"/>
      <c r="C7311" s="481" t="s">
        <v>10</v>
      </c>
      <c r="D7311" s="481"/>
      <c r="E7311" s="482"/>
      <c r="F7311" s="482"/>
      <c r="G7311" s="7" t="s">
        <v>8</v>
      </c>
      <c r="H7311" s="6"/>
    </row>
    <row r="7312" spans="1:8" ht="15.6" x14ac:dyDescent="0.3">
      <c r="A7312" s="577" t="s">
        <v>1331</v>
      </c>
      <c r="B7312" s="578"/>
      <c r="C7312" s="481" t="s">
        <v>12</v>
      </c>
      <c r="D7312" s="481"/>
      <c r="E7312" s="482"/>
      <c r="F7312" s="482"/>
      <c r="G7312" s="7" t="s">
        <v>8</v>
      </c>
      <c r="H7312" s="9"/>
    </row>
    <row r="7313" spans="1:8" ht="15.6" x14ac:dyDescent="0.3">
      <c r="A7313" s="556" t="s">
        <v>1332</v>
      </c>
      <c r="B7313" s="557"/>
      <c r="C7313" s="481" t="s">
        <v>15</v>
      </c>
      <c r="D7313" s="481"/>
      <c r="E7313" s="566" t="s">
        <v>1328</v>
      </c>
      <c r="F7313" s="567"/>
      <c r="G7313" s="567"/>
      <c r="H7313" s="568"/>
    </row>
    <row r="7314" spans="1:8" ht="15.6" x14ac:dyDescent="0.3">
      <c r="A7314" s="558" t="s">
        <v>820</v>
      </c>
      <c r="B7314" s="559"/>
      <c r="C7314" s="569"/>
      <c r="D7314" s="570"/>
      <c r="E7314" s="570"/>
      <c r="F7314" s="570"/>
      <c r="G7314" s="570"/>
      <c r="H7314" s="571"/>
    </row>
    <row r="7315" spans="1:8" ht="15" x14ac:dyDescent="0.3">
      <c r="A7315" s="492" t="s">
        <v>17</v>
      </c>
      <c r="B7315" s="494" t="s">
        <v>18</v>
      </c>
      <c r="C7315" s="494" t="s">
        <v>19</v>
      </c>
      <c r="D7315" s="494" t="s">
        <v>20</v>
      </c>
      <c r="E7315" s="494" t="s">
        <v>21</v>
      </c>
      <c r="F7315" s="494" t="s">
        <v>22</v>
      </c>
      <c r="G7315" s="494"/>
      <c r="H7315" s="492" t="s">
        <v>23</v>
      </c>
    </row>
    <row r="7316" spans="1:8" ht="27.6" x14ac:dyDescent="0.3">
      <c r="A7316" s="492"/>
      <c r="B7316" s="494"/>
      <c r="C7316" s="494"/>
      <c r="D7316" s="494"/>
      <c r="E7316" s="494"/>
      <c r="F7316" s="53" t="s">
        <v>24</v>
      </c>
      <c r="G7316" s="53" t="s">
        <v>25</v>
      </c>
      <c r="H7316" s="492"/>
    </row>
    <row r="7317" spans="1:8" x14ac:dyDescent="0.3">
      <c r="A7317" s="57">
        <v>1</v>
      </c>
      <c r="B7317" s="130" t="s">
        <v>1330</v>
      </c>
      <c r="C7317" s="55">
        <v>1</v>
      </c>
      <c r="D7317" s="384">
        <v>998719</v>
      </c>
      <c r="E7317" s="55">
        <v>8000</v>
      </c>
      <c r="F7317" s="93">
        <f>C7317*E7317*9%</f>
        <v>720</v>
      </c>
      <c r="G7317" s="93">
        <f>C7317*E7317*9%</f>
        <v>720</v>
      </c>
      <c r="H7317" s="62">
        <f>C7317*E7317+F7317+G7317</f>
        <v>9440</v>
      </c>
    </row>
    <row r="7318" spans="1:8" x14ac:dyDescent="0.3">
      <c r="A7318" s="55"/>
      <c r="B7318" s="130"/>
      <c r="C7318" s="55"/>
      <c r="D7318" s="384"/>
      <c r="E7318" s="55"/>
      <c r="F7318" s="93"/>
      <c r="G7318" s="93"/>
      <c r="H7318" s="62"/>
    </row>
    <row r="7319" spans="1:8" x14ac:dyDescent="0.3">
      <c r="A7319" s="55"/>
      <c r="B7319" s="130"/>
      <c r="C7319" s="55"/>
      <c r="D7319" s="384"/>
      <c r="E7319" s="55"/>
      <c r="F7319" s="93"/>
      <c r="G7319" s="93"/>
      <c r="H7319" s="62"/>
    </row>
    <row r="7320" spans="1:8" x14ac:dyDescent="0.3">
      <c r="A7320" s="57"/>
      <c r="B7320" s="130"/>
      <c r="C7320" s="55"/>
      <c r="D7320" s="384"/>
      <c r="E7320" s="55"/>
      <c r="F7320" s="93"/>
      <c r="G7320" s="93"/>
      <c r="H7320" s="62"/>
    </row>
    <row r="7321" spans="1:8" x14ac:dyDescent="0.3">
      <c r="A7321" s="55"/>
      <c r="B7321" s="130"/>
      <c r="C7321" s="55"/>
      <c r="D7321" s="384"/>
      <c r="E7321" s="55"/>
      <c r="F7321" s="93"/>
      <c r="G7321" s="93"/>
      <c r="H7321" s="62"/>
    </row>
    <row r="7322" spans="1:8" x14ac:dyDescent="0.3">
      <c r="A7322" s="55"/>
      <c r="B7322" s="130"/>
      <c r="C7322" s="55"/>
      <c r="D7322" s="385"/>
      <c r="E7322" s="55"/>
      <c r="F7322" s="93"/>
      <c r="G7322" s="93"/>
      <c r="H7322" s="62"/>
    </row>
    <row r="7323" spans="1:8" x14ac:dyDescent="0.3">
      <c r="A7323" s="57"/>
      <c r="B7323" s="130"/>
      <c r="C7323" s="55"/>
      <c r="D7323" s="384"/>
      <c r="E7323" s="55"/>
      <c r="F7323" s="93"/>
      <c r="G7323" s="93"/>
      <c r="H7323" s="62"/>
    </row>
    <row r="7324" spans="1:8" x14ac:dyDescent="0.3">
      <c r="A7324" s="55"/>
      <c r="B7324" s="94"/>
      <c r="C7324" s="55"/>
      <c r="D7324" s="47"/>
      <c r="E7324" s="47"/>
      <c r="F7324" s="58"/>
      <c r="G7324" s="58"/>
      <c r="H7324" s="59"/>
    </row>
    <row r="7325" spans="1:8" x14ac:dyDescent="0.3">
      <c r="A7325" s="27"/>
      <c r="B7325" s="28"/>
      <c r="C7325" s="24"/>
      <c r="D7325" s="25"/>
      <c r="E7325" s="25"/>
      <c r="F7325" s="165"/>
      <c r="G7325" s="165"/>
      <c r="H7325" s="166"/>
    </row>
    <row r="7326" spans="1:8" x14ac:dyDescent="0.3">
      <c r="A7326" s="27"/>
      <c r="B7326" s="28"/>
      <c r="C7326" s="24"/>
      <c r="D7326" s="25"/>
      <c r="E7326" s="25"/>
      <c r="F7326" s="165"/>
      <c r="G7326" s="165"/>
      <c r="H7326" s="166"/>
    </row>
    <row r="7327" spans="1:8" x14ac:dyDescent="0.3">
      <c r="A7327" s="27"/>
      <c r="B7327" s="28"/>
      <c r="C7327" s="24"/>
      <c r="D7327" s="25"/>
      <c r="E7327" s="25"/>
      <c r="F7327" s="165"/>
      <c r="G7327" s="165"/>
      <c r="H7327" s="166"/>
    </row>
    <row r="7328" spans="1:8" x14ac:dyDescent="0.3">
      <c r="A7328" s="27"/>
      <c r="B7328" s="28"/>
      <c r="C7328" s="24"/>
      <c r="D7328" s="25"/>
      <c r="E7328" s="25"/>
      <c r="F7328" s="165"/>
      <c r="G7328" s="165"/>
      <c r="H7328" s="166"/>
    </row>
    <row r="7329" spans="1:8" x14ac:dyDescent="0.3">
      <c r="A7329" s="27"/>
      <c r="B7329" s="28"/>
      <c r="C7329" s="24"/>
      <c r="D7329" s="25"/>
      <c r="E7329" s="25"/>
      <c r="F7329" s="165"/>
      <c r="G7329" s="165"/>
      <c r="H7329" s="166"/>
    </row>
    <row r="7330" spans="1:8" x14ac:dyDescent="0.3">
      <c r="A7330" s="27"/>
      <c r="B7330" s="28"/>
      <c r="C7330" s="24"/>
      <c r="D7330" s="25"/>
      <c r="E7330" s="25"/>
      <c r="F7330" s="28"/>
      <c r="G7330" s="28"/>
      <c r="H7330" s="32"/>
    </row>
    <row r="7331" spans="1:8" x14ac:dyDescent="0.3">
      <c r="A7331" s="27"/>
      <c r="B7331" s="28"/>
      <c r="C7331" s="24"/>
      <c r="D7331" s="25"/>
      <c r="E7331" s="25"/>
      <c r="F7331" s="28"/>
      <c r="G7331" s="28"/>
      <c r="H7331" s="32"/>
    </row>
    <row r="7332" spans="1:8" x14ac:dyDescent="0.3">
      <c r="A7332" s="27"/>
      <c r="B7332" s="28"/>
      <c r="C7332" s="24"/>
      <c r="D7332" s="25"/>
      <c r="E7332" s="25"/>
      <c r="F7332" s="28"/>
      <c r="G7332" s="28"/>
      <c r="H7332" s="32"/>
    </row>
    <row r="7333" spans="1:8" x14ac:dyDescent="0.3">
      <c r="A7333" s="27"/>
      <c r="B7333" s="28"/>
      <c r="C7333" s="24"/>
      <c r="D7333" s="25"/>
      <c r="E7333" s="25"/>
      <c r="F7333" s="28"/>
      <c r="G7333" s="28"/>
      <c r="H7333" s="32"/>
    </row>
    <row r="7334" spans="1:8" x14ac:dyDescent="0.3">
      <c r="A7334" s="27"/>
      <c r="B7334" s="28"/>
      <c r="C7334" s="24"/>
      <c r="D7334" s="25"/>
      <c r="E7334" s="25"/>
      <c r="F7334" s="742"/>
      <c r="G7334" s="742"/>
      <c r="H7334" s="66"/>
    </row>
    <row r="7335" spans="1:8" x14ac:dyDescent="0.3">
      <c r="A7335" s="27"/>
      <c r="B7335" s="28"/>
      <c r="C7335" s="24"/>
      <c r="D7335" s="25"/>
      <c r="E7335" s="25"/>
      <c r="F7335" s="226"/>
      <c r="G7335" s="226"/>
      <c r="H7335" s="66"/>
    </row>
    <row r="7336" spans="1:8" ht="15.6" x14ac:dyDescent="0.3">
      <c r="A7336" s="448" t="s">
        <v>45</v>
      </c>
      <c r="B7336" s="449"/>
      <c r="C7336" s="449"/>
      <c r="D7336" s="25"/>
      <c r="E7336" s="25"/>
      <c r="F7336" s="447" t="s">
        <v>1329</v>
      </c>
      <c r="G7336" s="447"/>
      <c r="H7336" s="66">
        <v>8000</v>
      </c>
    </row>
    <row r="7337" spans="1:8" ht="15.6" x14ac:dyDescent="0.3">
      <c r="A7337" s="497" t="s">
        <v>1333</v>
      </c>
      <c r="B7337" s="498"/>
      <c r="C7337" s="498"/>
      <c r="D7337" s="498"/>
      <c r="E7337" s="498"/>
      <c r="F7337" s="447" t="s">
        <v>47</v>
      </c>
      <c r="G7337" s="447"/>
      <c r="H7337" s="66">
        <f>H7336*9%</f>
        <v>720</v>
      </c>
    </row>
    <row r="7338" spans="1:8" ht="15.6" x14ac:dyDescent="0.3">
      <c r="A7338" s="27"/>
      <c r="B7338" s="28"/>
      <c r="C7338" s="24"/>
      <c r="D7338" s="25"/>
      <c r="E7338" s="25"/>
      <c r="F7338" s="447" t="s">
        <v>48</v>
      </c>
      <c r="G7338" s="447"/>
      <c r="H7338" s="66">
        <f>H7336*9%</f>
        <v>720</v>
      </c>
    </row>
    <row r="7339" spans="1:8" ht="15.6" x14ac:dyDescent="0.3">
      <c r="A7339" s="448" t="s">
        <v>49</v>
      </c>
      <c r="B7339" s="449"/>
      <c r="C7339" s="449"/>
      <c r="D7339" s="449"/>
      <c r="E7339" s="25"/>
      <c r="F7339" s="447" t="s">
        <v>50</v>
      </c>
      <c r="G7339" s="447"/>
      <c r="H7339" s="66">
        <v>9440</v>
      </c>
    </row>
    <row r="7340" spans="1:8" ht="27" x14ac:dyDescent="0.3">
      <c r="A7340" s="68" t="s">
        <v>22</v>
      </c>
      <c r="B7340" s="69" t="s">
        <v>51</v>
      </c>
      <c r="C7340" s="70" t="s">
        <v>24</v>
      </c>
      <c r="D7340" s="31" t="s">
        <v>25</v>
      </c>
      <c r="E7340" s="450" t="s">
        <v>52</v>
      </c>
      <c r="F7340" s="450"/>
      <c r="G7340" s="28"/>
      <c r="H7340" s="32"/>
    </row>
    <row r="7341" spans="1:8" x14ac:dyDescent="0.3">
      <c r="A7341" s="96">
        <v>0.18</v>
      </c>
      <c r="B7341" s="91">
        <f>H7336</f>
        <v>8000</v>
      </c>
      <c r="C7341" s="91">
        <f>H7337</f>
        <v>720</v>
      </c>
      <c r="D7341" s="91">
        <v>720</v>
      </c>
      <c r="E7341" s="661">
        <f>C7341+D7341</f>
        <v>1440</v>
      </c>
      <c r="F7341" s="451"/>
      <c r="G7341" s="382"/>
      <c r="H7341" s="386"/>
    </row>
    <row r="7342" spans="1:8" x14ac:dyDescent="0.3">
      <c r="A7342" s="452" t="s">
        <v>1334</v>
      </c>
      <c r="B7342" s="453"/>
      <c r="C7342" s="453"/>
      <c r="D7342" s="453"/>
      <c r="E7342" s="453"/>
      <c r="F7342" s="453"/>
      <c r="G7342" s="453"/>
      <c r="H7342" s="454"/>
    </row>
    <row r="7343" spans="1:8" ht="15.6" x14ac:dyDescent="0.3">
      <c r="A7343" s="455" t="s">
        <v>53</v>
      </c>
      <c r="B7343" s="456"/>
      <c r="C7343" s="456"/>
      <c r="D7343" s="457"/>
      <c r="E7343" s="458" t="s">
        <v>54</v>
      </c>
      <c r="F7343" s="459"/>
      <c r="G7343" s="459"/>
      <c r="H7343" s="460"/>
    </row>
    <row r="7344" spans="1:8" x14ac:dyDescent="0.3">
      <c r="A7344" s="461" t="s">
        <v>55</v>
      </c>
      <c r="B7344" s="462"/>
      <c r="C7344" s="462"/>
      <c r="D7344" s="463"/>
      <c r="E7344" s="39"/>
      <c r="F7344" s="28"/>
      <c r="G7344" s="28"/>
      <c r="H7344" s="32"/>
    </row>
    <row r="7345" spans="1:8" x14ac:dyDescent="0.3">
      <c r="A7345" s="461" t="s">
        <v>56</v>
      </c>
      <c r="B7345" s="462"/>
      <c r="C7345" s="462"/>
      <c r="D7345" s="463"/>
      <c r="E7345" s="39"/>
      <c r="F7345" s="28"/>
      <c r="G7345" s="28"/>
      <c r="H7345" s="32"/>
    </row>
    <row r="7346" spans="1:8" x14ac:dyDescent="0.3">
      <c r="A7346" s="461" t="s">
        <v>57</v>
      </c>
      <c r="B7346" s="462"/>
      <c r="C7346" s="462"/>
      <c r="D7346" s="463"/>
      <c r="E7346" s="167"/>
      <c r="H7346" s="168"/>
    </row>
    <row r="7347" spans="1:8" ht="15.6" x14ac:dyDescent="0.3">
      <c r="A7347" s="464" t="s">
        <v>58</v>
      </c>
      <c r="B7347" s="465"/>
      <c r="C7347" s="465"/>
      <c r="D7347" s="510"/>
      <c r="E7347" s="466" t="s">
        <v>59</v>
      </c>
      <c r="F7347" s="467"/>
      <c r="G7347" s="467"/>
      <c r="H7347" s="468"/>
    </row>
    <row r="7354" spans="1:8" ht="44.4" x14ac:dyDescent="0.7">
      <c r="A7354" s="469" t="s">
        <v>0</v>
      </c>
      <c r="B7354" s="470"/>
      <c r="C7354" s="470"/>
      <c r="D7354" s="470"/>
      <c r="E7354" s="531" t="s">
        <v>92</v>
      </c>
      <c r="F7354" s="544"/>
      <c r="G7354" s="544"/>
      <c r="H7354" s="545"/>
    </row>
    <row r="7355" spans="1:8" ht="20.399999999999999" x14ac:dyDescent="0.35">
      <c r="A7355" s="156"/>
      <c r="B7355" s="476" t="s">
        <v>2</v>
      </c>
      <c r="C7355" s="476"/>
      <c r="D7355" s="476"/>
      <c r="E7355" s="546"/>
      <c r="F7355" s="546"/>
      <c r="G7355" s="546"/>
      <c r="H7355" s="547"/>
    </row>
    <row r="7356" spans="1:8" x14ac:dyDescent="0.3">
      <c r="A7356" s="477" t="s">
        <v>3</v>
      </c>
      <c r="B7356" s="478"/>
      <c r="C7356" s="479" t="s">
        <v>4</v>
      </c>
      <c r="D7356" s="479"/>
      <c r="E7356" s="480" t="s">
        <v>5</v>
      </c>
      <c r="F7356" s="480"/>
      <c r="G7356" s="480"/>
      <c r="H7356" s="480"/>
    </row>
    <row r="7357" spans="1:8" ht="15.6" x14ac:dyDescent="0.3">
      <c r="A7357" s="158" t="s">
        <v>6</v>
      </c>
      <c r="B7357" s="5"/>
      <c r="C7357" s="481" t="s">
        <v>7</v>
      </c>
      <c r="D7357" s="481"/>
      <c r="E7357" s="482">
        <v>160</v>
      </c>
      <c r="F7357" s="482"/>
      <c r="G7357" s="7" t="s">
        <v>8</v>
      </c>
      <c r="H7357" s="8" t="s">
        <v>1335</v>
      </c>
    </row>
    <row r="7358" spans="1:8" ht="15.6" x14ac:dyDescent="0.3">
      <c r="A7358" s="500" t="s">
        <v>863</v>
      </c>
      <c r="B7358" s="501"/>
      <c r="C7358" s="481" t="s">
        <v>10</v>
      </c>
      <c r="D7358" s="481"/>
      <c r="E7358" s="482"/>
      <c r="F7358" s="482"/>
      <c r="G7358" s="7" t="s">
        <v>8</v>
      </c>
      <c r="H7358" s="6"/>
    </row>
    <row r="7359" spans="1:8" ht="15.6" x14ac:dyDescent="0.3">
      <c r="A7359" s="500" t="s">
        <v>864</v>
      </c>
      <c r="B7359" s="501"/>
      <c r="C7359" s="481" t="s">
        <v>12</v>
      </c>
      <c r="D7359" s="481"/>
      <c r="E7359" s="482" t="s">
        <v>546</v>
      </c>
      <c r="F7359" s="482"/>
      <c r="G7359" s="7" t="s">
        <v>8</v>
      </c>
      <c r="H7359" s="9"/>
    </row>
    <row r="7360" spans="1:8" ht="15.6" x14ac:dyDescent="0.3">
      <c r="A7360" s="500" t="s">
        <v>865</v>
      </c>
      <c r="B7360" s="501"/>
      <c r="C7360" s="481" t="s">
        <v>15</v>
      </c>
      <c r="D7360" s="481"/>
      <c r="E7360" s="536" t="s">
        <v>866</v>
      </c>
      <c r="F7360" s="617"/>
      <c r="G7360" s="617"/>
      <c r="H7360" s="516"/>
    </row>
    <row r="7361" spans="1:8" ht="15.6" x14ac:dyDescent="0.3">
      <c r="A7361" s="651" t="s">
        <v>1336</v>
      </c>
      <c r="B7361" s="512"/>
      <c r="C7361" s="489"/>
      <c r="D7361" s="490"/>
      <c r="E7361" s="490"/>
      <c r="F7361" s="490"/>
      <c r="G7361" s="490"/>
      <c r="H7361" s="491"/>
    </row>
    <row r="7362" spans="1:8" ht="15" x14ac:dyDescent="0.3">
      <c r="A7362" s="492" t="s">
        <v>17</v>
      </c>
      <c r="B7362" s="494" t="s">
        <v>18</v>
      </c>
      <c r="C7362" s="494" t="s">
        <v>19</v>
      </c>
      <c r="D7362" s="494" t="s">
        <v>20</v>
      </c>
      <c r="E7362" s="494" t="s">
        <v>21</v>
      </c>
      <c r="F7362" s="494" t="s">
        <v>22</v>
      </c>
      <c r="G7362" s="494"/>
      <c r="H7362" s="492" t="s">
        <v>23</v>
      </c>
    </row>
    <row r="7363" spans="1:8" ht="27.6" x14ac:dyDescent="0.3">
      <c r="A7363" s="492"/>
      <c r="B7363" s="494"/>
      <c r="C7363" s="494"/>
      <c r="D7363" s="494"/>
      <c r="E7363" s="494"/>
      <c r="F7363" s="53" t="s">
        <v>24</v>
      </c>
      <c r="G7363" s="53" t="s">
        <v>25</v>
      </c>
      <c r="H7363" s="492"/>
    </row>
    <row r="7364" spans="1:8" ht="27.6" x14ac:dyDescent="0.3">
      <c r="A7364" s="55">
        <v>1</v>
      </c>
      <c r="B7364" s="130" t="s">
        <v>1337</v>
      </c>
      <c r="C7364" s="55">
        <v>1</v>
      </c>
      <c r="D7364" s="55">
        <v>998719</v>
      </c>
      <c r="E7364" s="55">
        <v>2250</v>
      </c>
      <c r="F7364" s="93">
        <f>C7364*E7364*9%</f>
        <v>202.5</v>
      </c>
      <c r="G7364" s="93">
        <f>C7364*E7364*9%</f>
        <v>202.5</v>
      </c>
      <c r="H7364" s="62">
        <f>C7364*E7364+F7364+G7364</f>
        <v>2655</v>
      </c>
    </row>
    <row r="7365" spans="1:8" x14ac:dyDescent="0.3">
      <c r="A7365" s="55">
        <v>2</v>
      </c>
      <c r="B7365" s="130" t="s">
        <v>1338</v>
      </c>
      <c r="C7365" s="55">
        <v>1</v>
      </c>
      <c r="D7365" s="55">
        <v>988719</v>
      </c>
      <c r="E7365" s="55">
        <v>1000</v>
      </c>
      <c r="F7365" s="93">
        <f>C7365*E7365*9%</f>
        <v>90</v>
      </c>
      <c r="G7365" s="93">
        <f>C7365*E7365*9%</f>
        <v>90</v>
      </c>
      <c r="H7365" s="62">
        <f>C7365*E7365+F7365+G7365</f>
        <v>1180</v>
      </c>
    </row>
    <row r="7366" spans="1:8" x14ac:dyDescent="0.3">
      <c r="A7366" s="55"/>
      <c r="B7366" s="130"/>
      <c r="C7366" s="55"/>
      <c r="D7366" s="55"/>
      <c r="E7366" s="55"/>
      <c r="F7366" s="93"/>
      <c r="G7366" s="93"/>
      <c r="H7366" s="62"/>
    </row>
    <row r="7367" spans="1:8" x14ac:dyDescent="0.3">
      <c r="A7367" s="55"/>
      <c r="B7367" s="94"/>
      <c r="C7367" s="55"/>
      <c r="D7367" s="47"/>
      <c r="E7367" s="55"/>
      <c r="F7367" s="93"/>
      <c r="G7367" s="93"/>
      <c r="H7367" s="62"/>
    </row>
    <row r="7368" spans="1:8" x14ac:dyDescent="0.3">
      <c r="A7368" s="159"/>
      <c r="B7368" s="28"/>
      <c r="C7368" s="24"/>
      <c r="D7368" s="25"/>
      <c r="E7368" s="25"/>
      <c r="F7368" s="25"/>
      <c r="G7368" s="28"/>
      <c r="H7368" s="32"/>
    </row>
    <row r="7369" spans="1:8" x14ac:dyDescent="0.3">
      <c r="A7369" s="159"/>
      <c r="B7369" s="28"/>
      <c r="C7369" s="24"/>
      <c r="D7369" s="25"/>
      <c r="E7369" s="25"/>
      <c r="F7369" s="25"/>
      <c r="G7369" s="28"/>
      <c r="H7369" s="32"/>
    </row>
    <row r="7370" spans="1:8" x14ac:dyDescent="0.3">
      <c r="A7370" s="159"/>
      <c r="B7370" s="28"/>
      <c r="C7370" s="24"/>
      <c r="D7370" s="25"/>
      <c r="E7370" s="25"/>
      <c r="F7370" s="25"/>
      <c r="G7370" s="28"/>
      <c r="H7370" s="32"/>
    </row>
    <row r="7371" spans="1:8" x14ac:dyDescent="0.3">
      <c r="A7371" s="159"/>
      <c r="B7371" s="28"/>
      <c r="C7371" s="24"/>
      <c r="D7371" s="25"/>
      <c r="E7371" s="25"/>
      <c r="F7371" s="25"/>
      <c r="G7371" s="28"/>
      <c r="H7371" s="32"/>
    </row>
    <row r="7372" spans="1:8" x14ac:dyDescent="0.3">
      <c r="A7372" s="159"/>
      <c r="B7372" s="28"/>
      <c r="C7372" s="24"/>
      <c r="D7372" s="25"/>
      <c r="E7372" s="25"/>
      <c r="F7372" s="25"/>
      <c r="G7372" s="28"/>
      <c r="H7372" s="32"/>
    </row>
    <row r="7373" spans="1:8" x14ac:dyDescent="0.3">
      <c r="A7373" s="159"/>
      <c r="B7373" s="28"/>
      <c r="C7373" s="24"/>
      <c r="D7373" s="25"/>
      <c r="E7373" s="25"/>
      <c r="F7373" s="25"/>
      <c r="G7373" s="28"/>
      <c r="H7373" s="32"/>
    </row>
    <row r="7374" spans="1:8" x14ac:dyDescent="0.3">
      <c r="A7374" s="159"/>
      <c r="B7374" s="28"/>
      <c r="C7374" s="24"/>
      <c r="D7374" s="25"/>
      <c r="E7374" s="25"/>
      <c r="F7374" s="25"/>
      <c r="G7374" s="28"/>
      <c r="H7374" s="32"/>
    </row>
    <row r="7375" spans="1:8" x14ac:dyDescent="0.3">
      <c r="A7375" s="159"/>
      <c r="B7375" s="28"/>
      <c r="C7375" s="24"/>
      <c r="D7375" s="25"/>
      <c r="E7375" s="25"/>
      <c r="F7375" s="25"/>
      <c r="G7375" s="28"/>
      <c r="H7375" s="32"/>
    </row>
    <row r="7376" spans="1:8" x14ac:dyDescent="0.3">
      <c r="A7376" s="159"/>
      <c r="B7376" s="28"/>
      <c r="C7376" s="24"/>
      <c r="D7376" s="25"/>
      <c r="E7376" s="25"/>
      <c r="F7376" s="25"/>
      <c r="G7376" s="28"/>
      <c r="H7376" s="32"/>
    </row>
    <row r="7377" spans="1:8" x14ac:dyDescent="0.3">
      <c r="A7377" s="159"/>
      <c r="B7377" s="28"/>
      <c r="C7377" s="24"/>
      <c r="D7377" s="25"/>
      <c r="E7377" s="25"/>
      <c r="F7377" s="25"/>
      <c r="G7377" s="28"/>
      <c r="H7377" s="32"/>
    </row>
    <row r="7378" spans="1:8" x14ac:dyDescent="0.3">
      <c r="A7378" s="159"/>
      <c r="B7378" s="28"/>
      <c r="C7378" s="24"/>
      <c r="D7378" s="25"/>
      <c r="E7378" s="25"/>
      <c r="F7378" s="25"/>
      <c r="G7378" s="28"/>
      <c r="H7378" s="32"/>
    </row>
    <row r="7379" spans="1:8" x14ac:dyDescent="0.3">
      <c r="A7379" s="159"/>
      <c r="B7379" s="28"/>
      <c r="C7379" s="24"/>
      <c r="D7379" s="25"/>
      <c r="E7379" s="25"/>
      <c r="F7379" s="25"/>
      <c r="G7379" s="28"/>
      <c r="H7379" s="32"/>
    </row>
    <row r="7380" spans="1:8" x14ac:dyDescent="0.3">
      <c r="A7380" s="159"/>
      <c r="B7380" s="28"/>
      <c r="C7380" s="24"/>
      <c r="D7380" s="25"/>
      <c r="E7380" s="25"/>
      <c r="F7380" s="25"/>
      <c r="G7380" s="28"/>
      <c r="H7380" s="32"/>
    </row>
    <row r="7381" spans="1:8" x14ac:dyDescent="0.3">
      <c r="A7381" s="159"/>
      <c r="B7381" s="28"/>
      <c r="C7381" s="24"/>
      <c r="D7381" s="25"/>
      <c r="E7381" s="25"/>
      <c r="F7381" s="25"/>
      <c r="G7381" s="28"/>
      <c r="H7381" s="32"/>
    </row>
    <row r="7382" spans="1:8" x14ac:dyDescent="0.3">
      <c r="A7382" s="159"/>
      <c r="B7382" s="28"/>
      <c r="C7382" s="24"/>
      <c r="D7382" s="25"/>
      <c r="E7382" s="25"/>
      <c r="F7382" s="25"/>
      <c r="G7382" s="28"/>
      <c r="H7382" s="32"/>
    </row>
    <row r="7383" spans="1:8" x14ac:dyDescent="0.3">
      <c r="A7383" s="159"/>
      <c r="B7383" s="28"/>
      <c r="C7383" s="24"/>
      <c r="D7383" s="25"/>
      <c r="E7383" s="25"/>
      <c r="F7383" s="25"/>
      <c r="G7383" s="28"/>
      <c r="H7383" s="32"/>
    </row>
    <row r="7384" spans="1:8" ht="15.6" x14ac:dyDescent="0.3">
      <c r="A7384" s="64" t="s">
        <v>45</v>
      </c>
      <c r="B7384" s="28"/>
      <c r="C7384" s="24"/>
      <c r="D7384" s="25"/>
      <c r="E7384" s="25"/>
      <c r="F7384" s="447" t="s">
        <v>46</v>
      </c>
      <c r="G7384" s="447"/>
      <c r="H7384" s="66">
        <v>3250</v>
      </c>
    </row>
    <row r="7385" spans="1:8" ht="15.6" x14ac:dyDescent="0.3">
      <c r="A7385" s="497" t="s">
        <v>1339</v>
      </c>
      <c r="B7385" s="498"/>
      <c r="C7385" s="498"/>
      <c r="D7385" s="498"/>
      <c r="E7385" s="498"/>
      <c r="F7385" s="447" t="s">
        <v>47</v>
      </c>
      <c r="G7385" s="447"/>
      <c r="H7385" s="66">
        <f>H7384*9%</f>
        <v>292.5</v>
      </c>
    </row>
    <row r="7386" spans="1:8" ht="15.6" x14ac:dyDescent="0.3">
      <c r="A7386" s="159"/>
      <c r="B7386" s="28"/>
      <c r="C7386" s="24"/>
      <c r="D7386" s="25"/>
      <c r="E7386" s="25"/>
      <c r="F7386" s="447" t="s">
        <v>48</v>
      </c>
      <c r="G7386" s="447"/>
      <c r="H7386" s="66">
        <f>H7384*9%</f>
        <v>292.5</v>
      </c>
    </row>
    <row r="7387" spans="1:8" ht="15.6" x14ac:dyDescent="0.3">
      <c r="A7387" s="64" t="s">
        <v>49</v>
      </c>
      <c r="B7387" s="28"/>
      <c r="C7387" s="24"/>
      <c r="D7387" s="25"/>
      <c r="E7387" s="25"/>
      <c r="F7387" s="447" t="s">
        <v>50</v>
      </c>
      <c r="G7387" s="447"/>
      <c r="H7387" s="66">
        <f>H7384+H7385+H7386</f>
        <v>3835</v>
      </c>
    </row>
    <row r="7388" spans="1:8" ht="26.4" x14ac:dyDescent="0.3">
      <c r="A7388" s="325" t="s">
        <v>22</v>
      </c>
      <c r="B7388" s="71" t="s">
        <v>51</v>
      </c>
      <c r="C7388" s="161" t="s">
        <v>24</v>
      </c>
      <c r="D7388" s="161" t="s">
        <v>25</v>
      </c>
      <c r="E7388" s="528" t="s">
        <v>52</v>
      </c>
      <c r="F7388" s="528"/>
      <c r="G7388" s="162"/>
      <c r="H7388" s="154"/>
    </row>
    <row r="7389" spans="1:8" x14ac:dyDescent="0.3">
      <c r="A7389" s="72">
        <v>0.18</v>
      </c>
      <c r="B7389" s="73">
        <f>H7384</f>
        <v>3250</v>
      </c>
      <c r="C7389" s="73">
        <f>H7385</f>
        <v>292.5</v>
      </c>
      <c r="D7389" s="73">
        <f>H7385</f>
        <v>292.5</v>
      </c>
      <c r="E7389" s="506">
        <f>C7389+D7389</f>
        <v>585</v>
      </c>
      <c r="F7389" s="507"/>
      <c r="G7389" s="74"/>
      <c r="H7389" s="75"/>
    </row>
    <row r="7390" spans="1:8" x14ac:dyDescent="0.3">
      <c r="A7390" s="452" t="s">
        <v>1340</v>
      </c>
      <c r="B7390" s="453"/>
      <c r="C7390" s="453"/>
      <c r="D7390" s="453"/>
      <c r="E7390" s="453"/>
      <c r="F7390" s="453"/>
      <c r="G7390" s="453"/>
      <c r="H7390" s="454"/>
    </row>
    <row r="7391" spans="1:8" ht="15.6" x14ac:dyDescent="0.3">
      <c r="A7391" s="455" t="s">
        <v>53</v>
      </c>
      <c r="B7391" s="456"/>
      <c r="C7391" s="456"/>
      <c r="D7391" s="456"/>
      <c r="E7391" s="458" t="s">
        <v>54</v>
      </c>
      <c r="F7391" s="459"/>
      <c r="G7391" s="459"/>
      <c r="H7391" s="460"/>
    </row>
    <row r="7392" spans="1:8" x14ac:dyDescent="0.3">
      <c r="A7392" s="461" t="s">
        <v>55</v>
      </c>
      <c r="B7392" s="462"/>
      <c r="C7392" s="462"/>
      <c r="D7392" s="462"/>
      <c r="E7392" s="39"/>
      <c r="F7392" s="25"/>
      <c r="G7392" s="28"/>
      <c r="H7392" s="32"/>
    </row>
    <row r="7393" spans="1:9" x14ac:dyDescent="0.3">
      <c r="A7393" s="461" t="s">
        <v>56</v>
      </c>
      <c r="B7393" s="462"/>
      <c r="C7393" s="462"/>
      <c r="D7393" s="462"/>
      <c r="E7393" s="39"/>
      <c r="F7393" s="25"/>
      <c r="G7393" s="28"/>
      <c r="H7393" s="32"/>
    </row>
    <row r="7394" spans="1:9" x14ac:dyDescent="0.3">
      <c r="A7394" s="461" t="s">
        <v>57</v>
      </c>
      <c r="B7394" s="462"/>
      <c r="C7394" s="462"/>
      <c r="D7394" s="463"/>
      <c r="E7394" s="25"/>
      <c r="F7394" s="25"/>
      <c r="G7394" s="28"/>
      <c r="H7394" s="32"/>
    </row>
    <row r="7395" spans="1:9" ht="15.6" x14ac:dyDescent="0.3">
      <c r="A7395" s="464" t="s">
        <v>58</v>
      </c>
      <c r="B7395" s="465"/>
      <c r="C7395" s="465"/>
      <c r="D7395" s="465"/>
      <c r="E7395" s="466" t="s">
        <v>59</v>
      </c>
      <c r="F7395" s="467"/>
      <c r="G7395" s="467"/>
      <c r="H7395" s="468"/>
    </row>
    <row r="7398" spans="1:9" ht="44.4" x14ac:dyDescent="0.7">
      <c r="A7398" s="469" t="s">
        <v>0</v>
      </c>
      <c r="B7398" s="470"/>
      <c r="C7398" s="470"/>
      <c r="D7398" s="470"/>
      <c r="E7398" s="531" t="s">
        <v>143</v>
      </c>
      <c r="F7398" s="544"/>
      <c r="G7398" s="544"/>
      <c r="H7398" s="545"/>
    </row>
    <row r="7399" spans="1:9" ht="20.399999999999999" x14ac:dyDescent="0.35">
      <c r="A7399" s="1"/>
      <c r="B7399" s="476" t="s">
        <v>2</v>
      </c>
      <c r="C7399" s="476"/>
      <c r="D7399" s="476"/>
      <c r="E7399" s="546"/>
      <c r="F7399" s="546"/>
      <c r="G7399" s="546"/>
      <c r="H7399" s="547"/>
    </row>
    <row r="7400" spans="1:9" x14ac:dyDescent="0.3">
      <c r="A7400" s="477" t="s">
        <v>3</v>
      </c>
      <c r="B7400" s="478"/>
      <c r="C7400" s="479" t="s">
        <v>4</v>
      </c>
      <c r="D7400" s="479"/>
      <c r="E7400" s="480" t="s">
        <v>5</v>
      </c>
      <c r="F7400" s="480"/>
      <c r="G7400" s="480"/>
      <c r="H7400" s="480"/>
    </row>
    <row r="7401" spans="1:9" ht="15.6" x14ac:dyDescent="0.3">
      <c r="A7401" s="138" t="s">
        <v>6</v>
      </c>
      <c r="B7401" s="5"/>
      <c r="C7401" s="481" t="s">
        <v>7</v>
      </c>
      <c r="D7401" s="481"/>
      <c r="E7401" s="482">
        <v>161</v>
      </c>
      <c r="F7401" s="482"/>
      <c r="G7401" s="44" t="s">
        <v>8</v>
      </c>
      <c r="H7401" s="8" t="s">
        <v>1341</v>
      </c>
    </row>
    <row r="7402" spans="1:9" ht="15.6" x14ac:dyDescent="0.3">
      <c r="A7402" s="556" t="s">
        <v>629</v>
      </c>
      <c r="B7402" s="557"/>
      <c r="C7402" s="481" t="s">
        <v>10</v>
      </c>
      <c r="D7402" s="481"/>
      <c r="E7402" s="489"/>
      <c r="F7402" s="491"/>
      <c r="G7402" s="44" t="s">
        <v>8</v>
      </c>
      <c r="H7402" s="6"/>
    </row>
    <row r="7403" spans="1:9" ht="15.6" x14ac:dyDescent="0.3">
      <c r="A7403" s="517" t="s">
        <v>630</v>
      </c>
      <c r="B7403" s="553"/>
      <c r="C7403" s="519" t="s">
        <v>12</v>
      </c>
      <c r="D7403" s="519"/>
      <c r="E7403" s="554"/>
      <c r="F7403" s="555"/>
      <c r="G7403" s="48" t="s">
        <v>8</v>
      </c>
      <c r="H7403" s="9"/>
    </row>
    <row r="7404" spans="1:9" ht="15.6" x14ac:dyDescent="0.3">
      <c r="A7404" s="595" t="s">
        <v>631</v>
      </c>
      <c r="B7404" s="553"/>
      <c r="C7404" s="481" t="s">
        <v>15</v>
      </c>
      <c r="D7404" s="481"/>
      <c r="E7404" s="631" t="s">
        <v>632</v>
      </c>
      <c r="F7404" s="632"/>
      <c r="G7404" s="633"/>
      <c r="H7404" s="49"/>
    </row>
    <row r="7405" spans="1:9" ht="15.6" x14ac:dyDescent="0.3">
      <c r="A7405" s="678" t="s">
        <v>1342</v>
      </c>
      <c r="B7405" s="679"/>
      <c r="C7405" s="24"/>
      <c r="D7405" s="25"/>
      <c r="E7405" s="50"/>
      <c r="F7405" s="50"/>
      <c r="G7405" s="51"/>
      <c r="H7405" s="52"/>
    </row>
    <row r="7406" spans="1:9" ht="15" x14ac:dyDescent="0.3">
      <c r="A7406" s="492" t="s">
        <v>17</v>
      </c>
      <c r="B7406" s="494" t="s">
        <v>18</v>
      </c>
      <c r="C7406" s="494" t="s">
        <v>19</v>
      </c>
      <c r="D7406" s="494" t="s">
        <v>20</v>
      </c>
      <c r="E7406" s="494" t="s">
        <v>21</v>
      </c>
      <c r="F7406" s="494" t="s">
        <v>22</v>
      </c>
      <c r="G7406" s="494"/>
      <c r="H7406" s="492" t="s">
        <v>23</v>
      </c>
    </row>
    <row r="7407" spans="1:9" ht="27.6" x14ac:dyDescent="0.3">
      <c r="A7407" s="492"/>
      <c r="B7407" s="494"/>
      <c r="C7407" s="494"/>
      <c r="D7407" s="494"/>
      <c r="E7407" s="494"/>
      <c r="F7407" s="53" t="s">
        <v>24</v>
      </c>
      <c r="G7407" s="53" t="s">
        <v>25</v>
      </c>
      <c r="H7407" s="492"/>
    </row>
    <row r="7408" spans="1:9" x14ac:dyDescent="0.3">
      <c r="A7408" s="57">
        <v>1</v>
      </c>
      <c r="B7408" s="149" t="s">
        <v>1343</v>
      </c>
      <c r="C7408" s="57">
        <v>3</v>
      </c>
      <c r="D7408" s="150">
        <v>998719</v>
      </c>
      <c r="E7408" s="57">
        <v>5000</v>
      </c>
      <c r="F7408" s="151">
        <f>E7408*C7408*9%</f>
        <v>1350</v>
      </c>
      <c r="G7408" s="151">
        <f>F7408</f>
        <v>1350</v>
      </c>
      <c r="H7408" s="57">
        <f>G7408+F7408+E7408*C7408</f>
        <v>17700</v>
      </c>
      <c r="I7408" s="362">
        <f>E7408*C7408</f>
        <v>15000</v>
      </c>
    </row>
    <row r="7409" spans="1:9" x14ac:dyDescent="0.3">
      <c r="A7409" s="147">
        <v>2</v>
      </c>
      <c r="B7409" s="149" t="s">
        <v>1344</v>
      </c>
      <c r="C7409" s="141">
        <v>2</v>
      </c>
      <c r="D7409" s="150">
        <v>998719</v>
      </c>
      <c r="E7409" s="55">
        <v>2300</v>
      </c>
      <c r="F7409" s="151">
        <f>E7409*C7409*9%</f>
        <v>414</v>
      </c>
      <c r="G7409" s="151">
        <f>F7409</f>
        <v>414</v>
      </c>
      <c r="H7409" s="57">
        <f>G7409+F7409+E7409*C7409</f>
        <v>5428</v>
      </c>
      <c r="I7409" s="362">
        <f>E7409*C7409</f>
        <v>4600</v>
      </c>
    </row>
    <row r="7410" spans="1:9" x14ac:dyDescent="0.3">
      <c r="A7410" s="55"/>
      <c r="B7410" s="60"/>
      <c r="C7410" s="55"/>
      <c r="D7410" s="150"/>
      <c r="E7410" s="57"/>
      <c r="F7410" s="151"/>
      <c r="G7410" s="151"/>
      <c r="H7410" s="57"/>
    </row>
    <row r="7411" spans="1:9" x14ac:dyDescent="0.3">
      <c r="A7411" s="55"/>
      <c r="B7411" s="60"/>
      <c r="C7411" s="55"/>
      <c r="D7411" s="56"/>
      <c r="E7411" s="57"/>
      <c r="F7411" s="151"/>
      <c r="G7411" s="151"/>
      <c r="H7411" s="57"/>
    </row>
    <row r="7412" spans="1:9" x14ac:dyDescent="0.3">
      <c r="A7412" s="55"/>
      <c r="B7412" s="94"/>
      <c r="C7412" s="55"/>
      <c r="D7412" s="56"/>
      <c r="E7412" s="47"/>
      <c r="F7412" s="151"/>
      <c r="G7412" s="151"/>
      <c r="H7412" s="57"/>
    </row>
    <row r="7413" spans="1:9" x14ac:dyDescent="0.3">
      <c r="A7413" s="55"/>
      <c r="B7413" s="94"/>
      <c r="C7413" s="55"/>
      <c r="D7413" s="56"/>
      <c r="E7413" s="47"/>
      <c r="F7413" s="151"/>
      <c r="G7413" s="151"/>
      <c r="H7413" s="57"/>
    </row>
    <row r="7414" spans="1:9" x14ac:dyDescent="0.3">
      <c r="A7414" s="27"/>
      <c r="B7414" s="28"/>
      <c r="C7414" s="24"/>
      <c r="D7414" s="152"/>
      <c r="E7414" s="25"/>
      <c r="F7414" s="153"/>
      <c r="G7414" s="153"/>
      <c r="H7414" s="154"/>
    </row>
    <row r="7415" spans="1:9" x14ac:dyDescent="0.3">
      <c r="A7415" s="27"/>
      <c r="B7415" s="28"/>
      <c r="C7415" s="24"/>
      <c r="D7415" s="152"/>
      <c r="E7415" s="25"/>
      <c r="F7415" s="153"/>
      <c r="G7415" s="153"/>
      <c r="H7415" s="154"/>
    </row>
    <row r="7416" spans="1:9" x14ac:dyDescent="0.3">
      <c r="A7416" s="27"/>
      <c r="B7416" s="28"/>
      <c r="C7416" s="24"/>
      <c r="D7416" s="152"/>
      <c r="E7416" s="25"/>
      <c r="F7416" s="153"/>
      <c r="G7416" s="153"/>
      <c r="H7416" s="154"/>
    </row>
    <row r="7417" spans="1:9" x14ac:dyDescent="0.3">
      <c r="A7417" s="27"/>
      <c r="B7417" s="28"/>
      <c r="C7417" s="24"/>
      <c r="D7417" s="152"/>
      <c r="E7417" s="25"/>
      <c r="F7417" s="153"/>
      <c r="G7417" s="153"/>
      <c r="H7417" s="154"/>
    </row>
    <row r="7418" spans="1:9" x14ac:dyDescent="0.3">
      <c r="A7418" s="27"/>
      <c r="B7418" s="28"/>
      <c r="C7418" s="24"/>
      <c r="D7418" s="152"/>
      <c r="E7418" s="25"/>
      <c r="F7418" s="153"/>
      <c r="G7418" s="153"/>
      <c r="H7418" s="154"/>
    </row>
    <row r="7419" spans="1:9" x14ac:dyDescent="0.3">
      <c r="A7419" s="27"/>
      <c r="B7419" s="28"/>
      <c r="C7419" s="24"/>
      <c r="D7419" s="152"/>
      <c r="E7419" s="25"/>
      <c r="F7419" s="153"/>
      <c r="G7419" s="153"/>
      <c r="H7419" s="154"/>
    </row>
    <row r="7420" spans="1:9" x14ac:dyDescent="0.3">
      <c r="A7420" s="27"/>
      <c r="B7420" s="28"/>
      <c r="C7420" s="24"/>
      <c r="D7420" s="152"/>
      <c r="E7420" s="25"/>
      <c r="F7420" s="153"/>
      <c r="G7420" s="153"/>
      <c r="H7420" s="154"/>
    </row>
    <row r="7421" spans="1:9" x14ac:dyDescent="0.3">
      <c r="A7421" s="27"/>
      <c r="B7421" s="28"/>
      <c r="C7421" s="24"/>
      <c r="D7421" s="152"/>
      <c r="E7421" s="25"/>
      <c r="F7421" s="153"/>
      <c r="G7421" s="153"/>
      <c r="H7421" s="154"/>
    </row>
    <row r="7422" spans="1:9" x14ac:dyDescent="0.3">
      <c r="A7422" s="27"/>
      <c r="B7422" s="28"/>
      <c r="C7422" s="24"/>
      <c r="D7422" s="152"/>
      <c r="E7422" s="25"/>
      <c r="F7422" s="153"/>
      <c r="G7422" s="153"/>
      <c r="H7422" s="154"/>
    </row>
    <row r="7423" spans="1:9" x14ac:dyDescent="0.3">
      <c r="A7423" s="27"/>
      <c r="B7423" s="28"/>
      <c r="C7423" s="24"/>
      <c r="D7423" s="152"/>
      <c r="E7423" s="25"/>
      <c r="F7423" s="153"/>
      <c r="G7423" s="153"/>
      <c r="H7423" s="154"/>
    </row>
    <row r="7424" spans="1:9" x14ac:dyDescent="0.3">
      <c r="A7424" s="27"/>
      <c r="B7424" s="28"/>
      <c r="C7424" s="24"/>
      <c r="D7424" s="152"/>
      <c r="E7424" s="25"/>
      <c r="F7424" s="153"/>
      <c r="G7424" s="153"/>
      <c r="H7424" s="154"/>
    </row>
    <row r="7425" spans="1:8" x14ac:dyDescent="0.3">
      <c r="A7425" s="27"/>
      <c r="B7425" s="28"/>
      <c r="C7425" s="24"/>
      <c r="D7425" s="25"/>
      <c r="E7425" s="25"/>
      <c r="F7425" s="25"/>
      <c r="G7425" s="28"/>
      <c r="H7425" s="32"/>
    </row>
    <row r="7426" spans="1:8" x14ac:dyDescent="0.3">
      <c r="A7426" s="27"/>
      <c r="B7426" s="28"/>
      <c r="C7426" s="24"/>
      <c r="D7426" s="25"/>
      <c r="E7426" s="25"/>
      <c r="F7426" s="25"/>
      <c r="G7426" s="28"/>
      <c r="H7426" s="32"/>
    </row>
    <row r="7427" spans="1:8" x14ac:dyDescent="0.3">
      <c r="A7427" s="27"/>
      <c r="B7427" s="28"/>
      <c r="C7427" s="24"/>
      <c r="D7427" s="25"/>
      <c r="E7427" s="25"/>
      <c r="F7427" s="25"/>
      <c r="G7427" s="28"/>
      <c r="H7427" s="32"/>
    </row>
    <row r="7428" spans="1:8" x14ac:dyDescent="0.3">
      <c r="A7428" s="27"/>
      <c r="B7428" s="28"/>
      <c r="C7428" s="24"/>
      <c r="D7428" s="25"/>
      <c r="E7428" s="25"/>
      <c r="F7428" s="25"/>
      <c r="G7428" s="28"/>
      <c r="H7428" s="32"/>
    </row>
    <row r="7429" spans="1:8" x14ac:dyDescent="0.3">
      <c r="A7429" s="27"/>
      <c r="B7429" s="28"/>
      <c r="C7429" s="24"/>
      <c r="D7429" s="25"/>
      <c r="E7429" s="25"/>
      <c r="F7429" s="25"/>
      <c r="G7429" s="28"/>
      <c r="H7429" s="32"/>
    </row>
    <row r="7430" spans="1:8" x14ac:dyDescent="0.3">
      <c r="A7430" s="27"/>
      <c r="B7430" s="28"/>
      <c r="C7430" s="24"/>
      <c r="D7430" s="25"/>
      <c r="E7430" s="25"/>
      <c r="F7430" s="25"/>
      <c r="G7430" s="28"/>
      <c r="H7430" s="32"/>
    </row>
    <row r="7431" spans="1:8" x14ac:dyDescent="0.3">
      <c r="A7431" s="27"/>
      <c r="B7431" s="28"/>
      <c r="C7431" s="24"/>
      <c r="D7431" s="25"/>
      <c r="E7431" s="25"/>
      <c r="F7431" s="25"/>
      <c r="G7431" s="28"/>
      <c r="H7431" s="32"/>
    </row>
    <row r="7432" spans="1:8" ht="15.6" x14ac:dyDescent="0.3">
      <c r="A7432" s="497" t="s">
        <v>97</v>
      </c>
      <c r="B7432" s="498"/>
      <c r="C7432" s="24"/>
      <c r="D7432" s="25"/>
      <c r="E7432" s="25"/>
      <c r="F7432" s="116" t="s">
        <v>46</v>
      </c>
      <c r="G7432" s="26"/>
      <c r="H7432" s="66">
        <v>19600</v>
      </c>
    </row>
    <row r="7433" spans="1:8" ht="15.6" x14ac:dyDescent="0.3">
      <c r="A7433" s="497" t="s">
        <v>1345</v>
      </c>
      <c r="B7433" s="498"/>
      <c r="C7433" s="498"/>
      <c r="D7433" s="498"/>
      <c r="E7433" s="67"/>
      <c r="F7433" s="116" t="s">
        <v>47</v>
      </c>
      <c r="G7433" s="26"/>
      <c r="H7433" s="66">
        <f>H7432*9%</f>
        <v>1764</v>
      </c>
    </row>
    <row r="7434" spans="1:8" ht="15.6" x14ac:dyDescent="0.3">
      <c r="A7434" s="27"/>
      <c r="B7434" s="28"/>
      <c r="C7434" s="24"/>
      <c r="D7434" s="25"/>
      <c r="E7434" s="25"/>
      <c r="F7434" s="116" t="s">
        <v>48</v>
      </c>
      <c r="G7434" s="26"/>
      <c r="H7434" s="66">
        <f>H7432*9%</f>
        <v>1764</v>
      </c>
    </row>
    <row r="7435" spans="1:8" ht="15.6" x14ac:dyDescent="0.3">
      <c r="A7435" s="497" t="s">
        <v>49</v>
      </c>
      <c r="B7435" s="498"/>
      <c r="C7435" s="498"/>
      <c r="D7435" s="25"/>
      <c r="E7435" s="25"/>
      <c r="F7435" s="116" t="s">
        <v>50</v>
      </c>
      <c r="G7435" s="26"/>
      <c r="H7435" s="66">
        <v>23128</v>
      </c>
    </row>
    <row r="7436" spans="1:8" ht="27" x14ac:dyDescent="0.3">
      <c r="A7436" s="68" t="s">
        <v>22</v>
      </c>
      <c r="B7436" s="69" t="s">
        <v>51</v>
      </c>
      <c r="C7436" s="70" t="s">
        <v>24</v>
      </c>
      <c r="D7436" s="31" t="s">
        <v>25</v>
      </c>
      <c r="E7436" s="528" t="s">
        <v>52</v>
      </c>
      <c r="F7436" s="528"/>
      <c r="G7436" s="28"/>
      <c r="H7436" s="32"/>
    </row>
    <row r="7437" spans="1:8" x14ac:dyDescent="0.3">
      <c r="A7437" s="72">
        <v>0.18</v>
      </c>
      <c r="B7437" s="73">
        <f>H7432</f>
        <v>19600</v>
      </c>
      <c r="C7437" s="155">
        <f>H7433</f>
        <v>1764</v>
      </c>
      <c r="D7437" s="155">
        <f>H7434</f>
        <v>1764</v>
      </c>
      <c r="E7437" s="507">
        <f>C7437+D7437</f>
        <v>3528</v>
      </c>
      <c r="F7437" s="507"/>
      <c r="G7437" s="74"/>
      <c r="H7437" s="75"/>
    </row>
    <row r="7438" spans="1:8" x14ac:dyDescent="0.3">
      <c r="A7438" s="452" t="s">
        <v>635</v>
      </c>
      <c r="B7438" s="453"/>
      <c r="C7438" s="453"/>
      <c r="D7438" s="453"/>
      <c r="E7438" s="453"/>
      <c r="F7438" s="453"/>
      <c r="G7438" s="453"/>
      <c r="H7438" s="79"/>
    </row>
    <row r="7439" spans="1:8" ht="15.6" x14ac:dyDescent="0.3">
      <c r="A7439" s="455" t="s">
        <v>53</v>
      </c>
      <c r="B7439" s="456"/>
      <c r="C7439" s="456"/>
      <c r="D7439" s="456"/>
      <c r="E7439" s="458" t="s">
        <v>54</v>
      </c>
      <c r="F7439" s="459"/>
      <c r="G7439" s="459"/>
      <c r="H7439" s="460"/>
    </row>
    <row r="7440" spans="1:8" x14ac:dyDescent="0.3">
      <c r="A7440" s="461" t="s">
        <v>55</v>
      </c>
      <c r="B7440" s="462"/>
      <c r="C7440" s="462"/>
      <c r="D7440" s="462"/>
      <c r="E7440" s="39"/>
      <c r="F7440" s="25"/>
      <c r="G7440" s="28"/>
      <c r="H7440" s="32"/>
    </row>
    <row r="7441" spans="1:8" x14ac:dyDescent="0.3">
      <c r="A7441" s="461" t="s">
        <v>56</v>
      </c>
      <c r="B7441" s="462"/>
      <c r="C7441" s="462"/>
      <c r="D7441" s="462"/>
      <c r="E7441" s="39"/>
      <c r="F7441" s="25"/>
      <c r="G7441" s="28"/>
      <c r="H7441" s="32"/>
    </row>
    <row r="7442" spans="1:8" x14ac:dyDescent="0.3">
      <c r="A7442" s="461" t="s">
        <v>57</v>
      </c>
      <c r="B7442" s="462"/>
      <c r="C7442" s="462"/>
      <c r="D7442" s="462"/>
      <c r="E7442" s="39"/>
      <c r="F7442" s="25"/>
      <c r="G7442" s="28"/>
      <c r="H7442" s="32"/>
    </row>
    <row r="7443" spans="1:8" ht="15.6" x14ac:dyDescent="0.3">
      <c r="A7443" s="464" t="s">
        <v>58</v>
      </c>
      <c r="B7443" s="465"/>
      <c r="C7443" s="465"/>
      <c r="D7443" s="465"/>
      <c r="E7443" s="466" t="s">
        <v>59</v>
      </c>
      <c r="F7443" s="467"/>
      <c r="G7443" s="467"/>
      <c r="H7443" s="468"/>
    </row>
    <row r="7446" spans="1:8" ht="44.4" x14ac:dyDescent="0.7">
      <c r="A7446" s="469" t="s">
        <v>0</v>
      </c>
      <c r="B7446" s="470"/>
      <c r="C7446" s="470"/>
      <c r="D7446" s="470"/>
      <c r="E7446" s="531" t="s">
        <v>92</v>
      </c>
      <c r="F7446" s="544"/>
      <c r="G7446" s="544"/>
      <c r="H7446" s="545"/>
    </row>
    <row r="7447" spans="1:8" ht="20.399999999999999" x14ac:dyDescent="0.35">
      <c r="A7447" s="1"/>
      <c r="B7447" s="476" t="s">
        <v>2</v>
      </c>
      <c r="C7447" s="476"/>
      <c r="D7447" s="476"/>
      <c r="E7447" s="546"/>
      <c r="F7447" s="546"/>
      <c r="G7447" s="546"/>
      <c r="H7447" s="547"/>
    </row>
    <row r="7448" spans="1:8" x14ac:dyDescent="0.3">
      <c r="A7448" s="477" t="s">
        <v>3</v>
      </c>
      <c r="B7448" s="478"/>
      <c r="C7448" s="136"/>
      <c r="D7448" s="499" t="s">
        <v>4</v>
      </c>
      <c r="E7448" s="499"/>
      <c r="F7448" s="137"/>
      <c r="G7448" s="575" t="s">
        <v>134</v>
      </c>
      <c r="H7448" s="576"/>
    </row>
    <row r="7449" spans="1:8" ht="15.6" x14ac:dyDescent="0.3">
      <c r="A7449" s="138" t="s">
        <v>6</v>
      </c>
      <c r="B7449" s="5"/>
      <c r="C7449" s="481" t="s">
        <v>7</v>
      </c>
      <c r="D7449" s="481"/>
      <c r="E7449" s="482">
        <v>162</v>
      </c>
      <c r="F7449" s="482"/>
      <c r="G7449" s="7" t="s">
        <v>8</v>
      </c>
      <c r="H7449" s="8" t="s">
        <v>1341</v>
      </c>
    </row>
    <row r="7450" spans="1:8" ht="15.6" x14ac:dyDescent="0.3">
      <c r="A7450" s="556" t="s">
        <v>177</v>
      </c>
      <c r="B7450" s="557"/>
      <c r="C7450" s="481" t="s">
        <v>10</v>
      </c>
      <c r="D7450" s="481"/>
      <c r="E7450" s="482"/>
      <c r="F7450" s="482"/>
      <c r="G7450" s="7" t="s">
        <v>8</v>
      </c>
      <c r="H7450" s="6"/>
    </row>
    <row r="7451" spans="1:8" ht="15.6" x14ac:dyDescent="0.3">
      <c r="A7451" s="577" t="s">
        <v>178</v>
      </c>
      <c r="B7451" s="578"/>
      <c r="C7451" s="481" t="s">
        <v>12</v>
      </c>
      <c r="D7451" s="481"/>
      <c r="E7451" s="482">
        <v>668</v>
      </c>
      <c r="F7451" s="482"/>
      <c r="G7451" s="7" t="s">
        <v>8</v>
      </c>
      <c r="H7451" s="8">
        <v>45972</v>
      </c>
    </row>
    <row r="7452" spans="1:8" ht="15.6" x14ac:dyDescent="0.3">
      <c r="A7452" s="556" t="s">
        <v>179</v>
      </c>
      <c r="B7452" s="557"/>
      <c r="C7452" s="481" t="s">
        <v>15</v>
      </c>
      <c r="D7452" s="481"/>
      <c r="E7452" s="566" t="s">
        <v>180</v>
      </c>
      <c r="F7452" s="567"/>
      <c r="G7452" s="567"/>
      <c r="H7452" s="568"/>
    </row>
    <row r="7453" spans="1:8" ht="15.6" x14ac:dyDescent="0.3">
      <c r="A7453" s="558" t="s">
        <v>1346</v>
      </c>
      <c r="B7453" s="559"/>
      <c r="C7453" s="569"/>
      <c r="D7453" s="570"/>
      <c r="E7453" s="570"/>
      <c r="F7453" s="570"/>
      <c r="G7453" s="570"/>
      <c r="H7453" s="571"/>
    </row>
    <row r="7454" spans="1:8" ht="15" x14ac:dyDescent="0.3">
      <c r="A7454" s="492" t="s">
        <v>17</v>
      </c>
      <c r="B7454" s="494" t="s">
        <v>18</v>
      </c>
      <c r="C7454" s="494" t="s">
        <v>19</v>
      </c>
      <c r="D7454" s="494" t="s">
        <v>20</v>
      </c>
      <c r="E7454" s="494" t="s">
        <v>21</v>
      </c>
      <c r="F7454" s="494" t="s">
        <v>22</v>
      </c>
      <c r="G7454" s="494"/>
      <c r="H7454" s="492" t="s">
        <v>23</v>
      </c>
    </row>
    <row r="7455" spans="1:8" ht="27.6" x14ac:dyDescent="0.3">
      <c r="A7455" s="492"/>
      <c r="B7455" s="494"/>
      <c r="C7455" s="494"/>
      <c r="D7455" s="494"/>
      <c r="E7455" s="494"/>
      <c r="F7455" s="53" t="s">
        <v>24</v>
      </c>
      <c r="G7455" s="53" t="s">
        <v>25</v>
      </c>
      <c r="H7455" s="492"/>
    </row>
    <row r="7456" spans="1:8" x14ac:dyDescent="0.3">
      <c r="A7456" s="57">
        <v>1</v>
      </c>
      <c r="B7456" s="113" t="s">
        <v>1347</v>
      </c>
      <c r="C7456" s="57">
        <v>1</v>
      </c>
      <c r="D7456" s="170">
        <v>998719</v>
      </c>
      <c r="E7456" s="57">
        <v>9000</v>
      </c>
      <c r="F7456" s="58">
        <f>C7456*E7456*9%</f>
        <v>810</v>
      </c>
      <c r="G7456" s="58">
        <f>C7456*E7456*9%</f>
        <v>810</v>
      </c>
      <c r="H7456" s="59">
        <f>C7456*E7456+F7456+G7456</f>
        <v>10620</v>
      </c>
    </row>
    <row r="7457" spans="1:8" x14ac:dyDescent="0.3">
      <c r="A7457" s="57">
        <v>2</v>
      </c>
      <c r="B7457" s="60" t="s">
        <v>1348</v>
      </c>
      <c r="C7457" s="57">
        <v>1</v>
      </c>
      <c r="D7457" s="56">
        <v>998719</v>
      </c>
      <c r="E7457" s="57">
        <v>4500</v>
      </c>
      <c r="F7457" s="58">
        <f>C7457*E7457*9%</f>
        <v>405</v>
      </c>
      <c r="G7457" s="58">
        <f>C7457*E7457*9%</f>
        <v>405</v>
      </c>
      <c r="H7457" s="59">
        <f>C7457*E7457+F7457+G7457</f>
        <v>5310</v>
      </c>
    </row>
    <row r="7458" spans="1:8" x14ac:dyDescent="0.3">
      <c r="A7458" s="55"/>
      <c r="B7458" s="63"/>
      <c r="C7458" s="55"/>
      <c r="D7458" s="56"/>
      <c r="E7458" s="55"/>
      <c r="F7458" s="58"/>
      <c r="G7458" s="58"/>
      <c r="H7458" s="59"/>
    </row>
    <row r="7459" spans="1:8" x14ac:dyDescent="0.3">
      <c r="A7459" s="90"/>
      <c r="B7459" s="132"/>
      <c r="C7459" s="24"/>
      <c r="D7459" s="164"/>
      <c r="E7459" s="24"/>
      <c r="F7459" s="165"/>
      <c r="G7459" s="165"/>
      <c r="H7459" s="166"/>
    </row>
    <row r="7460" spans="1:8" x14ac:dyDescent="0.3">
      <c r="A7460" s="90"/>
      <c r="B7460" s="132"/>
      <c r="C7460" s="24"/>
      <c r="D7460" s="164"/>
      <c r="E7460" s="24"/>
      <c r="F7460" s="165"/>
      <c r="G7460" s="165"/>
      <c r="H7460" s="166"/>
    </row>
    <row r="7461" spans="1:8" x14ac:dyDescent="0.3">
      <c r="A7461" s="90"/>
      <c r="B7461" s="132"/>
      <c r="C7461" s="24"/>
      <c r="D7461" s="164"/>
      <c r="E7461" s="24"/>
      <c r="F7461" s="165"/>
      <c r="G7461" s="165"/>
      <c r="H7461" s="166"/>
    </row>
    <row r="7462" spans="1:8" x14ac:dyDescent="0.3">
      <c r="A7462" s="27"/>
      <c r="B7462" s="132"/>
      <c r="C7462" s="24"/>
      <c r="D7462" s="25"/>
      <c r="E7462" s="25"/>
      <c r="F7462" s="165"/>
      <c r="G7462" s="165"/>
      <c r="H7462" s="166"/>
    </row>
    <row r="7463" spans="1:8" x14ac:dyDescent="0.3">
      <c r="A7463" s="27"/>
      <c r="B7463" s="28"/>
      <c r="C7463" s="24"/>
      <c r="D7463" s="25"/>
      <c r="E7463" s="25"/>
      <c r="F7463" s="165"/>
      <c r="G7463" s="165"/>
      <c r="H7463" s="166"/>
    </row>
    <row r="7464" spans="1:8" x14ac:dyDescent="0.3">
      <c r="A7464" s="27"/>
      <c r="B7464" s="28"/>
      <c r="C7464" s="24"/>
      <c r="D7464" s="25"/>
      <c r="E7464" s="25"/>
      <c r="F7464" s="165"/>
      <c r="G7464" s="165"/>
      <c r="H7464" s="166"/>
    </row>
    <row r="7465" spans="1:8" x14ac:dyDescent="0.3">
      <c r="A7465" s="27"/>
      <c r="B7465" s="28"/>
      <c r="C7465" s="24"/>
      <c r="D7465" s="25"/>
      <c r="E7465" s="25"/>
      <c r="F7465" s="165"/>
      <c r="G7465" s="165"/>
      <c r="H7465" s="166"/>
    </row>
    <row r="7466" spans="1:8" x14ac:dyDescent="0.3">
      <c r="A7466" s="27"/>
      <c r="B7466" s="28"/>
      <c r="C7466" s="24"/>
      <c r="D7466" s="25"/>
      <c r="E7466" s="25"/>
      <c r="F7466" s="165"/>
      <c r="G7466" s="165"/>
      <c r="H7466" s="166"/>
    </row>
    <row r="7467" spans="1:8" x14ac:dyDescent="0.3">
      <c r="A7467" s="27"/>
      <c r="B7467" s="28"/>
      <c r="C7467" s="24"/>
      <c r="D7467" s="25"/>
      <c r="E7467" s="25"/>
      <c r="F7467" s="165"/>
      <c r="G7467" s="165"/>
      <c r="H7467" s="166"/>
    </row>
    <row r="7468" spans="1:8" x14ac:dyDescent="0.3">
      <c r="A7468" s="27"/>
      <c r="B7468" s="28"/>
      <c r="C7468" s="24"/>
      <c r="D7468" s="25"/>
      <c r="E7468" s="25"/>
      <c r="F7468" s="28"/>
      <c r="G7468" s="28"/>
      <c r="H7468" s="32"/>
    </row>
    <row r="7469" spans="1:8" x14ac:dyDescent="0.3">
      <c r="A7469" s="27"/>
      <c r="B7469" s="28"/>
      <c r="C7469" s="24"/>
      <c r="D7469" s="25"/>
      <c r="E7469" s="25"/>
      <c r="F7469" s="28"/>
      <c r="G7469" s="28"/>
      <c r="H7469" s="32"/>
    </row>
    <row r="7470" spans="1:8" x14ac:dyDescent="0.3">
      <c r="A7470" s="27"/>
      <c r="B7470" s="28"/>
      <c r="C7470" s="24"/>
      <c r="D7470" s="25"/>
      <c r="E7470" s="25"/>
      <c r="F7470" s="28"/>
      <c r="G7470" s="28"/>
      <c r="H7470" s="32"/>
    </row>
    <row r="7471" spans="1:8" x14ac:dyDescent="0.3">
      <c r="A7471" s="27"/>
      <c r="B7471" s="28"/>
      <c r="C7471" s="24"/>
      <c r="D7471" s="25"/>
      <c r="E7471" s="25"/>
      <c r="F7471" s="28"/>
      <c r="G7471" s="28"/>
      <c r="H7471" s="32"/>
    </row>
    <row r="7472" spans="1:8" x14ac:dyDescent="0.3">
      <c r="A7472" s="27"/>
      <c r="B7472" s="28"/>
      <c r="C7472" s="24"/>
      <c r="D7472" s="25"/>
      <c r="E7472" s="25"/>
      <c r="F7472" s="28"/>
      <c r="G7472" s="28"/>
      <c r="H7472" s="32"/>
    </row>
    <row r="7473" spans="1:8" x14ac:dyDescent="0.3">
      <c r="A7473" s="27"/>
      <c r="B7473" s="28"/>
      <c r="C7473" s="24"/>
      <c r="D7473" s="25"/>
      <c r="E7473" s="25"/>
      <c r="F7473" s="28"/>
      <c r="G7473" s="28"/>
      <c r="H7473" s="32"/>
    </row>
    <row r="7474" spans="1:8" x14ac:dyDescent="0.3">
      <c r="A7474" s="27"/>
      <c r="B7474" s="28"/>
      <c r="C7474" s="24"/>
      <c r="D7474" s="25"/>
      <c r="E7474" s="25"/>
      <c r="F7474" s="28"/>
      <c r="G7474" s="28"/>
      <c r="H7474" s="32"/>
    </row>
    <row r="7475" spans="1:8" x14ac:dyDescent="0.3">
      <c r="A7475" s="27"/>
      <c r="B7475" s="28"/>
      <c r="C7475" s="24"/>
      <c r="D7475" s="25"/>
      <c r="E7475" s="25"/>
      <c r="F7475" s="28"/>
      <c r="G7475" s="28"/>
      <c r="H7475" s="32"/>
    </row>
    <row r="7476" spans="1:8" x14ac:dyDescent="0.3">
      <c r="A7476" s="27"/>
      <c r="B7476" s="28"/>
      <c r="C7476" s="24"/>
      <c r="D7476" s="25"/>
      <c r="E7476" s="25"/>
      <c r="F7476" s="28"/>
      <c r="G7476" s="28"/>
      <c r="H7476" s="32"/>
    </row>
    <row r="7477" spans="1:8" x14ac:dyDescent="0.3">
      <c r="A7477" s="27"/>
      <c r="B7477" s="28"/>
      <c r="C7477" s="24"/>
      <c r="D7477" s="25"/>
      <c r="E7477" s="25"/>
      <c r="F7477" s="28"/>
      <c r="G7477" s="28"/>
      <c r="H7477" s="32"/>
    </row>
    <row r="7478" spans="1:8" x14ac:dyDescent="0.3">
      <c r="A7478" s="27"/>
      <c r="B7478" s="28"/>
      <c r="C7478" s="24"/>
      <c r="D7478" s="25"/>
      <c r="E7478" s="25"/>
      <c r="F7478" s="28"/>
      <c r="G7478" s="28"/>
      <c r="H7478" s="32"/>
    </row>
    <row r="7479" spans="1:8" ht="15.6" x14ac:dyDescent="0.3">
      <c r="A7479" s="448" t="s">
        <v>45</v>
      </c>
      <c r="B7479" s="449"/>
      <c r="C7479" s="449"/>
      <c r="D7479" s="25"/>
      <c r="E7479" s="25"/>
      <c r="F7479" s="447" t="s">
        <v>46</v>
      </c>
      <c r="G7479" s="447"/>
      <c r="H7479" s="66">
        <f>(C7456*E7456)+(C7457*E7457)+(C7458*E7458)</f>
        <v>13500</v>
      </c>
    </row>
    <row r="7480" spans="1:8" ht="15.6" x14ac:dyDescent="0.3">
      <c r="A7480" s="497" t="s">
        <v>1349</v>
      </c>
      <c r="B7480" s="498"/>
      <c r="C7480" s="498"/>
      <c r="D7480" s="498"/>
      <c r="E7480" s="498"/>
      <c r="F7480" s="447" t="s">
        <v>47</v>
      </c>
      <c r="G7480" s="447"/>
      <c r="H7480" s="66">
        <f>H7479*9%</f>
        <v>1215</v>
      </c>
    </row>
    <row r="7481" spans="1:8" ht="15.6" x14ac:dyDescent="0.3">
      <c r="A7481" s="27"/>
      <c r="B7481" s="28"/>
      <c r="C7481" s="24"/>
      <c r="D7481" s="25"/>
      <c r="E7481" s="25"/>
      <c r="F7481" s="447" t="s">
        <v>48</v>
      </c>
      <c r="G7481" s="447"/>
      <c r="H7481" s="66">
        <f>H7479*9%</f>
        <v>1215</v>
      </c>
    </row>
    <row r="7482" spans="1:8" ht="15.6" x14ac:dyDescent="0.3">
      <c r="A7482" s="448" t="s">
        <v>49</v>
      </c>
      <c r="B7482" s="449"/>
      <c r="C7482" s="449"/>
      <c r="D7482" s="449"/>
      <c r="E7482" s="25"/>
      <c r="F7482" s="447" t="s">
        <v>50</v>
      </c>
      <c r="G7482" s="447"/>
      <c r="H7482" s="66">
        <v>15930</v>
      </c>
    </row>
    <row r="7483" spans="1:8" ht="27" x14ac:dyDescent="0.3">
      <c r="A7483" s="68" t="s">
        <v>22</v>
      </c>
      <c r="B7483" s="69" t="s">
        <v>51</v>
      </c>
      <c r="C7483" s="70" t="s">
        <v>24</v>
      </c>
      <c r="D7483" s="31" t="s">
        <v>25</v>
      </c>
      <c r="E7483" s="450" t="s">
        <v>52</v>
      </c>
      <c r="F7483" s="450"/>
      <c r="G7483" s="28"/>
      <c r="H7483" s="32"/>
    </row>
    <row r="7484" spans="1:8" x14ac:dyDescent="0.3">
      <c r="A7484" s="72">
        <v>0.18</v>
      </c>
      <c r="B7484" s="73">
        <f>H7479</f>
        <v>13500</v>
      </c>
      <c r="C7484" s="74">
        <f>H7480</f>
        <v>1215</v>
      </c>
      <c r="D7484" s="74">
        <f>H7481</f>
        <v>1215</v>
      </c>
      <c r="E7484" s="507">
        <f>C7484+D7484</f>
        <v>2430</v>
      </c>
      <c r="F7484" s="507"/>
      <c r="G7484" s="74"/>
      <c r="H7484" s="75"/>
    </row>
    <row r="7485" spans="1:8" x14ac:dyDescent="0.3">
      <c r="A7485" s="452" t="s">
        <v>1350</v>
      </c>
      <c r="B7485" s="453"/>
      <c r="C7485" s="453"/>
      <c r="D7485" s="453"/>
      <c r="E7485" s="453"/>
      <c r="F7485" s="453"/>
      <c r="G7485" s="453"/>
      <c r="H7485" s="454"/>
    </row>
    <row r="7486" spans="1:8" ht="15.6" x14ac:dyDescent="0.3">
      <c r="A7486" s="455" t="s">
        <v>53</v>
      </c>
      <c r="B7486" s="456"/>
      <c r="C7486" s="456"/>
      <c r="D7486" s="457"/>
      <c r="E7486" s="458" t="s">
        <v>54</v>
      </c>
      <c r="F7486" s="459"/>
      <c r="G7486" s="459"/>
      <c r="H7486" s="460"/>
    </row>
    <row r="7487" spans="1:8" x14ac:dyDescent="0.3">
      <c r="A7487" s="461" t="s">
        <v>55</v>
      </c>
      <c r="B7487" s="462"/>
      <c r="C7487" s="462"/>
      <c r="D7487" s="463"/>
      <c r="E7487" s="39"/>
      <c r="F7487" s="28"/>
      <c r="G7487" s="28"/>
      <c r="H7487" s="32"/>
    </row>
    <row r="7488" spans="1:8" x14ac:dyDescent="0.3">
      <c r="A7488" s="461" t="s">
        <v>56</v>
      </c>
      <c r="B7488" s="462"/>
      <c r="C7488" s="462"/>
      <c r="D7488" s="463"/>
      <c r="E7488" s="39"/>
      <c r="F7488" s="28"/>
      <c r="G7488" s="28"/>
      <c r="H7488" s="32"/>
    </row>
    <row r="7489" spans="1:9" x14ac:dyDescent="0.3">
      <c r="A7489" s="461" t="s">
        <v>57</v>
      </c>
      <c r="B7489" s="462"/>
      <c r="C7489" s="462"/>
      <c r="D7489" s="463"/>
      <c r="E7489" s="167"/>
      <c r="H7489" s="168"/>
    </row>
    <row r="7490" spans="1:9" ht="15.6" x14ac:dyDescent="0.3">
      <c r="A7490" s="464" t="s">
        <v>58</v>
      </c>
      <c r="B7490" s="465"/>
      <c r="C7490" s="465"/>
      <c r="D7490" s="510"/>
      <c r="E7490" s="466" t="s">
        <v>59</v>
      </c>
      <c r="F7490" s="467"/>
      <c r="G7490" s="467"/>
      <c r="H7490" s="468"/>
    </row>
    <row r="7493" spans="1:9" ht="44.4" x14ac:dyDescent="0.7">
      <c r="A7493" s="469" t="s">
        <v>0</v>
      </c>
      <c r="B7493" s="470"/>
      <c r="C7493" s="470"/>
      <c r="D7493" s="470"/>
      <c r="E7493" s="531" t="s">
        <v>92</v>
      </c>
      <c r="F7493" s="544"/>
      <c r="G7493" s="544"/>
      <c r="H7493" s="545"/>
    </row>
    <row r="7494" spans="1:9" ht="20.399999999999999" x14ac:dyDescent="0.35">
      <c r="A7494" s="1"/>
      <c r="B7494" s="476" t="s">
        <v>2</v>
      </c>
      <c r="C7494" s="476"/>
      <c r="D7494" s="476"/>
      <c r="E7494" s="546"/>
      <c r="F7494" s="546"/>
      <c r="G7494" s="546"/>
      <c r="H7494" s="547"/>
    </row>
    <row r="7495" spans="1:9" x14ac:dyDescent="0.3">
      <c r="A7495" s="477" t="s">
        <v>3</v>
      </c>
      <c r="B7495" s="478"/>
      <c r="C7495" s="136"/>
      <c r="D7495" s="499" t="s">
        <v>4</v>
      </c>
      <c r="E7495" s="499"/>
      <c r="F7495" s="137"/>
      <c r="G7495" s="575" t="s">
        <v>134</v>
      </c>
      <c r="H7495" s="576"/>
    </row>
    <row r="7496" spans="1:9" ht="15.6" x14ac:dyDescent="0.3">
      <c r="A7496" s="138" t="s">
        <v>6</v>
      </c>
      <c r="B7496" s="5"/>
      <c r="C7496" s="481" t="s">
        <v>7</v>
      </c>
      <c r="D7496" s="481"/>
      <c r="E7496" s="482">
        <v>163</v>
      </c>
      <c r="F7496" s="482"/>
      <c r="G7496" s="7" t="s">
        <v>8</v>
      </c>
      <c r="H7496" s="8" t="s">
        <v>1341</v>
      </c>
    </row>
    <row r="7497" spans="1:9" ht="15.6" x14ac:dyDescent="0.3">
      <c r="A7497" s="556" t="s">
        <v>1351</v>
      </c>
      <c r="B7497" s="557"/>
      <c r="C7497" s="481" t="s">
        <v>10</v>
      </c>
      <c r="D7497" s="481"/>
      <c r="E7497" s="482"/>
      <c r="F7497" s="482"/>
      <c r="G7497" s="7" t="s">
        <v>8</v>
      </c>
      <c r="H7497" s="6"/>
    </row>
    <row r="7498" spans="1:9" ht="15.6" x14ac:dyDescent="0.3">
      <c r="A7498" s="577" t="s">
        <v>1352</v>
      </c>
      <c r="B7498" s="578"/>
      <c r="C7498" s="481" t="s">
        <v>12</v>
      </c>
      <c r="D7498" s="481"/>
      <c r="E7498" s="482"/>
      <c r="F7498" s="482"/>
      <c r="G7498" s="7" t="s">
        <v>8</v>
      </c>
      <c r="H7498" s="8"/>
    </row>
    <row r="7499" spans="1:9" ht="15.6" x14ac:dyDescent="0.3">
      <c r="A7499" s="556" t="s">
        <v>1353</v>
      </c>
      <c r="B7499" s="557"/>
      <c r="C7499" s="481" t="s">
        <v>15</v>
      </c>
      <c r="D7499" s="481"/>
      <c r="E7499" s="566" t="s">
        <v>1414</v>
      </c>
      <c r="F7499" s="567"/>
      <c r="G7499" s="567"/>
      <c r="H7499" s="568"/>
    </row>
    <row r="7500" spans="1:9" ht="15.6" x14ac:dyDescent="0.3">
      <c r="A7500" s="558" t="s">
        <v>1354</v>
      </c>
      <c r="B7500" s="559"/>
      <c r="C7500" s="569"/>
      <c r="D7500" s="570"/>
      <c r="E7500" s="570"/>
      <c r="F7500" s="570"/>
      <c r="G7500" s="570"/>
      <c r="H7500" s="571"/>
    </row>
    <row r="7501" spans="1:9" ht="15" x14ac:dyDescent="0.3">
      <c r="A7501" s="492" t="s">
        <v>17</v>
      </c>
      <c r="B7501" s="494" t="s">
        <v>18</v>
      </c>
      <c r="C7501" s="494" t="s">
        <v>19</v>
      </c>
      <c r="D7501" s="494" t="s">
        <v>20</v>
      </c>
      <c r="E7501" s="494" t="s">
        <v>21</v>
      </c>
      <c r="F7501" s="494" t="s">
        <v>22</v>
      </c>
      <c r="G7501" s="494"/>
      <c r="H7501" s="492" t="s">
        <v>23</v>
      </c>
    </row>
    <row r="7502" spans="1:9" ht="27.6" x14ac:dyDescent="0.3">
      <c r="A7502" s="492"/>
      <c r="B7502" s="494"/>
      <c r="C7502" s="494"/>
      <c r="D7502" s="494"/>
      <c r="E7502" s="494"/>
      <c r="F7502" s="53" t="s">
        <v>24</v>
      </c>
      <c r="G7502" s="53" t="s">
        <v>25</v>
      </c>
      <c r="H7502" s="492"/>
    </row>
    <row r="7503" spans="1:9" x14ac:dyDescent="0.3">
      <c r="A7503" s="57">
        <v>1</v>
      </c>
      <c r="B7503" s="113" t="s">
        <v>1355</v>
      </c>
      <c r="C7503" s="57">
        <v>12</v>
      </c>
      <c r="D7503" s="170">
        <v>998719</v>
      </c>
      <c r="E7503" s="57">
        <v>2472</v>
      </c>
      <c r="F7503" s="58">
        <f>C7503*E7503*9%</f>
        <v>2669.7599999999998</v>
      </c>
      <c r="G7503" s="58">
        <f>C7503*E7503*9%</f>
        <v>2669.7599999999998</v>
      </c>
      <c r="H7503" s="59">
        <f>C7503*E7503+F7503+G7503</f>
        <v>35003.519999999997</v>
      </c>
      <c r="I7503" s="362">
        <f>E7503*C7503</f>
        <v>29664</v>
      </c>
    </row>
    <row r="7504" spans="1:9" x14ac:dyDescent="0.3">
      <c r="A7504" s="57"/>
      <c r="B7504" s="60"/>
      <c r="C7504" s="57"/>
      <c r="D7504" s="56"/>
      <c r="E7504" s="57"/>
      <c r="F7504" s="58"/>
      <c r="G7504" s="58"/>
      <c r="H7504" s="59"/>
    </row>
    <row r="7505" spans="1:8" x14ac:dyDescent="0.3">
      <c r="A7505" s="55"/>
      <c r="B7505" s="63"/>
      <c r="C7505" s="55"/>
      <c r="D7505" s="56"/>
      <c r="E7505" s="55"/>
      <c r="F7505" s="58"/>
      <c r="G7505" s="58"/>
      <c r="H7505" s="59"/>
    </row>
    <row r="7506" spans="1:8" x14ac:dyDescent="0.3">
      <c r="A7506" s="90"/>
      <c r="B7506" s="132"/>
      <c r="C7506" s="24"/>
      <c r="D7506" s="164"/>
      <c r="E7506" s="24"/>
      <c r="F7506" s="165"/>
      <c r="G7506" s="165"/>
      <c r="H7506" s="166"/>
    </row>
    <row r="7507" spans="1:8" x14ac:dyDescent="0.3">
      <c r="A7507" s="90"/>
      <c r="B7507" s="132"/>
      <c r="C7507" s="24"/>
      <c r="D7507" s="164"/>
      <c r="E7507" s="24"/>
      <c r="F7507" s="165"/>
      <c r="G7507" s="165"/>
      <c r="H7507" s="166"/>
    </row>
    <row r="7508" spans="1:8" x14ac:dyDescent="0.3">
      <c r="A7508" s="90"/>
      <c r="B7508" s="132"/>
      <c r="C7508" s="24"/>
      <c r="D7508" s="164"/>
      <c r="E7508" s="24"/>
      <c r="F7508" s="165"/>
      <c r="G7508" s="165"/>
      <c r="H7508" s="166"/>
    </row>
    <row r="7509" spans="1:8" x14ac:dyDescent="0.3">
      <c r="A7509" s="27"/>
      <c r="B7509" s="132"/>
      <c r="C7509" s="24"/>
      <c r="D7509" s="25"/>
      <c r="E7509" s="25"/>
      <c r="F7509" s="165"/>
      <c r="G7509" s="165"/>
      <c r="H7509" s="166"/>
    </row>
    <row r="7510" spans="1:8" x14ac:dyDescent="0.3">
      <c r="A7510" s="27"/>
      <c r="B7510" s="28"/>
      <c r="C7510" s="24"/>
      <c r="D7510" s="25"/>
      <c r="E7510" s="25"/>
      <c r="F7510" s="165"/>
      <c r="G7510" s="165"/>
      <c r="H7510" s="166"/>
    </row>
    <row r="7511" spans="1:8" x14ac:dyDescent="0.3">
      <c r="A7511" s="27"/>
      <c r="B7511" s="28"/>
      <c r="C7511" s="24"/>
      <c r="D7511" s="25"/>
      <c r="E7511" s="25"/>
      <c r="F7511" s="165"/>
      <c r="G7511" s="165"/>
      <c r="H7511" s="166"/>
    </row>
    <row r="7512" spans="1:8" x14ac:dyDescent="0.3">
      <c r="A7512" s="27"/>
      <c r="B7512" s="28"/>
      <c r="C7512" s="24"/>
      <c r="D7512" s="25"/>
      <c r="E7512" s="25"/>
      <c r="F7512" s="165"/>
      <c r="G7512" s="165"/>
      <c r="H7512" s="166"/>
    </row>
    <row r="7513" spans="1:8" x14ac:dyDescent="0.3">
      <c r="A7513" s="27"/>
      <c r="B7513" s="28"/>
      <c r="C7513" s="24"/>
      <c r="D7513" s="25"/>
      <c r="E7513" s="25"/>
      <c r="F7513" s="165"/>
      <c r="G7513" s="165"/>
      <c r="H7513" s="166"/>
    </row>
    <row r="7514" spans="1:8" x14ac:dyDescent="0.3">
      <c r="A7514" s="27"/>
      <c r="B7514" s="28"/>
      <c r="C7514" s="24"/>
      <c r="D7514" s="25"/>
      <c r="E7514" s="25"/>
      <c r="F7514" s="165"/>
      <c r="G7514" s="165"/>
      <c r="H7514" s="166"/>
    </row>
    <row r="7515" spans="1:8" x14ac:dyDescent="0.3">
      <c r="A7515" s="27"/>
      <c r="B7515" s="28"/>
      <c r="C7515" s="24"/>
      <c r="D7515" s="25"/>
      <c r="E7515" s="25"/>
      <c r="F7515" s="28"/>
      <c r="G7515" s="28"/>
      <c r="H7515" s="32"/>
    </row>
    <row r="7516" spans="1:8" x14ac:dyDescent="0.3">
      <c r="A7516" s="27"/>
      <c r="B7516" s="28"/>
      <c r="C7516" s="24"/>
      <c r="D7516" s="25"/>
      <c r="E7516" s="25"/>
      <c r="F7516" s="28"/>
      <c r="G7516" s="28"/>
      <c r="H7516" s="32"/>
    </row>
    <row r="7517" spans="1:8" x14ac:dyDescent="0.3">
      <c r="A7517" s="27"/>
      <c r="B7517" s="28"/>
      <c r="C7517" s="24"/>
      <c r="D7517" s="25"/>
      <c r="E7517" s="25"/>
      <c r="F7517" s="28"/>
      <c r="G7517" s="28"/>
      <c r="H7517" s="32"/>
    </row>
    <row r="7518" spans="1:8" x14ac:dyDescent="0.3">
      <c r="A7518" s="27"/>
      <c r="B7518" s="28"/>
      <c r="C7518" s="24"/>
      <c r="D7518" s="25"/>
      <c r="E7518" s="25"/>
      <c r="F7518" s="28"/>
      <c r="G7518" s="28"/>
      <c r="H7518" s="32"/>
    </row>
    <row r="7519" spans="1:8" x14ac:dyDescent="0.3">
      <c r="A7519" s="27"/>
      <c r="B7519" s="28"/>
      <c r="C7519" s="24"/>
      <c r="D7519" s="25"/>
      <c r="E7519" s="25"/>
      <c r="F7519" s="28"/>
      <c r="G7519" s="28"/>
      <c r="H7519" s="32"/>
    </row>
    <row r="7520" spans="1:8" x14ac:dyDescent="0.3">
      <c r="A7520" s="27"/>
      <c r="B7520" s="28"/>
      <c r="C7520" s="24"/>
      <c r="D7520" s="25"/>
      <c r="E7520" s="25"/>
      <c r="F7520" s="28"/>
      <c r="G7520" s="28"/>
      <c r="H7520" s="32"/>
    </row>
    <row r="7521" spans="1:8" x14ac:dyDescent="0.3">
      <c r="A7521" s="27"/>
      <c r="B7521" s="28"/>
      <c r="C7521" s="24"/>
      <c r="D7521" s="25"/>
      <c r="E7521" s="25"/>
      <c r="F7521" s="28"/>
      <c r="G7521" s="28"/>
      <c r="H7521" s="32"/>
    </row>
    <row r="7522" spans="1:8" x14ac:dyDescent="0.3">
      <c r="A7522" s="27"/>
      <c r="B7522" s="28"/>
      <c r="C7522" s="24"/>
      <c r="D7522" s="25"/>
      <c r="E7522" s="25"/>
      <c r="F7522" s="28"/>
      <c r="G7522" s="28"/>
      <c r="H7522" s="32"/>
    </row>
    <row r="7523" spans="1:8" x14ac:dyDescent="0.3">
      <c r="A7523" s="27"/>
      <c r="B7523" s="28"/>
      <c r="C7523" s="24"/>
      <c r="D7523" s="25"/>
      <c r="E7523" s="25"/>
      <c r="F7523" s="28"/>
      <c r="G7523" s="28"/>
      <c r="H7523" s="32"/>
    </row>
    <row r="7524" spans="1:8" x14ac:dyDescent="0.3">
      <c r="A7524" s="27"/>
      <c r="B7524" s="28"/>
      <c r="C7524" s="24"/>
      <c r="D7524" s="25"/>
      <c r="E7524" s="25"/>
      <c r="F7524" s="28"/>
      <c r="G7524" s="28"/>
      <c r="H7524" s="32"/>
    </row>
    <row r="7525" spans="1:8" x14ac:dyDescent="0.3">
      <c r="A7525" s="27"/>
      <c r="B7525" s="28"/>
      <c r="C7525" s="24"/>
      <c r="D7525" s="25"/>
      <c r="E7525" s="25"/>
      <c r="F7525" s="28"/>
      <c r="G7525" s="28"/>
      <c r="H7525" s="32"/>
    </row>
    <row r="7526" spans="1:8" ht="15.6" x14ac:dyDescent="0.3">
      <c r="A7526" s="448" t="s">
        <v>45</v>
      </c>
      <c r="B7526" s="449"/>
      <c r="C7526" s="449"/>
      <c r="D7526" s="25"/>
      <c r="E7526" s="25"/>
      <c r="F7526" s="447" t="s">
        <v>46</v>
      </c>
      <c r="G7526" s="447"/>
      <c r="H7526" s="66">
        <f>(C7503*E7503)+(C7504*E7504)+(C7505*E7505)</f>
        <v>29664</v>
      </c>
    </row>
    <row r="7527" spans="1:8" ht="15.6" x14ac:dyDescent="0.3">
      <c r="A7527" s="497" t="s">
        <v>1356</v>
      </c>
      <c r="B7527" s="498"/>
      <c r="C7527" s="498"/>
      <c r="D7527" s="498"/>
      <c r="E7527" s="498"/>
      <c r="F7527" s="447" t="s">
        <v>47</v>
      </c>
      <c r="G7527" s="447"/>
      <c r="H7527" s="66">
        <f>H7526*9%</f>
        <v>2669.7599999999998</v>
      </c>
    </row>
    <row r="7528" spans="1:8" ht="15.6" x14ac:dyDescent="0.3">
      <c r="A7528" s="27"/>
      <c r="B7528" s="28"/>
      <c r="C7528" s="24"/>
      <c r="D7528" s="25"/>
      <c r="E7528" s="25"/>
      <c r="F7528" s="447" t="s">
        <v>48</v>
      </c>
      <c r="G7528" s="447"/>
      <c r="H7528" s="66">
        <f>H7526*9%</f>
        <v>2669.7599999999998</v>
      </c>
    </row>
    <row r="7529" spans="1:8" ht="15.6" x14ac:dyDescent="0.3">
      <c r="A7529" s="448" t="s">
        <v>49</v>
      </c>
      <c r="B7529" s="449"/>
      <c r="C7529" s="449"/>
      <c r="D7529" s="449"/>
      <c r="E7529" s="25"/>
      <c r="F7529" s="447" t="s">
        <v>50</v>
      </c>
      <c r="G7529" s="447"/>
      <c r="H7529" s="66">
        <v>35004</v>
      </c>
    </row>
    <row r="7530" spans="1:8" ht="27" x14ac:dyDescent="0.3">
      <c r="A7530" s="68" t="s">
        <v>22</v>
      </c>
      <c r="B7530" s="69" t="s">
        <v>51</v>
      </c>
      <c r="C7530" s="70" t="s">
        <v>24</v>
      </c>
      <c r="D7530" s="31" t="s">
        <v>25</v>
      </c>
      <c r="E7530" s="450" t="s">
        <v>52</v>
      </c>
      <c r="F7530" s="450"/>
      <c r="G7530" s="28"/>
      <c r="H7530" s="32"/>
    </row>
    <row r="7531" spans="1:8" x14ac:dyDescent="0.3">
      <c r="A7531" s="72">
        <v>0.18</v>
      </c>
      <c r="B7531" s="73">
        <f>H7526</f>
        <v>29664</v>
      </c>
      <c r="C7531" s="74">
        <f>H7527</f>
        <v>2669.7599999999998</v>
      </c>
      <c r="D7531" s="74">
        <f>H7528</f>
        <v>2669.7599999999998</v>
      </c>
      <c r="E7531" s="507">
        <f>C7531+D7531</f>
        <v>5339.5199999999995</v>
      </c>
      <c r="F7531" s="507"/>
      <c r="G7531" s="74"/>
      <c r="H7531" s="75"/>
    </row>
    <row r="7532" spans="1:8" x14ac:dyDescent="0.3">
      <c r="A7532" s="452" t="s">
        <v>1357</v>
      </c>
      <c r="B7532" s="453"/>
      <c r="C7532" s="453"/>
      <c r="D7532" s="453"/>
      <c r="E7532" s="453"/>
      <c r="F7532" s="453"/>
      <c r="G7532" s="453"/>
      <c r="H7532" s="454"/>
    </row>
    <row r="7533" spans="1:8" ht="15.6" x14ac:dyDescent="0.3">
      <c r="A7533" s="455" t="s">
        <v>53</v>
      </c>
      <c r="B7533" s="456"/>
      <c r="C7533" s="456"/>
      <c r="D7533" s="457"/>
      <c r="E7533" s="458" t="s">
        <v>54</v>
      </c>
      <c r="F7533" s="459"/>
      <c r="G7533" s="459"/>
      <c r="H7533" s="460"/>
    </row>
    <row r="7534" spans="1:8" x14ac:dyDescent="0.3">
      <c r="A7534" s="461" t="s">
        <v>55</v>
      </c>
      <c r="B7534" s="462"/>
      <c r="C7534" s="462"/>
      <c r="D7534" s="463"/>
      <c r="E7534" s="39"/>
      <c r="F7534" s="28"/>
      <c r="G7534" s="28"/>
      <c r="H7534" s="32"/>
    </row>
    <row r="7535" spans="1:8" x14ac:dyDescent="0.3">
      <c r="A7535" s="461" t="s">
        <v>56</v>
      </c>
      <c r="B7535" s="462"/>
      <c r="C7535" s="462"/>
      <c r="D7535" s="463"/>
      <c r="E7535" s="39"/>
      <c r="F7535" s="28"/>
      <c r="G7535" s="28"/>
      <c r="H7535" s="32"/>
    </row>
    <row r="7536" spans="1:8" x14ac:dyDescent="0.3">
      <c r="A7536" s="461" t="s">
        <v>57</v>
      </c>
      <c r="B7536" s="462"/>
      <c r="C7536" s="462"/>
      <c r="D7536" s="463"/>
      <c r="E7536" s="167"/>
      <c r="H7536" s="168"/>
    </row>
    <row r="7537" spans="1:9" ht="15.6" x14ac:dyDescent="0.3">
      <c r="A7537" s="464" t="s">
        <v>58</v>
      </c>
      <c r="B7537" s="465"/>
      <c r="C7537" s="465"/>
      <c r="D7537" s="510"/>
      <c r="E7537" s="466" t="s">
        <v>59</v>
      </c>
      <c r="F7537" s="467"/>
      <c r="G7537" s="467"/>
      <c r="H7537" s="468"/>
    </row>
    <row r="7539" spans="1:9" ht="44.4" x14ac:dyDescent="0.7">
      <c r="A7539" s="469" t="s">
        <v>0</v>
      </c>
      <c r="B7539" s="470"/>
      <c r="C7539" s="470"/>
      <c r="D7539" s="470"/>
      <c r="E7539" s="531" t="s">
        <v>1</v>
      </c>
      <c r="F7539" s="544"/>
      <c r="G7539" s="544"/>
      <c r="H7539" s="545"/>
    </row>
    <row r="7540" spans="1:9" ht="20.399999999999999" x14ac:dyDescent="0.35">
      <c r="A7540" s="1"/>
      <c r="B7540" s="476" t="s">
        <v>2</v>
      </c>
      <c r="C7540" s="476"/>
      <c r="D7540" s="476"/>
      <c r="E7540" s="546"/>
      <c r="F7540" s="546"/>
      <c r="G7540" s="546"/>
      <c r="H7540" s="547"/>
    </row>
    <row r="7541" spans="1:9" x14ac:dyDescent="0.3">
      <c r="A7541" s="477" t="s">
        <v>3</v>
      </c>
      <c r="B7541" s="478"/>
      <c r="C7541" s="479" t="s">
        <v>4</v>
      </c>
      <c r="D7541" s="479"/>
      <c r="E7541" s="548" t="s">
        <v>5</v>
      </c>
      <c r="F7541" s="549"/>
      <c r="G7541" s="549"/>
      <c r="H7541" s="550"/>
    </row>
    <row r="7542" spans="1:9" ht="15.6" x14ac:dyDescent="0.3">
      <c r="A7542" s="4" t="s">
        <v>6</v>
      </c>
      <c r="B7542" s="5"/>
      <c r="C7542" s="481" t="s">
        <v>7</v>
      </c>
      <c r="D7542" s="481"/>
      <c r="E7542" s="482">
        <v>164</v>
      </c>
      <c r="F7542" s="482"/>
      <c r="G7542" s="7" t="s">
        <v>8</v>
      </c>
      <c r="H7542" s="8" t="s">
        <v>1366</v>
      </c>
    </row>
    <row r="7543" spans="1:9" ht="15.6" x14ac:dyDescent="0.3">
      <c r="A7543" s="551" t="s">
        <v>287</v>
      </c>
      <c r="B7543" s="552"/>
      <c r="C7543" s="481" t="s">
        <v>10</v>
      </c>
      <c r="D7543" s="481"/>
      <c r="E7543" s="482" t="s">
        <v>1367</v>
      </c>
      <c r="F7543" s="482"/>
      <c r="G7543" s="7" t="s">
        <v>8</v>
      </c>
      <c r="H7543" s="8" t="s">
        <v>1219</v>
      </c>
    </row>
    <row r="7544" spans="1:9" ht="29.25" customHeight="1" x14ac:dyDescent="0.3">
      <c r="A7544" s="517" t="s">
        <v>288</v>
      </c>
      <c r="B7544" s="553"/>
      <c r="C7544" s="483" t="s">
        <v>12</v>
      </c>
      <c r="D7544" s="484"/>
      <c r="E7544" s="554" t="s">
        <v>1358</v>
      </c>
      <c r="F7544" s="555"/>
      <c r="G7544" s="10" t="s">
        <v>8</v>
      </c>
      <c r="H7544" s="109" t="s">
        <v>1359</v>
      </c>
    </row>
    <row r="7545" spans="1:9" ht="15.6" x14ac:dyDescent="0.3">
      <c r="A7545" s="556"/>
      <c r="B7545" s="557"/>
      <c r="C7545" s="481" t="s">
        <v>15</v>
      </c>
      <c r="D7545" s="481"/>
      <c r="E7545" s="502" t="s">
        <v>289</v>
      </c>
      <c r="F7545" s="503"/>
      <c r="G7545" s="503"/>
      <c r="H7545" s="504"/>
    </row>
    <row r="7546" spans="1:9" ht="15.6" x14ac:dyDescent="0.3">
      <c r="A7546" s="558" t="s">
        <v>290</v>
      </c>
      <c r="B7546" s="559"/>
      <c r="C7546" s="489"/>
      <c r="D7546" s="490"/>
      <c r="E7546" s="490"/>
      <c r="F7546" s="490"/>
      <c r="G7546" s="490"/>
      <c r="H7546" s="491"/>
    </row>
    <row r="7547" spans="1:9" ht="15" x14ac:dyDescent="0.3">
      <c r="A7547" s="492" t="s">
        <v>17</v>
      </c>
      <c r="B7547" s="494" t="s">
        <v>18</v>
      </c>
      <c r="C7547" s="494" t="s">
        <v>19</v>
      </c>
      <c r="D7547" s="494" t="s">
        <v>20</v>
      </c>
      <c r="E7547" s="494" t="s">
        <v>21</v>
      </c>
      <c r="F7547" s="494" t="s">
        <v>22</v>
      </c>
      <c r="G7547" s="494"/>
      <c r="H7547" s="492" t="s">
        <v>23</v>
      </c>
    </row>
    <row r="7548" spans="1:9" ht="27.6" x14ac:dyDescent="0.3">
      <c r="A7548" s="492"/>
      <c r="B7548" s="494"/>
      <c r="C7548" s="494"/>
      <c r="D7548" s="494"/>
      <c r="E7548" s="494"/>
      <c r="F7548" s="53" t="s">
        <v>24</v>
      </c>
      <c r="G7548" s="53" t="s">
        <v>25</v>
      </c>
      <c r="H7548" s="492"/>
    </row>
    <row r="7549" spans="1:9" x14ac:dyDescent="0.3">
      <c r="A7549" s="57">
        <v>1</v>
      </c>
      <c r="B7549" s="60" t="s">
        <v>1360</v>
      </c>
      <c r="C7549" s="57">
        <v>10</v>
      </c>
      <c r="D7549" s="349">
        <v>85446020</v>
      </c>
      <c r="E7549" s="57">
        <v>1419</v>
      </c>
      <c r="F7549" s="57">
        <f>E7549*C7549*9%</f>
        <v>1277.0999999999999</v>
      </c>
      <c r="G7549" s="57">
        <f>F7549</f>
        <v>1277.0999999999999</v>
      </c>
      <c r="H7549" s="57">
        <f>G7549+F7549+E7549*C7549</f>
        <v>16744.2</v>
      </c>
      <c r="I7549" s="362">
        <f>E7549*C7549</f>
        <v>14190</v>
      </c>
    </row>
    <row r="7550" spans="1:9" ht="27.6" x14ac:dyDescent="0.3">
      <c r="A7550" s="55">
        <v>2</v>
      </c>
      <c r="B7550" s="60" t="s">
        <v>1361</v>
      </c>
      <c r="C7550" s="57">
        <v>2</v>
      </c>
      <c r="D7550" s="209">
        <v>998719</v>
      </c>
      <c r="E7550" s="57">
        <v>3850</v>
      </c>
      <c r="F7550" s="57">
        <f>E7550*C7550*9%</f>
        <v>693</v>
      </c>
      <c r="G7550" s="57">
        <f>F7550</f>
        <v>693</v>
      </c>
      <c r="H7550" s="57">
        <f>G7550+F7550+E7550*C7550</f>
        <v>9086</v>
      </c>
      <c r="I7550" s="362">
        <f t="shared" ref="I7550:I7554" si="191">E7550*C7550</f>
        <v>7700</v>
      </c>
    </row>
    <row r="7551" spans="1:9" ht="27.6" x14ac:dyDescent="0.3">
      <c r="A7551" s="55">
        <v>3</v>
      </c>
      <c r="B7551" s="60" t="s">
        <v>1362</v>
      </c>
      <c r="C7551" s="55">
        <v>2</v>
      </c>
      <c r="D7551" s="349">
        <v>85362020</v>
      </c>
      <c r="E7551" s="55">
        <v>1500</v>
      </c>
      <c r="F7551" s="55">
        <f>E7551*C7551*9%</f>
        <v>270</v>
      </c>
      <c r="G7551" s="55">
        <f>F7551</f>
        <v>270</v>
      </c>
      <c r="H7551" s="55">
        <f>G7551+F7551+E7551*C7551</f>
        <v>3540</v>
      </c>
      <c r="I7551" s="362">
        <f t="shared" si="191"/>
        <v>3000</v>
      </c>
    </row>
    <row r="7552" spans="1:9" x14ac:dyDescent="0.3">
      <c r="A7552" s="55">
        <v>4</v>
      </c>
      <c r="B7552" s="60" t="s">
        <v>1363</v>
      </c>
      <c r="C7552" s="55">
        <v>1</v>
      </c>
      <c r="D7552" s="83">
        <v>998719</v>
      </c>
      <c r="E7552" s="57">
        <v>7000</v>
      </c>
      <c r="F7552" s="55">
        <f>E7552*C7552*9%</f>
        <v>630</v>
      </c>
      <c r="G7552" s="55">
        <f>F7552</f>
        <v>630</v>
      </c>
      <c r="H7552" s="55">
        <f>G7552+F7552+E7552*C7552</f>
        <v>8260</v>
      </c>
      <c r="I7552" s="362">
        <f t="shared" si="191"/>
        <v>7000</v>
      </c>
    </row>
    <row r="7553" spans="1:9" ht="27.6" x14ac:dyDescent="0.3">
      <c r="A7553" s="55">
        <v>5</v>
      </c>
      <c r="B7553" s="60" t="s">
        <v>1364</v>
      </c>
      <c r="C7553" s="83">
        <v>5</v>
      </c>
      <c r="D7553" s="83">
        <v>998719</v>
      </c>
      <c r="E7553" s="57">
        <v>1500</v>
      </c>
      <c r="F7553" s="55">
        <f t="shared" ref="F7553:F7554" si="192">E7553*C7553*9%</f>
        <v>675</v>
      </c>
      <c r="G7553" s="55">
        <f t="shared" ref="G7553:G7554" si="193">F7553</f>
        <v>675</v>
      </c>
      <c r="H7553" s="55">
        <f t="shared" ref="H7553:H7554" si="194">G7553+F7553+E7553*C7553</f>
        <v>8850</v>
      </c>
      <c r="I7553" s="362">
        <f t="shared" si="191"/>
        <v>7500</v>
      </c>
    </row>
    <row r="7554" spans="1:9" x14ac:dyDescent="0.3">
      <c r="A7554" s="55">
        <v>6</v>
      </c>
      <c r="B7554" s="60" t="s">
        <v>1365</v>
      </c>
      <c r="C7554" s="83">
        <v>10</v>
      </c>
      <c r="D7554" s="83">
        <v>99719</v>
      </c>
      <c r="E7554" s="57">
        <v>700</v>
      </c>
      <c r="F7554" s="55">
        <f t="shared" si="192"/>
        <v>630</v>
      </c>
      <c r="G7554" s="55">
        <f t="shared" si="193"/>
        <v>630</v>
      </c>
      <c r="H7554" s="55">
        <f t="shared" si="194"/>
        <v>8260</v>
      </c>
      <c r="I7554" s="362">
        <f t="shared" si="191"/>
        <v>7000</v>
      </c>
    </row>
    <row r="7555" spans="1:9" x14ac:dyDescent="0.3">
      <c r="A7555" s="55"/>
      <c r="B7555" s="130"/>
      <c r="C7555" s="83"/>
      <c r="D7555" s="83"/>
      <c r="E7555" s="57"/>
      <c r="F7555" s="57"/>
      <c r="G7555" s="57"/>
      <c r="H7555" s="57"/>
    </row>
    <row r="7556" spans="1:9" x14ac:dyDescent="0.3">
      <c r="A7556" s="55"/>
      <c r="B7556" s="130"/>
      <c r="C7556" s="83"/>
      <c r="D7556" s="57"/>
      <c r="E7556" s="57"/>
      <c r="F7556" s="57"/>
      <c r="G7556" s="57"/>
      <c r="H7556" s="57"/>
    </row>
    <row r="7557" spans="1:9" x14ac:dyDescent="0.3">
      <c r="A7557" s="194"/>
      <c r="B7557" s="195"/>
      <c r="C7557" s="196"/>
      <c r="D7557" s="194"/>
      <c r="E7557" s="194"/>
      <c r="F7557" s="145"/>
      <c r="G7557" s="197"/>
      <c r="H7557" s="198"/>
    </row>
    <row r="7558" spans="1:9" x14ac:dyDescent="0.3">
      <c r="A7558" s="199"/>
      <c r="B7558" s="200"/>
      <c r="C7558" s="201"/>
      <c r="D7558" s="202"/>
      <c r="E7558" s="203"/>
      <c r="F7558" s="204"/>
      <c r="G7558" s="204"/>
      <c r="H7558" s="205"/>
    </row>
    <row r="7559" spans="1:9" x14ac:dyDescent="0.3">
      <c r="A7559" s="173"/>
      <c r="B7559" s="88"/>
      <c r="C7559" s="206"/>
      <c r="D7559" s="89"/>
      <c r="E7559" s="207"/>
      <c r="F7559" s="25"/>
      <c r="G7559" s="25"/>
      <c r="H7559" s="32"/>
    </row>
    <row r="7560" spans="1:9" x14ac:dyDescent="0.3">
      <c r="A7560" s="173"/>
      <c r="B7560" s="88"/>
      <c r="C7560" s="206"/>
      <c r="D7560" s="89"/>
      <c r="E7560" s="207"/>
      <c r="F7560" s="25"/>
      <c r="G7560" s="25"/>
      <c r="H7560" s="32"/>
    </row>
    <row r="7561" spans="1:9" x14ac:dyDescent="0.3">
      <c r="A7561" s="173"/>
      <c r="B7561" s="88"/>
      <c r="C7561" s="206"/>
      <c r="D7561" s="89"/>
      <c r="E7561" s="207"/>
      <c r="F7561" s="25"/>
      <c r="G7561" s="25"/>
      <c r="H7561" s="32"/>
    </row>
    <row r="7562" spans="1:9" x14ac:dyDescent="0.3">
      <c r="A7562" s="173"/>
      <c r="B7562" s="88"/>
      <c r="C7562" s="206"/>
      <c r="D7562" s="89"/>
      <c r="E7562" s="207"/>
      <c r="F7562" s="25"/>
      <c r="G7562" s="25"/>
      <c r="H7562" s="32"/>
    </row>
    <row r="7563" spans="1:9" x14ac:dyDescent="0.3">
      <c r="A7563" s="173"/>
      <c r="B7563" s="88"/>
      <c r="C7563" s="206"/>
      <c r="D7563" s="89"/>
      <c r="E7563" s="207"/>
      <c r="F7563" s="25"/>
      <c r="G7563" s="25"/>
      <c r="H7563" s="32"/>
    </row>
    <row r="7564" spans="1:9" x14ac:dyDescent="0.3">
      <c r="A7564" s="173"/>
      <c r="B7564" s="88"/>
      <c r="C7564" s="206"/>
      <c r="D7564" s="89"/>
      <c r="E7564" s="207"/>
      <c r="F7564" s="25"/>
      <c r="G7564" s="25"/>
      <c r="H7564" s="32"/>
    </row>
    <row r="7565" spans="1:9" x14ac:dyDescent="0.3">
      <c r="A7565" s="173"/>
      <c r="B7565" s="88"/>
      <c r="C7565" s="206"/>
      <c r="D7565" s="89"/>
      <c r="E7565" s="207"/>
      <c r="F7565" s="25"/>
      <c r="G7565" s="25"/>
      <c r="H7565" s="32"/>
    </row>
    <row r="7566" spans="1:9" x14ac:dyDescent="0.3">
      <c r="A7566" s="173"/>
      <c r="B7566" s="88"/>
      <c r="C7566" s="206"/>
      <c r="D7566" s="89"/>
      <c r="E7566" s="207"/>
      <c r="F7566" s="25"/>
      <c r="G7566" s="25"/>
      <c r="H7566" s="32"/>
    </row>
    <row r="7567" spans="1:9" x14ac:dyDescent="0.3">
      <c r="A7567" s="173"/>
      <c r="B7567" s="88"/>
      <c r="C7567" s="206"/>
      <c r="D7567" s="89"/>
      <c r="E7567" s="25"/>
      <c r="F7567" s="25"/>
      <c r="G7567" s="25"/>
      <c r="H7567" s="32"/>
    </row>
    <row r="7568" spans="1:9" x14ac:dyDescent="0.3">
      <c r="A7568" s="27"/>
      <c r="B7568" s="88"/>
      <c r="C7568" s="24"/>
      <c r="D7568" s="89"/>
      <c r="E7568" s="25"/>
      <c r="F7568" s="25"/>
      <c r="G7568" s="25"/>
      <c r="H7568" s="32"/>
    </row>
    <row r="7569" spans="1:10" x14ac:dyDescent="0.3">
      <c r="A7569" s="27"/>
      <c r="B7569" s="28"/>
      <c r="C7569" s="24"/>
      <c r="D7569" s="25"/>
      <c r="E7569" s="25"/>
      <c r="F7569" s="28"/>
      <c r="G7569" s="28"/>
      <c r="H7569" s="32"/>
    </row>
    <row r="7570" spans="1:10" ht="15.6" x14ac:dyDescent="0.3">
      <c r="A7570" s="448" t="s">
        <v>45</v>
      </c>
      <c r="B7570" s="449"/>
      <c r="C7570" s="24"/>
      <c r="D7570" s="25"/>
      <c r="E7570" s="25"/>
      <c r="F7570" s="447" t="s">
        <v>46</v>
      </c>
      <c r="G7570" s="447"/>
      <c r="H7570" s="66">
        <v>46390</v>
      </c>
    </row>
    <row r="7571" spans="1:10" ht="15.6" x14ac:dyDescent="0.3">
      <c r="A7571" s="497" t="s">
        <v>1415</v>
      </c>
      <c r="B7571" s="498"/>
      <c r="C7571" s="498"/>
      <c r="D7571" s="498"/>
      <c r="E7571" s="498"/>
      <c r="F7571" s="447" t="s">
        <v>47</v>
      </c>
      <c r="G7571" s="447"/>
      <c r="H7571" s="66">
        <f>H7570*9%</f>
        <v>4175.0999999999995</v>
      </c>
    </row>
    <row r="7572" spans="1:10" ht="15.6" x14ac:dyDescent="0.3">
      <c r="A7572" s="27"/>
      <c r="B7572" s="28"/>
      <c r="C7572" s="24"/>
      <c r="D7572" s="25"/>
      <c r="E7572" s="25"/>
      <c r="F7572" s="447" t="s">
        <v>48</v>
      </c>
      <c r="G7572" s="447"/>
      <c r="H7572" s="66">
        <f>H7571</f>
        <v>4175.0999999999995</v>
      </c>
    </row>
    <row r="7573" spans="1:10" ht="15.6" x14ac:dyDescent="0.3">
      <c r="A7573" s="448" t="s">
        <v>49</v>
      </c>
      <c r="B7573" s="449"/>
      <c r="C7573" s="24"/>
      <c r="D7573" s="25"/>
      <c r="E7573" s="25"/>
      <c r="F7573" s="447" t="s">
        <v>50</v>
      </c>
      <c r="G7573" s="447"/>
      <c r="H7573" s="66">
        <v>54740</v>
      </c>
      <c r="J7573" s="66">
        <v>65967</v>
      </c>
    </row>
    <row r="7574" spans="1:10" ht="26.4" x14ac:dyDescent="0.3">
      <c r="A7574" s="68" t="s">
        <v>22</v>
      </c>
      <c r="B7574" s="30" t="s">
        <v>51</v>
      </c>
      <c r="C7574" s="70" t="s">
        <v>24</v>
      </c>
      <c r="D7574" s="70" t="s">
        <v>25</v>
      </c>
      <c r="E7574" s="543" t="s">
        <v>52</v>
      </c>
      <c r="F7574" s="543"/>
      <c r="G7574" s="28"/>
      <c r="H7574" s="32"/>
    </row>
    <row r="7575" spans="1:10" x14ac:dyDescent="0.3">
      <c r="A7575" s="72">
        <v>0.18</v>
      </c>
      <c r="B7575" s="73">
        <f>H7570</f>
        <v>46390</v>
      </c>
      <c r="C7575" s="91">
        <f>H7571</f>
        <v>4175.0999999999995</v>
      </c>
      <c r="D7575" s="91">
        <f>H7571</f>
        <v>4175.0999999999995</v>
      </c>
      <c r="E7575" s="506">
        <f>C7575+D7575</f>
        <v>8350.1999999999989</v>
      </c>
      <c r="F7575" s="507"/>
      <c r="G7575" s="74"/>
      <c r="H7575" s="75"/>
    </row>
    <row r="7576" spans="1:10" x14ac:dyDescent="0.3">
      <c r="A7576" s="508" t="s">
        <v>1416</v>
      </c>
      <c r="B7576" s="509"/>
      <c r="C7576" s="509"/>
      <c r="D7576" s="509"/>
      <c r="E7576" s="453"/>
      <c r="F7576" s="453"/>
      <c r="G7576" s="453"/>
      <c r="H7576" s="454"/>
    </row>
    <row r="7577" spans="1:10" ht="15.6" x14ac:dyDescent="0.3">
      <c r="A7577" s="455" t="s">
        <v>53</v>
      </c>
      <c r="B7577" s="456"/>
      <c r="C7577" s="456"/>
      <c r="D7577" s="457"/>
      <c r="E7577" s="458" t="s">
        <v>54</v>
      </c>
      <c r="F7577" s="459"/>
      <c r="G7577" s="459"/>
      <c r="H7577" s="460"/>
    </row>
    <row r="7578" spans="1:10" x14ac:dyDescent="0.3">
      <c r="A7578" s="461" t="s">
        <v>55</v>
      </c>
      <c r="B7578" s="462"/>
      <c r="C7578" s="462"/>
      <c r="D7578" s="463"/>
      <c r="E7578" s="39"/>
      <c r="F7578" s="28"/>
      <c r="G7578" s="28"/>
      <c r="H7578" s="32"/>
    </row>
    <row r="7579" spans="1:10" x14ac:dyDescent="0.3">
      <c r="A7579" s="461" t="s">
        <v>56</v>
      </c>
      <c r="B7579" s="462"/>
      <c r="C7579" s="462"/>
      <c r="D7579" s="463"/>
      <c r="E7579" s="39"/>
      <c r="F7579" s="28"/>
      <c r="G7579" s="28"/>
      <c r="H7579" s="32"/>
    </row>
    <row r="7580" spans="1:10" x14ac:dyDescent="0.3">
      <c r="A7580" s="461" t="s">
        <v>57</v>
      </c>
      <c r="B7580" s="462"/>
      <c r="C7580" s="462"/>
      <c r="D7580" s="463"/>
      <c r="E7580" s="39"/>
      <c r="F7580" s="28"/>
      <c r="G7580" s="28"/>
      <c r="H7580" s="32"/>
    </row>
    <row r="7581" spans="1:10" ht="15.6" x14ac:dyDescent="0.3">
      <c r="A7581" s="464" t="s">
        <v>58</v>
      </c>
      <c r="B7581" s="465"/>
      <c r="C7581" s="465"/>
      <c r="D7581" s="465"/>
      <c r="E7581" s="466" t="s">
        <v>59</v>
      </c>
      <c r="F7581" s="467"/>
      <c r="G7581" s="467"/>
      <c r="H7581" s="468"/>
    </row>
    <row r="7585" spans="1:8" ht="44.4" x14ac:dyDescent="0.7">
      <c r="A7585" s="469" t="s">
        <v>0</v>
      </c>
      <c r="B7585" s="470"/>
      <c r="C7585" s="470"/>
      <c r="D7585" s="470"/>
      <c r="E7585" s="531" t="s">
        <v>1</v>
      </c>
      <c r="F7585" s="544"/>
      <c r="G7585" s="544"/>
      <c r="H7585" s="545"/>
    </row>
    <row r="7586" spans="1:8" ht="20.399999999999999" x14ac:dyDescent="0.35">
      <c r="A7586" s="1"/>
      <c r="B7586" s="535" t="s">
        <v>2</v>
      </c>
      <c r="C7586" s="535"/>
      <c r="D7586" s="535"/>
      <c r="E7586" s="546"/>
      <c r="F7586" s="546"/>
      <c r="G7586" s="546"/>
      <c r="H7586" s="547"/>
    </row>
    <row r="7587" spans="1:8" x14ac:dyDescent="0.3">
      <c r="A7587" s="477" t="s">
        <v>3</v>
      </c>
      <c r="B7587" s="478"/>
      <c r="C7587" s="136"/>
      <c r="D7587" s="499" t="s">
        <v>4</v>
      </c>
      <c r="E7587" s="499"/>
      <c r="F7587" s="137"/>
      <c r="G7587" s="360" t="s">
        <v>134</v>
      </c>
      <c r="H7587" s="379"/>
    </row>
    <row r="7588" spans="1:8" ht="15.6" x14ac:dyDescent="0.3">
      <c r="A7588" s="138" t="s">
        <v>6</v>
      </c>
      <c r="B7588" s="5"/>
      <c r="C7588" s="536" t="s">
        <v>7</v>
      </c>
      <c r="D7588" s="516"/>
      <c r="E7588" s="489">
        <v>165</v>
      </c>
      <c r="F7588" s="491"/>
      <c r="G7588" s="123" t="s">
        <v>8</v>
      </c>
      <c r="H7588" s="380" t="s">
        <v>1393</v>
      </c>
    </row>
    <row r="7589" spans="1:8" ht="16.2" thickBot="1" x14ac:dyDescent="0.35">
      <c r="A7589" s="241" t="s">
        <v>275</v>
      </c>
      <c r="B7589" s="242"/>
      <c r="C7589" s="536" t="s">
        <v>276</v>
      </c>
      <c r="D7589" s="516"/>
      <c r="E7589" s="624">
        <v>4300585476</v>
      </c>
      <c r="F7589" s="625"/>
      <c r="G7589" s="7"/>
      <c r="H7589" s="178"/>
    </row>
    <row r="7590" spans="1:8" ht="15.6" x14ac:dyDescent="0.3">
      <c r="A7590" s="626" t="s">
        <v>277</v>
      </c>
      <c r="B7590" s="627"/>
      <c r="C7590" s="628" t="s">
        <v>265</v>
      </c>
      <c r="D7590" s="484"/>
      <c r="E7590" s="489" t="s">
        <v>266</v>
      </c>
      <c r="F7590" s="491"/>
      <c r="G7590" s="10"/>
      <c r="H7590" s="82"/>
    </row>
    <row r="7591" spans="1:8" ht="15.6" x14ac:dyDescent="0.3">
      <c r="A7591" s="629" t="s">
        <v>278</v>
      </c>
      <c r="B7591" s="630"/>
      <c r="C7591" s="536" t="s">
        <v>15</v>
      </c>
      <c r="D7591" s="516"/>
      <c r="E7591" s="631" t="s">
        <v>279</v>
      </c>
      <c r="F7591" s="632"/>
      <c r="G7591" s="633"/>
      <c r="H7591" s="126"/>
    </row>
    <row r="7592" spans="1:8" ht="15.6" x14ac:dyDescent="0.3">
      <c r="A7592" s="558"/>
      <c r="B7592" s="559"/>
      <c r="C7592" s="489"/>
      <c r="D7592" s="490"/>
      <c r="E7592" s="490"/>
      <c r="F7592" s="490"/>
      <c r="G7592" s="490"/>
      <c r="H7592" s="491"/>
    </row>
    <row r="7593" spans="1:8" ht="15" x14ac:dyDescent="0.3">
      <c r="A7593" s="493" t="s">
        <v>17</v>
      </c>
      <c r="B7593" s="495" t="s">
        <v>18</v>
      </c>
      <c r="C7593" s="495" t="s">
        <v>19</v>
      </c>
      <c r="D7593" s="495" t="s">
        <v>20</v>
      </c>
      <c r="E7593" s="495" t="s">
        <v>21</v>
      </c>
      <c r="F7593" s="541" t="s">
        <v>22</v>
      </c>
      <c r="G7593" s="542"/>
      <c r="H7593" s="493" t="s">
        <v>23</v>
      </c>
    </row>
    <row r="7594" spans="1:8" ht="27.6" x14ac:dyDescent="0.3">
      <c r="A7594" s="527"/>
      <c r="B7594" s="505"/>
      <c r="C7594" s="505"/>
      <c r="D7594" s="505"/>
      <c r="E7594" s="505"/>
      <c r="F7594" s="53" t="s">
        <v>24</v>
      </c>
      <c r="G7594" s="53" t="s">
        <v>25</v>
      </c>
      <c r="H7594" s="527"/>
    </row>
    <row r="7595" spans="1:8" x14ac:dyDescent="0.3">
      <c r="A7595" s="15">
        <v>1</v>
      </c>
      <c r="B7595" s="190" t="s">
        <v>1369</v>
      </c>
      <c r="C7595" s="191">
        <v>1</v>
      </c>
      <c r="D7595" s="192">
        <v>998715</v>
      </c>
      <c r="E7595" s="299">
        <v>19875</v>
      </c>
      <c r="F7595" s="193">
        <f>E7595*C7595*9%</f>
        <v>1788.75</v>
      </c>
      <c r="G7595" s="58">
        <f>F7595</f>
        <v>1788.75</v>
      </c>
      <c r="H7595" s="59">
        <f>G7595+F7595+E7595</f>
        <v>23452.5</v>
      </c>
    </row>
    <row r="7596" spans="1:8" x14ac:dyDescent="0.3">
      <c r="A7596" s="20"/>
      <c r="B7596" s="60"/>
      <c r="C7596" s="55"/>
      <c r="D7596" s="55"/>
      <c r="E7596" s="55"/>
      <c r="F7596" s="93"/>
      <c r="G7596" s="93"/>
      <c r="H7596" s="62"/>
    </row>
    <row r="7597" spans="1:8" x14ac:dyDescent="0.3">
      <c r="A7597" s="20"/>
      <c r="B7597" s="60"/>
      <c r="C7597" s="55"/>
      <c r="D7597" s="55"/>
      <c r="E7597" s="55"/>
      <c r="F7597" s="93"/>
      <c r="G7597" s="93"/>
      <c r="H7597" s="62"/>
    </row>
    <row r="7598" spans="1:8" x14ac:dyDescent="0.3">
      <c r="A7598" s="20"/>
      <c r="B7598" s="63"/>
      <c r="C7598" s="129"/>
      <c r="D7598" s="55"/>
      <c r="E7598" s="55"/>
      <c r="F7598" s="93"/>
      <c r="G7598" s="93"/>
      <c r="H7598" s="62"/>
    </row>
    <row r="7599" spans="1:8" x14ac:dyDescent="0.3">
      <c r="A7599" s="20"/>
      <c r="B7599" s="63"/>
      <c r="C7599" s="129"/>
      <c r="D7599" s="55"/>
      <c r="E7599" s="55"/>
      <c r="F7599" s="93"/>
      <c r="G7599" s="93"/>
      <c r="H7599" s="62"/>
    </row>
    <row r="7600" spans="1:8" x14ac:dyDescent="0.3">
      <c r="A7600" s="20"/>
      <c r="B7600" s="130"/>
      <c r="C7600" s="129"/>
      <c r="D7600" s="55"/>
      <c r="E7600" s="55"/>
      <c r="F7600" s="93"/>
      <c r="G7600" s="93"/>
      <c r="H7600" s="62"/>
    </row>
    <row r="7601" spans="1:8" x14ac:dyDescent="0.3">
      <c r="A7601" s="20"/>
      <c r="B7601" s="63"/>
      <c r="C7601" s="129"/>
      <c r="D7601" s="55"/>
      <c r="E7601" s="55"/>
      <c r="F7601" s="93"/>
      <c r="G7601" s="93"/>
      <c r="H7601" s="62"/>
    </row>
    <row r="7602" spans="1:8" x14ac:dyDescent="0.3">
      <c r="A7602" s="20"/>
      <c r="B7602" s="63"/>
      <c r="C7602" s="55"/>
      <c r="D7602" s="55"/>
      <c r="E7602" s="55"/>
      <c r="F7602" s="93"/>
      <c r="G7602" s="93"/>
      <c r="H7602" s="62"/>
    </row>
    <row r="7603" spans="1:8" x14ac:dyDescent="0.3">
      <c r="A7603" s="27"/>
      <c r="B7603" s="28"/>
      <c r="C7603" s="24"/>
      <c r="D7603" s="25"/>
      <c r="E7603" s="25"/>
      <c r="F7603" s="28"/>
      <c r="G7603" s="28"/>
      <c r="H7603" s="32"/>
    </row>
    <row r="7604" spans="1:8" x14ac:dyDescent="0.3">
      <c r="A7604" s="618" t="s">
        <v>267</v>
      </c>
      <c r="B7604" s="619"/>
      <c r="C7604" s="618" t="s">
        <v>268</v>
      </c>
      <c r="D7604" s="620"/>
      <c r="E7604" s="619"/>
      <c r="F7604" s="28"/>
      <c r="G7604" s="28"/>
      <c r="H7604" s="32"/>
    </row>
    <row r="7605" spans="1:8" x14ac:dyDescent="0.3">
      <c r="A7605" s="178" t="s">
        <v>269</v>
      </c>
      <c r="B7605" s="163"/>
      <c r="C7605" s="621">
        <v>10142001000604</v>
      </c>
      <c r="D7605" s="622"/>
      <c r="E7605" s="623"/>
      <c r="F7605" s="28"/>
      <c r="G7605" s="28"/>
      <c r="H7605" s="32"/>
    </row>
    <row r="7606" spans="1:8" x14ac:dyDescent="0.3">
      <c r="A7606" s="178" t="s">
        <v>270</v>
      </c>
      <c r="B7606" s="163"/>
      <c r="C7606" s="618" t="s">
        <v>271</v>
      </c>
      <c r="D7606" s="620"/>
      <c r="E7606" s="619"/>
      <c r="F7606" s="28"/>
      <c r="G7606" s="28"/>
      <c r="H7606" s="32"/>
    </row>
    <row r="7607" spans="1:8" x14ac:dyDescent="0.3">
      <c r="A7607" s="618" t="s">
        <v>272</v>
      </c>
      <c r="B7607" s="619"/>
      <c r="C7607" s="618" t="s">
        <v>273</v>
      </c>
      <c r="D7607" s="620"/>
      <c r="E7607" s="619"/>
      <c r="F7607" s="28"/>
      <c r="G7607" s="28"/>
      <c r="H7607" s="32"/>
    </row>
    <row r="7608" spans="1:8" x14ac:dyDescent="0.3">
      <c r="A7608" s="27"/>
      <c r="B7608" s="28"/>
      <c r="C7608" s="24"/>
      <c r="D7608" s="25"/>
      <c r="E7608" s="25"/>
      <c r="F7608" s="28"/>
      <c r="G7608" s="28"/>
      <c r="H7608" s="32"/>
    </row>
    <row r="7609" spans="1:8" x14ac:dyDescent="0.3">
      <c r="A7609" s="27"/>
      <c r="B7609" s="28"/>
      <c r="C7609" s="24"/>
      <c r="D7609" s="25"/>
      <c r="E7609" s="25"/>
      <c r="F7609" s="28"/>
      <c r="G7609" s="28"/>
      <c r="H7609" s="32"/>
    </row>
    <row r="7610" spans="1:8" x14ac:dyDescent="0.3">
      <c r="A7610" s="27"/>
      <c r="B7610" s="28"/>
      <c r="C7610" s="24"/>
      <c r="D7610" s="25"/>
      <c r="E7610" s="25"/>
      <c r="F7610" s="28"/>
      <c r="G7610" s="28"/>
      <c r="H7610" s="32"/>
    </row>
    <row r="7611" spans="1:8" ht="15.6" x14ac:dyDescent="0.3">
      <c r="A7611" s="448" t="s">
        <v>45</v>
      </c>
      <c r="B7611" s="449"/>
      <c r="C7611" s="24"/>
      <c r="D7611" s="25"/>
      <c r="E7611" s="25"/>
      <c r="F7611" s="447" t="s">
        <v>46</v>
      </c>
      <c r="G7611" s="447"/>
      <c r="H7611" s="66">
        <v>19875</v>
      </c>
    </row>
    <row r="7612" spans="1:8" ht="15.6" x14ac:dyDescent="0.3">
      <c r="A7612" s="497" t="s">
        <v>1307</v>
      </c>
      <c r="B7612" s="498"/>
      <c r="C7612" s="498"/>
      <c r="D7612" s="498"/>
      <c r="E7612" s="498"/>
      <c r="F7612" s="447" t="s">
        <v>47</v>
      </c>
      <c r="G7612" s="447"/>
      <c r="H7612" s="66">
        <v>1789</v>
      </c>
    </row>
    <row r="7613" spans="1:8" ht="15.6" x14ac:dyDescent="0.3">
      <c r="A7613" s="27"/>
      <c r="B7613" s="28"/>
      <c r="C7613" s="24"/>
      <c r="D7613" s="25"/>
      <c r="E7613" s="25"/>
      <c r="F7613" s="447" t="s">
        <v>48</v>
      </c>
      <c r="G7613" s="447"/>
      <c r="H7613" s="66">
        <v>1789</v>
      </c>
    </row>
    <row r="7614" spans="1:8" ht="15.6" x14ac:dyDescent="0.3">
      <c r="A7614" s="90" t="s">
        <v>49</v>
      </c>
      <c r="B7614" s="28"/>
      <c r="C7614" s="24"/>
      <c r="D7614" s="25"/>
      <c r="E7614" s="25"/>
      <c r="F7614" s="447" t="s">
        <v>50</v>
      </c>
      <c r="G7614" s="447"/>
      <c r="H7614" s="66">
        <v>23453</v>
      </c>
    </row>
    <row r="7615" spans="1:8" ht="27" x14ac:dyDescent="0.3">
      <c r="A7615" s="68" t="s">
        <v>22</v>
      </c>
      <c r="B7615" s="30" t="s">
        <v>51</v>
      </c>
      <c r="C7615" s="70" t="s">
        <v>24</v>
      </c>
      <c r="D7615" s="31" t="s">
        <v>25</v>
      </c>
      <c r="E7615" s="543" t="s">
        <v>52</v>
      </c>
      <c r="F7615" s="543"/>
      <c r="G7615" s="28"/>
      <c r="H7615" s="32"/>
    </row>
    <row r="7616" spans="1:8" x14ac:dyDescent="0.3">
      <c r="A7616" s="72">
        <v>0.18</v>
      </c>
      <c r="B7616" s="73">
        <f>H7611</f>
        <v>19875</v>
      </c>
      <c r="C7616" s="74">
        <f>H7612</f>
        <v>1789</v>
      </c>
      <c r="D7616" s="74">
        <f>H7612</f>
        <v>1789</v>
      </c>
      <c r="E7616" s="507">
        <f>C7616+D7616</f>
        <v>3578</v>
      </c>
      <c r="F7616" s="507"/>
      <c r="G7616" s="74"/>
      <c r="H7616" s="75"/>
    </row>
    <row r="7617" spans="1:8" x14ac:dyDescent="0.3">
      <c r="A7617" s="508" t="s">
        <v>1370</v>
      </c>
      <c r="B7617" s="509"/>
      <c r="C7617" s="509"/>
      <c r="D7617" s="509"/>
      <c r="E7617" s="453"/>
      <c r="F7617" s="453"/>
      <c r="G7617" s="453"/>
      <c r="H7617" s="454"/>
    </row>
    <row r="7618" spans="1:8" ht="15.6" x14ac:dyDescent="0.3">
      <c r="A7618" s="455" t="s">
        <v>53</v>
      </c>
      <c r="B7618" s="456"/>
      <c r="C7618" s="456"/>
      <c r="D7618" s="457"/>
      <c r="E7618" s="458" t="s">
        <v>54</v>
      </c>
      <c r="F7618" s="459"/>
      <c r="G7618" s="459"/>
      <c r="H7618" s="460"/>
    </row>
    <row r="7619" spans="1:8" x14ac:dyDescent="0.3">
      <c r="A7619" s="461" t="s">
        <v>55</v>
      </c>
      <c r="B7619" s="462"/>
      <c r="C7619" s="462"/>
      <c r="D7619" s="463"/>
      <c r="E7619" s="39"/>
      <c r="F7619" s="28"/>
      <c r="G7619" s="28"/>
      <c r="H7619" s="32"/>
    </row>
    <row r="7620" spans="1:8" x14ac:dyDescent="0.3">
      <c r="A7620" s="461" t="s">
        <v>56</v>
      </c>
      <c r="B7620" s="462"/>
      <c r="C7620" s="462"/>
      <c r="D7620" s="463"/>
      <c r="E7620" s="39"/>
      <c r="F7620" s="28"/>
      <c r="G7620" s="28"/>
      <c r="H7620" s="32"/>
    </row>
    <row r="7621" spans="1:8" x14ac:dyDescent="0.3">
      <c r="A7621" s="461" t="s">
        <v>57</v>
      </c>
      <c r="B7621" s="462"/>
      <c r="C7621" s="462"/>
      <c r="D7621" s="463"/>
      <c r="E7621" s="39"/>
      <c r="F7621" s="28"/>
      <c r="G7621" s="28"/>
      <c r="H7621" s="32"/>
    </row>
    <row r="7622" spans="1:8" ht="15.6" x14ac:dyDescent="0.3">
      <c r="A7622" s="464" t="s">
        <v>58</v>
      </c>
      <c r="B7622" s="465"/>
      <c r="C7622" s="465"/>
      <c r="D7622" s="465"/>
      <c r="E7622" s="466" t="s">
        <v>59</v>
      </c>
      <c r="F7622" s="467"/>
      <c r="G7622" s="467"/>
      <c r="H7622" s="468"/>
    </row>
    <row r="7623" spans="1:8" ht="15.6" x14ac:dyDescent="0.3">
      <c r="A7623" s="104"/>
      <c r="B7623" s="104"/>
      <c r="C7623" s="104"/>
      <c r="D7623" s="104"/>
      <c r="E7623" s="105"/>
      <c r="F7623" s="105"/>
      <c r="G7623" s="105"/>
      <c r="H7623" s="105"/>
    </row>
    <row r="7624" spans="1:8" ht="15.6" x14ac:dyDescent="0.3">
      <c r="A7624" s="104"/>
      <c r="B7624" s="104"/>
      <c r="C7624" s="104"/>
      <c r="D7624" s="104"/>
      <c r="E7624" s="105"/>
      <c r="F7624" s="105"/>
      <c r="G7624" s="105"/>
      <c r="H7624" s="105"/>
    </row>
    <row r="7625" spans="1:8" ht="15.6" x14ac:dyDescent="0.3">
      <c r="A7625" s="104"/>
      <c r="B7625" s="104"/>
      <c r="C7625" s="104"/>
      <c r="D7625" s="104"/>
      <c r="E7625" s="105"/>
      <c r="F7625" s="105"/>
      <c r="G7625" s="105"/>
      <c r="H7625" s="105"/>
    </row>
    <row r="7629" spans="1:8" ht="44.4" x14ac:dyDescent="0.7">
      <c r="A7629" s="469" t="s">
        <v>0</v>
      </c>
      <c r="B7629" s="470"/>
      <c r="C7629" s="470"/>
      <c r="D7629" s="470"/>
      <c r="E7629" s="531" t="s">
        <v>1</v>
      </c>
      <c r="F7629" s="544"/>
      <c r="G7629" s="544"/>
      <c r="H7629" s="545"/>
    </row>
    <row r="7630" spans="1:8" ht="20.399999999999999" x14ac:dyDescent="0.35">
      <c r="A7630" s="1"/>
      <c r="B7630" s="476" t="s">
        <v>2</v>
      </c>
      <c r="C7630" s="476"/>
      <c r="D7630" s="476"/>
      <c r="E7630" s="546"/>
      <c r="F7630" s="546"/>
      <c r="G7630" s="546"/>
      <c r="H7630" s="547"/>
    </row>
    <row r="7631" spans="1:8" x14ac:dyDescent="0.3">
      <c r="A7631" s="477" t="s">
        <v>3</v>
      </c>
      <c r="B7631" s="478"/>
      <c r="C7631" s="479" t="s">
        <v>4</v>
      </c>
      <c r="D7631" s="479"/>
      <c r="E7631" s="548" t="s">
        <v>5</v>
      </c>
      <c r="F7631" s="549"/>
      <c r="G7631" s="549"/>
      <c r="H7631" s="550"/>
    </row>
    <row r="7632" spans="1:8" ht="15.6" x14ac:dyDescent="0.3">
      <c r="A7632" s="4" t="s">
        <v>6</v>
      </c>
      <c r="B7632" s="5"/>
      <c r="C7632" s="481" t="s">
        <v>7</v>
      </c>
      <c r="D7632" s="481"/>
      <c r="E7632" s="482">
        <v>166</v>
      </c>
      <c r="F7632" s="482"/>
      <c r="G7632" s="7" t="s">
        <v>8</v>
      </c>
      <c r="H7632" s="8" t="s">
        <v>1368</v>
      </c>
    </row>
    <row r="7633" spans="1:8" ht="15.6" x14ac:dyDescent="0.3">
      <c r="A7633" s="551" t="s">
        <v>1371</v>
      </c>
      <c r="B7633" s="552"/>
      <c r="C7633" s="481" t="s">
        <v>10</v>
      </c>
      <c r="D7633" s="481"/>
      <c r="E7633" s="482"/>
      <c r="F7633" s="482"/>
      <c r="G7633" s="7" t="s">
        <v>8</v>
      </c>
      <c r="H7633" s="8"/>
    </row>
    <row r="7634" spans="1:8" ht="15" x14ac:dyDescent="0.3">
      <c r="A7634" s="517" t="s">
        <v>1372</v>
      </c>
      <c r="B7634" s="553"/>
      <c r="C7634" s="483" t="s">
        <v>12</v>
      </c>
      <c r="D7634" s="484"/>
      <c r="E7634" s="554"/>
      <c r="F7634" s="555"/>
      <c r="G7634" s="10" t="s">
        <v>8</v>
      </c>
      <c r="H7634" s="109"/>
    </row>
    <row r="7635" spans="1:8" ht="15.6" x14ac:dyDescent="0.3">
      <c r="A7635" s="556" t="s">
        <v>1373</v>
      </c>
      <c r="B7635" s="557"/>
      <c r="C7635" s="481" t="s">
        <v>15</v>
      </c>
      <c r="D7635" s="481"/>
      <c r="E7635" s="502" t="s">
        <v>1375</v>
      </c>
      <c r="F7635" s="503"/>
      <c r="G7635" s="503"/>
      <c r="H7635" s="504"/>
    </row>
    <row r="7636" spans="1:8" ht="15.6" x14ac:dyDescent="0.3">
      <c r="A7636" s="558" t="s">
        <v>1374</v>
      </c>
      <c r="B7636" s="559"/>
      <c r="C7636" s="489"/>
      <c r="D7636" s="490"/>
      <c r="E7636" s="490"/>
      <c r="F7636" s="490"/>
      <c r="G7636" s="490"/>
      <c r="H7636" s="491"/>
    </row>
    <row r="7637" spans="1:8" ht="15" x14ac:dyDescent="0.3">
      <c r="A7637" s="492" t="s">
        <v>17</v>
      </c>
      <c r="B7637" s="494" t="s">
        <v>18</v>
      </c>
      <c r="C7637" s="494" t="s">
        <v>19</v>
      </c>
      <c r="D7637" s="494" t="s">
        <v>20</v>
      </c>
      <c r="E7637" s="494" t="s">
        <v>21</v>
      </c>
      <c r="F7637" s="494" t="s">
        <v>22</v>
      </c>
      <c r="G7637" s="494"/>
      <c r="H7637" s="492" t="s">
        <v>23</v>
      </c>
    </row>
    <row r="7638" spans="1:8" ht="27.6" x14ac:dyDescent="0.3">
      <c r="A7638" s="492"/>
      <c r="B7638" s="494"/>
      <c r="C7638" s="494"/>
      <c r="D7638" s="494"/>
      <c r="E7638" s="494"/>
      <c r="F7638" s="53" t="s">
        <v>24</v>
      </c>
      <c r="G7638" s="53" t="s">
        <v>25</v>
      </c>
      <c r="H7638" s="492"/>
    </row>
    <row r="7639" spans="1:8" x14ac:dyDescent="0.3">
      <c r="A7639" s="57">
        <v>1</v>
      </c>
      <c r="B7639" s="60" t="s">
        <v>1376</v>
      </c>
      <c r="C7639" s="57">
        <v>1</v>
      </c>
      <c r="D7639" s="209">
        <v>998719</v>
      </c>
      <c r="E7639" s="57">
        <v>10500</v>
      </c>
      <c r="F7639" s="57">
        <f>E7639*C7639*9%</f>
        <v>945</v>
      </c>
      <c r="G7639" s="57">
        <f>F7639</f>
        <v>945</v>
      </c>
      <c r="H7639" s="57">
        <f>G7639+F7639+E7639*C7639</f>
        <v>12390</v>
      </c>
    </row>
    <row r="7640" spans="1:8" x14ac:dyDescent="0.3">
      <c r="A7640" s="55">
        <v>2</v>
      </c>
      <c r="B7640" s="60" t="s">
        <v>1377</v>
      </c>
      <c r="C7640" s="57">
        <v>1</v>
      </c>
      <c r="D7640" s="209">
        <v>998719</v>
      </c>
      <c r="E7640" s="57">
        <v>3000</v>
      </c>
      <c r="F7640" s="57">
        <f>E7640*C7640*9%</f>
        <v>270</v>
      </c>
      <c r="G7640" s="57">
        <f>F7640</f>
        <v>270</v>
      </c>
      <c r="H7640" s="57">
        <f>G7640+F7640+E7640*C7640</f>
        <v>3540</v>
      </c>
    </row>
    <row r="7641" spans="1:8" x14ac:dyDescent="0.3">
      <c r="A7641" s="55">
        <v>3</v>
      </c>
      <c r="B7641" s="60" t="s">
        <v>1378</v>
      </c>
      <c r="C7641" s="55">
        <v>1</v>
      </c>
      <c r="D7641" s="349">
        <v>85362020</v>
      </c>
      <c r="E7641" s="55">
        <v>2500</v>
      </c>
      <c r="F7641" s="55">
        <f>E7641*C7641*9%</f>
        <v>225</v>
      </c>
      <c r="G7641" s="55">
        <f>F7641</f>
        <v>225</v>
      </c>
      <c r="H7641" s="55">
        <f>G7641+F7641+E7641*C7641</f>
        <v>2950</v>
      </c>
    </row>
    <row r="7642" spans="1:8" x14ac:dyDescent="0.3">
      <c r="A7642" s="55">
        <v>4</v>
      </c>
      <c r="B7642" s="60" t="s">
        <v>1379</v>
      </c>
      <c r="C7642" s="55">
        <v>1</v>
      </c>
      <c r="D7642" s="83">
        <v>998719</v>
      </c>
      <c r="E7642" s="57">
        <v>3000</v>
      </c>
      <c r="F7642" s="55">
        <f>E7642*C7642*9%</f>
        <v>270</v>
      </c>
      <c r="G7642" s="55">
        <f>F7642</f>
        <v>270</v>
      </c>
      <c r="H7642" s="55">
        <f>G7642+F7642+E7642*C7642</f>
        <v>3540</v>
      </c>
    </row>
    <row r="7643" spans="1:8" x14ac:dyDescent="0.3">
      <c r="A7643" s="55"/>
      <c r="B7643" s="60"/>
      <c r="C7643" s="83"/>
      <c r="D7643" s="83"/>
      <c r="E7643" s="57"/>
      <c r="F7643" s="55"/>
      <c r="G7643" s="55"/>
      <c r="H7643" s="55"/>
    </row>
    <row r="7644" spans="1:8" x14ac:dyDescent="0.3">
      <c r="A7644" s="55"/>
      <c r="B7644" s="60"/>
      <c r="C7644" s="83"/>
      <c r="D7644" s="83"/>
      <c r="E7644" s="57"/>
      <c r="F7644" s="55"/>
      <c r="G7644" s="55"/>
      <c r="H7644" s="55"/>
    </row>
    <row r="7645" spans="1:8" x14ac:dyDescent="0.3">
      <c r="A7645" s="55"/>
      <c r="B7645" s="130"/>
      <c r="C7645" s="83"/>
      <c r="D7645" s="83"/>
      <c r="E7645" s="57"/>
      <c r="F7645" s="57"/>
      <c r="G7645" s="57"/>
      <c r="H7645" s="57"/>
    </row>
    <row r="7646" spans="1:8" x14ac:dyDescent="0.3">
      <c r="A7646" s="55"/>
      <c r="B7646" s="130"/>
      <c r="C7646" s="83"/>
      <c r="D7646" s="57"/>
      <c r="E7646" s="57"/>
      <c r="F7646" s="57"/>
      <c r="G7646" s="57"/>
      <c r="H7646" s="57"/>
    </row>
    <row r="7647" spans="1:8" x14ac:dyDescent="0.3">
      <c r="A7647" s="194"/>
      <c r="B7647" s="195"/>
      <c r="C7647" s="196"/>
      <c r="D7647" s="194"/>
      <c r="E7647" s="194"/>
      <c r="F7647" s="145"/>
      <c r="G7647" s="197"/>
      <c r="H7647" s="198"/>
    </row>
    <row r="7648" spans="1:8" x14ac:dyDescent="0.3">
      <c r="A7648" s="199"/>
      <c r="B7648" s="200"/>
      <c r="C7648" s="201"/>
      <c r="D7648" s="202"/>
      <c r="E7648" s="203"/>
      <c r="F7648" s="204"/>
      <c r="G7648" s="204"/>
      <c r="H7648" s="205"/>
    </row>
    <row r="7649" spans="1:8" x14ac:dyDescent="0.3">
      <c r="A7649" s="173"/>
      <c r="B7649" s="88"/>
      <c r="C7649" s="206"/>
      <c r="D7649" s="89"/>
      <c r="E7649" s="207"/>
      <c r="F7649" s="25"/>
      <c r="G7649" s="25"/>
      <c r="H7649" s="32"/>
    </row>
    <row r="7650" spans="1:8" x14ac:dyDescent="0.3">
      <c r="A7650" s="173"/>
      <c r="B7650" s="88"/>
      <c r="C7650" s="206"/>
      <c r="D7650" s="89"/>
      <c r="E7650" s="207"/>
      <c r="F7650" s="25"/>
      <c r="G7650" s="25"/>
      <c r="H7650" s="32"/>
    </row>
    <row r="7651" spans="1:8" x14ac:dyDescent="0.3">
      <c r="A7651" s="173"/>
      <c r="B7651" s="88"/>
      <c r="C7651" s="206"/>
      <c r="D7651" s="89"/>
      <c r="E7651" s="207"/>
      <c r="F7651" s="25"/>
      <c r="G7651" s="25"/>
      <c r="H7651" s="32"/>
    </row>
    <row r="7652" spans="1:8" x14ac:dyDescent="0.3">
      <c r="A7652" s="173"/>
      <c r="B7652" s="88"/>
      <c r="C7652" s="206"/>
      <c r="D7652" s="89"/>
      <c r="E7652" s="207"/>
      <c r="F7652" s="25"/>
      <c r="G7652" s="25"/>
      <c r="H7652" s="32"/>
    </row>
    <row r="7653" spans="1:8" x14ac:dyDescent="0.3">
      <c r="A7653" s="173"/>
      <c r="B7653" s="88"/>
      <c r="C7653" s="206"/>
      <c r="D7653" s="89"/>
      <c r="E7653" s="207"/>
      <c r="F7653" s="25"/>
      <c r="G7653" s="25"/>
      <c r="H7653" s="32"/>
    </row>
    <row r="7654" spans="1:8" x14ac:dyDescent="0.3">
      <c r="A7654" s="173"/>
      <c r="B7654" s="88"/>
      <c r="C7654" s="206"/>
      <c r="D7654" s="89"/>
      <c r="E7654" s="207"/>
      <c r="F7654" s="25"/>
      <c r="G7654" s="25"/>
      <c r="H7654" s="32"/>
    </row>
    <row r="7655" spans="1:8" x14ac:dyDescent="0.3">
      <c r="A7655" s="173"/>
      <c r="B7655" s="88"/>
      <c r="C7655" s="206"/>
      <c r="D7655" s="89"/>
      <c r="E7655" s="207"/>
      <c r="F7655" s="25"/>
      <c r="G7655" s="25"/>
      <c r="H7655" s="32"/>
    </row>
    <row r="7656" spans="1:8" x14ac:dyDescent="0.3">
      <c r="A7656" s="173"/>
      <c r="B7656" s="88"/>
      <c r="C7656" s="206"/>
      <c r="D7656" s="89"/>
      <c r="E7656" s="207"/>
      <c r="F7656" s="25"/>
      <c r="G7656" s="25"/>
      <c r="H7656" s="32"/>
    </row>
    <row r="7657" spans="1:8" x14ac:dyDescent="0.3">
      <c r="A7657" s="173"/>
      <c r="B7657" s="88"/>
      <c r="C7657" s="206"/>
      <c r="D7657" s="89"/>
      <c r="E7657" s="25"/>
      <c r="F7657" s="25"/>
      <c r="G7657" s="25"/>
      <c r="H7657" s="32"/>
    </row>
    <row r="7658" spans="1:8" x14ac:dyDescent="0.3">
      <c r="A7658" s="27"/>
      <c r="B7658" s="88"/>
      <c r="C7658" s="24"/>
      <c r="D7658" s="89"/>
      <c r="E7658" s="25"/>
      <c r="F7658" s="25"/>
      <c r="G7658" s="25"/>
      <c r="H7658" s="32"/>
    </row>
    <row r="7659" spans="1:8" x14ac:dyDescent="0.3">
      <c r="A7659" s="27"/>
      <c r="B7659" s="28"/>
      <c r="C7659" s="24"/>
      <c r="D7659" s="25"/>
      <c r="E7659" s="25"/>
      <c r="F7659" s="28"/>
      <c r="G7659" s="28"/>
      <c r="H7659" s="32"/>
    </row>
    <row r="7660" spans="1:8" ht="15.6" x14ac:dyDescent="0.3">
      <c r="A7660" s="448" t="s">
        <v>45</v>
      </c>
      <c r="B7660" s="449"/>
      <c r="C7660" s="24"/>
      <c r="D7660" s="25"/>
      <c r="E7660" s="25"/>
      <c r="F7660" s="447" t="s">
        <v>46</v>
      </c>
      <c r="G7660" s="447"/>
      <c r="H7660" s="66">
        <v>19000</v>
      </c>
    </row>
    <row r="7661" spans="1:8" ht="15.6" x14ac:dyDescent="0.3">
      <c r="A7661" s="497" t="s">
        <v>551</v>
      </c>
      <c r="B7661" s="498"/>
      <c r="C7661" s="498"/>
      <c r="D7661" s="498"/>
      <c r="E7661" s="498"/>
      <c r="F7661" s="447" t="s">
        <v>47</v>
      </c>
      <c r="G7661" s="447"/>
      <c r="H7661" s="66">
        <f>H7660*9%</f>
        <v>1710</v>
      </c>
    </row>
    <row r="7662" spans="1:8" ht="15.6" x14ac:dyDescent="0.3">
      <c r="A7662" s="27"/>
      <c r="B7662" s="28"/>
      <c r="C7662" s="24"/>
      <c r="D7662" s="25"/>
      <c r="E7662" s="25"/>
      <c r="F7662" s="447" t="s">
        <v>48</v>
      </c>
      <c r="G7662" s="447"/>
      <c r="H7662" s="66">
        <f>H7661</f>
        <v>1710</v>
      </c>
    </row>
    <row r="7663" spans="1:8" ht="15.6" x14ac:dyDescent="0.3">
      <c r="A7663" s="448" t="s">
        <v>49</v>
      </c>
      <c r="B7663" s="449"/>
      <c r="C7663" s="24"/>
      <c r="D7663" s="25"/>
      <c r="E7663" s="25"/>
      <c r="F7663" s="447" t="s">
        <v>50</v>
      </c>
      <c r="G7663" s="447"/>
      <c r="H7663" s="66">
        <v>22420</v>
      </c>
    </row>
    <row r="7664" spans="1:8" ht="26.4" x14ac:dyDescent="0.3">
      <c r="A7664" s="68" t="s">
        <v>22</v>
      </c>
      <c r="B7664" s="30" t="s">
        <v>51</v>
      </c>
      <c r="C7664" s="70" t="s">
        <v>24</v>
      </c>
      <c r="D7664" s="70" t="s">
        <v>25</v>
      </c>
      <c r="E7664" s="543" t="s">
        <v>52</v>
      </c>
      <c r="F7664" s="543"/>
      <c r="G7664" s="28"/>
      <c r="H7664" s="32"/>
    </row>
    <row r="7665" spans="1:8" x14ac:dyDescent="0.3">
      <c r="A7665" s="72">
        <v>0.18</v>
      </c>
      <c r="B7665" s="73">
        <f>H7660</f>
        <v>19000</v>
      </c>
      <c r="C7665" s="91">
        <f>H7661</f>
        <v>1710</v>
      </c>
      <c r="D7665" s="91">
        <f>H7661</f>
        <v>1710</v>
      </c>
      <c r="E7665" s="506">
        <f>C7665+D7665</f>
        <v>3420</v>
      </c>
      <c r="F7665" s="507"/>
      <c r="G7665" s="74"/>
      <c r="H7665" s="75"/>
    </row>
    <row r="7666" spans="1:8" x14ac:dyDescent="0.3">
      <c r="A7666" s="508" t="s">
        <v>1380</v>
      </c>
      <c r="B7666" s="509"/>
      <c r="C7666" s="509"/>
      <c r="D7666" s="509"/>
      <c r="E7666" s="453"/>
      <c r="F7666" s="453"/>
      <c r="G7666" s="453"/>
      <c r="H7666" s="454"/>
    </row>
    <row r="7667" spans="1:8" ht="15.6" x14ac:dyDescent="0.3">
      <c r="A7667" s="455" t="s">
        <v>53</v>
      </c>
      <c r="B7667" s="456"/>
      <c r="C7667" s="456"/>
      <c r="D7667" s="457"/>
      <c r="E7667" s="458" t="s">
        <v>54</v>
      </c>
      <c r="F7667" s="459"/>
      <c r="G7667" s="459"/>
      <c r="H7667" s="460"/>
    </row>
    <row r="7668" spans="1:8" x14ac:dyDescent="0.3">
      <c r="A7668" s="461" t="s">
        <v>55</v>
      </c>
      <c r="B7668" s="462"/>
      <c r="C7668" s="462"/>
      <c r="D7668" s="463"/>
      <c r="E7668" s="39"/>
      <c r="F7668" s="28"/>
      <c r="G7668" s="28"/>
      <c r="H7668" s="32"/>
    </row>
    <row r="7669" spans="1:8" x14ac:dyDescent="0.3">
      <c r="A7669" s="461" t="s">
        <v>56</v>
      </c>
      <c r="B7669" s="462"/>
      <c r="C7669" s="462"/>
      <c r="D7669" s="463"/>
      <c r="E7669" s="39"/>
      <c r="F7669" s="28"/>
      <c r="G7669" s="28"/>
      <c r="H7669" s="32"/>
    </row>
    <row r="7670" spans="1:8" x14ac:dyDescent="0.3">
      <c r="A7670" s="461" t="s">
        <v>57</v>
      </c>
      <c r="B7670" s="462"/>
      <c r="C7670" s="462"/>
      <c r="D7670" s="463"/>
      <c r="E7670" s="39"/>
      <c r="F7670" s="28"/>
      <c r="G7670" s="28"/>
      <c r="H7670" s="32"/>
    </row>
    <row r="7671" spans="1:8" ht="15.6" x14ac:dyDescent="0.3">
      <c r="A7671" s="464" t="s">
        <v>58</v>
      </c>
      <c r="B7671" s="465"/>
      <c r="C7671" s="465"/>
      <c r="D7671" s="465"/>
      <c r="E7671" s="466" t="s">
        <v>59</v>
      </c>
      <c r="F7671" s="467"/>
      <c r="G7671" s="467"/>
      <c r="H7671" s="468"/>
    </row>
    <row r="7677" spans="1:8" ht="44.4" x14ac:dyDescent="0.7">
      <c r="A7677" s="469" t="s">
        <v>0</v>
      </c>
      <c r="B7677" s="470"/>
      <c r="C7677" s="470"/>
      <c r="D7677" s="470"/>
      <c r="E7677" s="531" t="s">
        <v>1</v>
      </c>
      <c r="F7677" s="544"/>
      <c r="G7677" s="544"/>
      <c r="H7677" s="545"/>
    </row>
    <row r="7678" spans="1:8" ht="20.399999999999999" x14ac:dyDescent="0.35">
      <c r="A7678" s="1"/>
      <c r="B7678" s="476" t="s">
        <v>2</v>
      </c>
      <c r="C7678" s="476"/>
      <c r="D7678" s="476"/>
      <c r="E7678" s="546"/>
      <c r="F7678" s="546"/>
      <c r="G7678" s="546"/>
      <c r="H7678" s="547"/>
    </row>
    <row r="7679" spans="1:8" x14ac:dyDescent="0.3">
      <c r="A7679" s="477" t="s">
        <v>1150</v>
      </c>
      <c r="B7679" s="478"/>
      <c r="C7679" s="479" t="s">
        <v>4</v>
      </c>
      <c r="D7679" s="479"/>
      <c r="E7679" s="548" t="s">
        <v>5</v>
      </c>
      <c r="F7679" s="549"/>
      <c r="G7679" s="549"/>
      <c r="H7679" s="550"/>
    </row>
    <row r="7680" spans="1:8" ht="15.6" x14ac:dyDescent="0.3">
      <c r="A7680" s="138" t="s">
        <v>6</v>
      </c>
      <c r="B7680" s="5"/>
      <c r="C7680" s="512" t="s">
        <v>7</v>
      </c>
      <c r="D7680" s="513"/>
      <c r="E7680" s="594">
        <v>167</v>
      </c>
      <c r="F7680" s="594"/>
      <c r="G7680" s="179" t="s">
        <v>8</v>
      </c>
      <c r="H7680" s="8" t="s">
        <v>1368</v>
      </c>
    </row>
    <row r="7681" spans="1:9" ht="15.6" x14ac:dyDescent="0.3">
      <c r="A7681" s="514" t="s">
        <v>1381</v>
      </c>
      <c r="B7681" s="515"/>
      <c r="C7681" s="516" t="s">
        <v>10</v>
      </c>
      <c r="D7681" s="481"/>
      <c r="E7681" s="482">
        <v>63</v>
      </c>
      <c r="F7681" s="482"/>
      <c r="G7681" s="7" t="s">
        <v>8</v>
      </c>
      <c r="H7681" s="8" t="s">
        <v>1385</v>
      </c>
    </row>
    <row r="7682" spans="1:9" ht="28.5" customHeight="1" x14ac:dyDescent="0.3">
      <c r="A7682" s="517" t="s">
        <v>1382</v>
      </c>
      <c r="B7682" s="518"/>
      <c r="C7682" s="484" t="s">
        <v>12</v>
      </c>
      <c r="D7682" s="519"/>
      <c r="E7682" s="743" t="s">
        <v>1384</v>
      </c>
      <c r="F7682" s="744"/>
      <c r="G7682" s="10" t="s">
        <v>8</v>
      </c>
      <c r="H7682" s="11">
        <v>45784</v>
      </c>
    </row>
    <row r="7683" spans="1:9" ht="15.6" x14ac:dyDescent="0.3">
      <c r="A7683" s="595" t="s">
        <v>1383</v>
      </c>
      <c r="B7683" s="553"/>
      <c r="C7683" s="521" t="s">
        <v>15</v>
      </c>
      <c r="D7683" s="522"/>
      <c r="E7683" s="523" t="s">
        <v>1387</v>
      </c>
      <c r="F7683" s="524"/>
      <c r="G7683" s="524"/>
      <c r="H7683" s="6"/>
    </row>
    <row r="7684" spans="1:9" ht="15.6" x14ac:dyDescent="0.3">
      <c r="A7684" s="180" t="s">
        <v>13</v>
      </c>
      <c r="B7684" s="181" t="s">
        <v>14</v>
      </c>
      <c r="C7684" s="182"/>
      <c r="D7684" s="50"/>
      <c r="E7684" s="183"/>
      <c r="F7684" s="183"/>
      <c r="G7684" s="183"/>
      <c r="H7684" s="52"/>
    </row>
    <row r="7685" spans="1:9" ht="15" x14ac:dyDescent="0.3">
      <c r="A7685" s="527" t="s">
        <v>17</v>
      </c>
      <c r="B7685" s="505" t="s">
        <v>18</v>
      </c>
      <c r="C7685" s="505" t="s">
        <v>19</v>
      </c>
      <c r="D7685" s="505" t="s">
        <v>20</v>
      </c>
      <c r="E7685" s="505" t="s">
        <v>21</v>
      </c>
      <c r="F7685" s="505" t="s">
        <v>22</v>
      </c>
      <c r="G7685" s="505"/>
      <c r="H7685" s="527" t="s">
        <v>23</v>
      </c>
    </row>
    <row r="7686" spans="1:9" ht="27.6" x14ac:dyDescent="0.3">
      <c r="A7686" s="492"/>
      <c r="B7686" s="494"/>
      <c r="C7686" s="494"/>
      <c r="D7686" s="494"/>
      <c r="E7686" s="494"/>
      <c r="F7686" s="53" t="s">
        <v>24</v>
      </c>
      <c r="G7686" s="53" t="s">
        <v>25</v>
      </c>
      <c r="H7686" s="492"/>
    </row>
    <row r="7687" spans="1:9" x14ac:dyDescent="0.3">
      <c r="A7687" s="186">
        <v>1</v>
      </c>
      <c r="B7687" s="60" t="s">
        <v>1386</v>
      </c>
      <c r="C7687" s="188">
        <v>100</v>
      </c>
      <c r="D7687" s="56">
        <v>94054090</v>
      </c>
      <c r="E7687" s="57">
        <v>350</v>
      </c>
      <c r="F7687" s="58">
        <f>E7687*C7687*9%</f>
        <v>3150</v>
      </c>
      <c r="G7687" s="58">
        <f>F7687</f>
        <v>3150</v>
      </c>
      <c r="H7687" s="59">
        <f>E7687*C7687+F7687+G7687</f>
        <v>41300</v>
      </c>
      <c r="I7687" s="362">
        <f>E7687*C7687</f>
        <v>35000</v>
      </c>
    </row>
    <row r="7688" spans="1:9" x14ac:dyDescent="0.3">
      <c r="A7688" s="57"/>
      <c r="B7688" s="60"/>
      <c r="C7688" s="57"/>
      <c r="D7688" s="56"/>
      <c r="E7688" s="57"/>
      <c r="F7688" s="58"/>
      <c r="G7688" s="58"/>
      <c r="H7688" s="59"/>
    </row>
    <row r="7689" spans="1:9" x14ac:dyDescent="0.3">
      <c r="A7689" s="57"/>
      <c r="B7689" s="60"/>
      <c r="C7689" s="57"/>
      <c r="D7689" s="56"/>
      <c r="E7689" s="57"/>
      <c r="F7689" s="58"/>
      <c r="G7689" s="58"/>
      <c r="H7689" s="59"/>
    </row>
    <row r="7690" spans="1:9" x14ac:dyDescent="0.3">
      <c r="A7690" s="173"/>
      <c r="B7690" s="174"/>
      <c r="C7690" s="175"/>
      <c r="D7690" s="152"/>
      <c r="E7690" s="175"/>
      <c r="F7690" s="165"/>
      <c r="G7690" s="165"/>
      <c r="H7690" s="166"/>
    </row>
    <row r="7691" spans="1:9" x14ac:dyDescent="0.3">
      <c r="A7691" s="173"/>
      <c r="B7691" s="174"/>
      <c r="C7691" s="175"/>
      <c r="D7691" s="152"/>
      <c r="E7691" s="175"/>
      <c r="F7691" s="165"/>
      <c r="G7691" s="165"/>
      <c r="H7691" s="166"/>
    </row>
    <row r="7692" spans="1:9" x14ac:dyDescent="0.3">
      <c r="A7692" s="173"/>
      <c r="B7692" s="174"/>
      <c r="C7692" s="175"/>
      <c r="D7692" s="152"/>
      <c r="E7692" s="175"/>
      <c r="F7692" s="165"/>
      <c r="G7692" s="165"/>
      <c r="H7692" s="166"/>
    </row>
    <row r="7693" spans="1:9" x14ac:dyDescent="0.3">
      <c r="A7693" s="173"/>
      <c r="B7693" s="174"/>
      <c r="C7693" s="175"/>
      <c r="D7693" s="152"/>
      <c r="E7693" s="175"/>
      <c r="F7693" s="165"/>
      <c r="G7693" s="165"/>
      <c r="H7693" s="166"/>
    </row>
    <row r="7694" spans="1:9" x14ac:dyDescent="0.3">
      <c r="A7694" s="173"/>
      <c r="B7694" s="174"/>
      <c r="C7694" s="175"/>
      <c r="D7694" s="152"/>
      <c r="E7694" s="175"/>
      <c r="F7694" s="165"/>
      <c r="G7694" s="165"/>
      <c r="H7694" s="166"/>
    </row>
    <row r="7695" spans="1:9" x14ac:dyDescent="0.3">
      <c r="A7695" s="173"/>
      <c r="B7695" s="174"/>
      <c r="C7695" s="175"/>
      <c r="D7695" s="152"/>
      <c r="E7695" s="175"/>
      <c r="F7695" s="165"/>
      <c r="G7695" s="165"/>
      <c r="H7695" s="166"/>
    </row>
    <row r="7696" spans="1:9" x14ac:dyDescent="0.3">
      <c r="A7696" s="173"/>
      <c r="B7696" s="174"/>
      <c r="C7696" s="175"/>
      <c r="D7696" s="152"/>
      <c r="E7696" s="175"/>
      <c r="F7696" s="165"/>
      <c r="G7696" s="165"/>
      <c r="H7696" s="166"/>
    </row>
    <row r="7697" spans="1:8" x14ac:dyDescent="0.3">
      <c r="A7697" s="173"/>
      <c r="B7697" s="174"/>
      <c r="C7697" s="175"/>
      <c r="D7697" s="152"/>
      <c r="E7697" s="175"/>
      <c r="F7697" s="165"/>
      <c r="G7697" s="165"/>
      <c r="H7697" s="166"/>
    </row>
    <row r="7698" spans="1:8" x14ac:dyDescent="0.3">
      <c r="A7698" s="173"/>
      <c r="B7698" s="174"/>
      <c r="C7698" s="175"/>
      <c r="D7698" s="152"/>
      <c r="E7698" s="175"/>
      <c r="F7698" s="165"/>
      <c r="G7698" s="165"/>
      <c r="H7698" s="166"/>
    </row>
    <row r="7699" spans="1:8" x14ac:dyDescent="0.3">
      <c r="A7699" s="173"/>
      <c r="B7699" s="174"/>
      <c r="C7699" s="175"/>
      <c r="D7699" s="152"/>
      <c r="E7699" s="175"/>
      <c r="F7699" s="165"/>
      <c r="G7699" s="165"/>
      <c r="H7699" s="166"/>
    </row>
    <row r="7700" spans="1:8" x14ac:dyDescent="0.3">
      <c r="A7700" s="173"/>
      <c r="B7700" s="174"/>
      <c r="C7700" s="175"/>
      <c r="D7700" s="152"/>
      <c r="E7700" s="175"/>
      <c r="F7700" s="165"/>
      <c r="G7700" s="165"/>
      <c r="H7700" s="166"/>
    </row>
    <row r="7701" spans="1:8" x14ac:dyDescent="0.3">
      <c r="A7701" s="173"/>
      <c r="B7701" s="174"/>
      <c r="C7701" s="175"/>
      <c r="D7701" s="152"/>
      <c r="E7701" s="175"/>
      <c r="F7701" s="165"/>
      <c r="G7701" s="165"/>
      <c r="H7701" s="166"/>
    </row>
    <row r="7702" spans="1:8" x14ac:dyDescent="0.3">
      <c r="A7702" s="173"/>
      <c r="B7702" s="174"/>
      <c r="C7702" s="175"/>
      <c r="D7702" s="152"/>
      <c r="E7702" s="175"/>
      <c r="F7702" s="165"/>
      <c r="G7702" s="165"/>
      <c r="H7702" s="166"/>
    </row>
    <row r="7703" spans="1:8" x14ac:dyDescent="0.3">
      <c r="A7703" s="173"/>
      <c r="B7703" s="174"/>
      <c r="C7703" s="175"/>
      <c r="D7703" s="152"/>
      <c r="E7703" s="175"/>
      <c r="F7703" s="165"/>
      <c r="G7703" s="165"/>
      <c r="H7703" s="166"/>
    </row>
    <row r="7704" spans="1:8" x14ac:dyDescent="0.3">
      <c r="A7704" s="27"/>
      <c r="B7704" s="174"/>
      <c r="C7704" s="24"/>
      <c r="D7704" s="152"/>
      <c r="E7704" s="175"/>
      <c r="F7704" s="175"/>
      <c r="G7704" s="162"/>
      <c r="H7704" s="154"/>
    </row>
    <row r="7705" spans="1:8" x14ac:dyDescent="0.3">
      <c r="A7705" s="27"/>
      <c r="B7705" s="174"/>
      <c r="C7705" s="24"/>
      <c r="D7705" s="152"/>
      <c r="E7705" s="25"/>
      <c r="F7705" s="175"/>
      <c r="G7705" s="162"/>
      <c r="H7705" s="154"/>
    </row>
    <row r="7706" spans="1:8" x14ac:dyDescent="0.3">
      <c r="A7706" s="27"/>
      <c r="B7706" s="28"/>
      <c r="C7706" s="24"/>
      <c r="D7706" s="152"/>
      <c r="E7706" s="25"/>
      <c r="F7706" s="175"/>
      <c r="G7706" s="162"/>
      <c r="H7706" s="154"/>
    </row>
    <row r="7707" spans="1:8" x14ac:dyDescent="0.3">
      <c r="A7707" s="27"/>
      <c r="B7707" s="28"/>
      <c r="C7707" s="24"/>
      <c r="D7707" s="25"/>
      <c r="E7707" s="25"/>
      <c r="F7707" s="25"/>
      <c r="G7707" s="28"/>
      <c r="H7707" s="32"/>
    </row>
    <row r="7708" spans="1:8" ht="15.6" x14ac:dyDescent="0.3">
      <c r="A7708" s="448" t="s">
        <v>45</v>
      </c>
      <c r="B7708" s="449"/>
      <c r="C7708" s="24"/>
      <c r="D7708" s="25"/>
      <c r="E7708" s="25"/>
      <c r="F7708" s="447" t="s">
        <v>46</v>
      </c>
      <c r="G7708" s="447"/>
      <c r="H7708" s="66">
        <v>35000</v>
      </c>
    </row>
    <row r="7709" spans="1:8" ht="15.6" x14ac:dyDescent="0.3">
      <c r="A7709" s="497" t="s">
        <v>1388</v>
      </c>
      <c r="B7709" s="498"/>
      <c r="C7709" s="498"/>
      <c r="D7709" s="498"/>
      <c r="E7709" s="498"/>
      <c r="F7709" s="447" t="s">
        <v>47</v>
      </c>
      <c r="G7709" s="447"/>
      <c r="H7709" s="66">
        <f>H7708*9%</f>
        <v>3150</v>
      </c>
    </row>
    <row r="7710" spans="1:8" ht="15.6" x14ac:dyDescent="0.3">
      <c r="A7710" s="27"/>
      <c r="B7710" s="28"/>
      <c r="C7710" s="24"/>
      <c r="D7710" s="25"/>
      <c r="E7710" s="25"/>
      <c r="F7710" s="447" t="s">
        <v>48</v>
      </c>
      <c r="G7710" s="447"/>
      <c r="H7710" s="66">
        <f>H7709</f>
        <v>3150</v>
      </c>
    </row>
    <row r="7711" spans="1:8" ht="15.6" x14ac:dyDescent="0.3">
      <c r="A7711" s="448" t="s">
        <v>49</v>
      </c>
      <c r="B7711" s="449"/>
      <c r="C7711" s="24"/>
      <c r="D7711" s="25"/>
      <c r="E7711" s="25"/>
      <c r="F7711" s="447" t="s">
        <v>50</v>
      </c>
      <c r="G7711" s="447"/>
      <c r="H7711" s="66">
        <f>H7708+H7709+H7710</f>
        <v>41300</v>
      </c>
    </row>
    <row r="7712" spans="1:8" ht="15.6" x14ac:dyDescent="0.3">
      <c r="A7712" s="90"/>
      <c r="B7712" s="177"/>
      <c r="C7712" s="24"/>
      <c r="D7712" s="25"/>
      <c r="E7712" s="25"/>
      <c r="F7712" s="26"/>
      <c r="G7712" s="26"/>
      <c r="H7712" s="66"/>
    </row>
    <row r="7713" spans="1:8" ht="27" x14ac:dyDescent="0.3">
      <c r="A7713" s="29" t="s">
        <v>22</v>
      </c>
      <c r="B7713" s="30" t="s">
        <v>51</v>
      </c>
      <c r="C7713" s="31" t="s">
        <v>24</v>
      </c>
      <c r="D7713" s="31" t="s">
        <v>25</v>
      </c>
      <c r="E7713" s="528" t="s">
        <v>52</v>
      </c>
      <c r="F7713" s="528"/>
      <c r="G7713" s="28"/>
      <c r="H7713" s="32"/>
    </row>
    <row r="7714" spans="1:8" x14ac:dyDescent="0.3">
      <c r="A7714" s="33">
        <v>0.18</v>
      </c>
      <c r="B7714" s="34">
        <f>H7708</f>
        <v>35000</v>
      </c>
      <c r="C7714" s="35">
        <f>H7709</f>
        <v>3150</v>
      </c>
      <c r="D7714" s="35">
        <f>H7710</f>
        <v>3150</v>
      </c>
      <c r="E7714" s="529">
        <f>C7714+D7714</f>
        <v>6300</v>
      </c>
      <c r="F7714" s="530"/>
      <c r="G7714" s="28"/>
      <c r="H7714" s="32"/>
    </row>
    <row r="7715" spans="1:8" x14ac:dyDescent="0.3">
      <c r="A7715" s="452" t="s">
        <v>1389</v>
      </c>
      <c r="B7715" s="453"/>
      <c r="C7715" s="453"/>
      <c r="D7715" s="453"/>
      <c r="E7715" s="453"/>
      <c r="F7715" s="453"/>
      <c r="G7715" s="453"/>
      <c r="H7715" s="454"/>
    </row>
    <row r="7716" spans="1:8" ht="15.6" x14ac:dyDescent="0.3">
      <c r="A7716" s="455" t="s">
        <v>53</v>
      </c>
      <c r="B7716" s="456"/>
      <c r="C7716" s="456"/>
      <c r="D7716" s="457"/>
      <c r="E7716" s="458" t="s">
        <v>54</v>
      </c>
      <c r="F7716" s="459"/>
      <c r="G7716" s="459"/>
      <c r="H7716" s="460"/>
    </row>
    <row r="7717" spans="1:8" x14ac:dyDescent="0.3">
      <c r="A7717" s="461" t="s">
        <v>55</v>
      </c>
      <c r="B7717" s="462"/>
      <c r="C7717" s="462"/>
      <c r="D7717" s="463"/>
      <c r="E7717" s="39"/>
      <c r="F7717" s="25"/>
      <c r="G7717" s="28"/>
      <c r="H7717" s="32"/>
    </row>
    <row r="7718" spans="1:8" x14ac:dyDescent="0.3">
      <c r="A7718" s="461" t="s">
        <v>56</v>
      </c>
      <c r="B7718" s="462"/>
      <c r="C7718" s="462"/>
      <c r="D7718" s="463"/>
      <c r="E7718" s="39"/>
      <c r="F7718" s="25"/>
      <c r="G7718" s="28"/>
      <c r="H7718" s="32"/>
    </row>
    <row r="7719" spans="1:8" x14ac:dyDescent="0.3">
      <c r="A7719" s="461" t="s">
        <v>57</v>
      </c>
      <c r="B7719" s="462"/>
      <c r="C7719" s="462"/>
      <c r="D7719" s="463"/>
      <c r="E7719" s="25"/>
      <c r="F7719" s="25"/>
      <c r="G7719" s="28"/>
      <c r="H7719" s="32"/>
    </row>
    <row r="7720" spans="1:8" ht="15.6" x14ac:dyDescent="0.3">
      <c r="A7720" s="464" t="s">
        <v>58</v>
      </c>
      <c r="B7720" s="465"/>
      <c r="C7720" s="465"/>
      <c r="D7720" s="510"/>
      <c r="E7720" s="466" t="s">
        <v>59</v>
      </c>
      <c r="F7720" s="467"/>
      <c r="G7720" s="467"/>
      <c r="H7720" s="468"/>
    </row>
    <row r="7723" spans="1:8" ht="44.4" x14ac:dyDescent="0.7">
      <c r="A7723" s="469" t="s">
        <v>0</v>
      </c>
      <c r="B7723" s="470"/>
      <c r="C7723" s="470"/>
      <c r="D7723" s="470"/>
      <c r="E7723" s="531" t="s">
        <v>1</v>
      </c>
      <c r="F7723" s="544"/>
      <c r="G7723" s="544"/>
      <c r="H7723" s="545"/>
    </row>
    <row r="7724" spans="1:8" ht="20.399999999999999" x14ac:dyDescent="0.35">
      <c r="A7724" s="1"/>
      <c r="B7724" s="476" t="s">
        <v>2</v>
      </c>
      <c r="C7724" s="476"/>
      <c r="D7724" s="476"/>
      <c r="E7724" s="546"/>
      <c r="F7724" s="546"/>
      <c r="G7724" s="546"/>
      <c r="H7724" s="547"/>
    </row>
    <row r="7725" spans="1:8" x14ac:dyDescent="0.3">
      <c r="A7725" s="477" t="s">
        <v>3</v>
      </c>
      <c r="B7725" s="478"/>
      <c r="C7725" s="479" t="s">
        <v>4</v>
      </c>
      <c r="D7725" s="479"/>
      <c r="E7725" s="480" t="s">
        <v>5</v>
      </c>
      <c r="F7725" s="480"/>
      <c r="G7725" s="480"/>
      <c r="H7725" s="480"/>
    </row>
    <row r="7726" spans="1:8" ht="15.6" x14ac:dyDescent="0.3">
      <c r="A7726" s="4" t="s">
        <v>6</v>
      </c>
      <c r="B7726" s="5"/>
      <c r="C7726" s="481" t="s">
        <v>7</v>
      </c>
      <c r="D7726" s="481"/>
      <c r="E7726" s="482">
        <v>168</v>
      </c>
      <c r="F7726" s="482"/>
      <c r="G7726" s="7" t="s">
        <v>8</v>
      </c>
      <c r="H7726" s="250" t="s">
        <v>1368</v>
      </c>
    </row>
    <row r="7727" spans="1:8" ht="15.6" x14ac:dyDescent="0.3">
      <c r="A7727" s="551" t="s">
        <v>488</v>
      </c>
      <c r="B7727" s="552"/>
      <c r="C7727" s="481" t="s">
        <v>10</v>
      </c>
      <c r="D7727" s="481"/>
      <c r="E7727" s="482">
        <v>72</v>
      </c>
      <c r="F7727" s="482"/>
      <c r="G7727" s="7" t="s">
        <v>8</v>
      </c>
      <c r="H7727" s="250" t="s">
        <v>1368</v>
      </c>
    </row>
    <row r="7728" spans="1:8" ht="25.5" customHeight="1" x14ac:dyDescent="0.3">
      <c r="A7728" s="560" t="s">
        <v>489</v>
      </c>
      <c r="B7728" s="561"/>
      <c r="C7728" s="483" t="s">
        <v>12</v>
      </c>
      <c r="D7728" s="484"/>
      <c r="E7728" s="564">
        <v>1325400048</v>
      </c>
      <c r="F7728" s="593"/>
      <c r="G7728" s="10" t="s">
        <v>8</v>
      </c>
      <c r="H7728" s="252">
        <v>45759</v>
      </c>
    </row>
    <row r="7729" spans="1:9" ht="15.6" x14ac:dyDescent="0.3">
      <c r="A7729" s="253" t="s">
        <v>490</v>
      </c>
      <c r="B7729" s="254"/>
      <c r="C7729" s="481" t="s">
        <v>15</v>
      </c>
      <c r="D7729" s="481"/>
      <c r="E7729" s="489" t="s">
        <v>495</v>
      </c>
      <c r="F7729" s="490"/>
      <c r="G7729" s="490"/>
      <c r="H7729" s="491"/>
    </row>
    <row r="7730" spans="1:9" ht="15.6" x14ac:dyDescent="0.3">
      <c r="A7730" s="255" t="s">
        <v>182</v>
      </c>
      <c r="B7730" s="256"/>
      <c r="C7730" s="489"/>
      <c r="D7730" s="490"/>
      <c r="E7730" s="490"/>
      <c r="F7730" s="490"/>
      <c r="G7730" s="490"/>
      <c r="H7730" s="491"/>
    </row>
    <row r="7731" spans="1:9" ht="15" x14ac:dyDescent="0.3">
      <c r="A7731" s="492" t="s">
        <v>17</v>
      </c>
      <c r="B7731" s="494" t="s">
        <v>18</v>
      </c>
      <c r="C7731" s="494" t="s">
        <v>19</v>
      </c>
      <c r="D7731" s="495" t="s">
        <v>20</v>
      </c>
      <c r="E7731" s="494" t="s">
        <v>21</v>
      </c>
      <c r="F7731" s="494" t="s">
        <v>22</v>
      </c>
      <c r="G7731" s="494"/>
      <c r="H7731" s="492" t="s">
        <v>23</v>
      </c>
    </row>
    <row r="7732" spans="1:9" ht="27.6" x14ac:dyDescent="0.3">
      <c r="A7732" s="492"/>
      <c r="B7732" s="494"/>
      <c r="C7732" s="494"/>
      <c r="D7732" s="505"/>
      <c r="E7732" s="494"/>
      <c r="F7732" s="53" t="s">
        <v>24</v>
      </c>
      <c r="G7732" s="53" t="s">
        <v>25</v>
      </c>
      <c r="H7732" s="492"/>
    </row>
    <row r="7733" spans="1:9" x14ac:dyDescent="0.3">
      <c r="A7733" s="55">
        <v>1</v>
      </c>
      <c r="B7733" s="257" t="s">
        <v>1392</v>
      </c>
      <c r="C7733" s="55">
        <v>10</v>
      </c>
      <c r="D7733" s="86">
        <v>853600</v>
      </c>
      <c r="E7733" s="55">
        <v>2714</v>
      </c>
      <c r="F7733" s="55">
        <f>E7733*C7733*9%</f>
        <v>2442.6</v>
      </c>
      <c r="G7733" s="55">
        <f>F7733</f>
        <v>2442.6</v>
      </c>
      <c r="H7733" s="55">
        <f>G7733+F7733+E7733*C7733</f>
        <v>32025.200000000001</v>
      </c>
      <c r="I7733" s="362">
        <f>E7733*C7733</f>
        <v>27140</v>
      </c>
    </row>
    <row r="7734" spans="1:9" x14ac:dyDescent="0.3">
      <c r="A7734" s="55"/>
      <c r="B7734" s="257"/>
      <c r="C7734" s="55"/>
      <c r="D7734" s="86"/>
      <c r="E7734" s="55"/>
      <c r="F7734" s="55"/>
      <c r="G7734" s="55"/>
      <c r="H7734" s="55"/>
    </row>
    <row r="7735" spans="1:9" x14ac:dyDescent="0.3">
      <c r="A7735" s="55"/>
      <c r="B7735" s="257"/>
      <c r="C7735" s="55"/>
      <c r="D7735" s="55"/>
      <c r="E7735" s="55"/>
      <c r="F7735" s="55"/>
      <c r="G7735" s="55"/>
      <c r="H7735" s="55"/>
    </row>
    <row r="7736" spans="1:9" x14ac:dyDescent="0.3">
      <c r="A7736" s="55"/>
      <c r="B7736" s="257"/>
      <c r="C7736" s="20"/>
      <c r="D7736" s="86"/>
      <c r="E7736" s="55"/>
      <c r="F7736" s="55"/>
      <c r="G7736" s="55"/>
      <c r="H7736" s="55"/>
    </row>
    <row r="7737" spans="1:9" x14ac:dyDescent="0.3">
      <c r="A7737" s="55"/>
      <c r="B7737" s="257"/>
      <c r="C7737" s="20"/>
      <c r="D7737" s="86"/>
      <c r="E7737" s="55"/>
      <c r="F7737" s="55"/>
      <c r="G7737" s="55"/>
      <c r="H7737" s="55"/>
    </row>
    <row r="7738" spans="1:9" x14ac:dyDescent="0.3">
      <c r="A7738" s="55"/>
      <c r="B7738" s="257"/>
      <c r="C7738" s="20"/>
      <c r="D7738" s="86"/>
      <c r="E7738" s="55"/>
      <c r="F7738" s="55"/>
      <c r="G7738" s="55"/>
      <c r="H7738" s="55"/>
    </row>
    <row r="7739" spans="1:9" x14ac:dyDescent="0.3">
      <c r="A7739" s="55"/>
      <c r="B7739" s="257"/>
      <c r="C7739" s="20"/>
      <c r="D7739" s="86"/>
      <c r="E7739" s="55"/>
      <c r="F7739" s="55"/>
      <c r="G7739" s="55"/>
      <c r="H7739" s="55"/>
    </row>
    <row r="7740" spans="1:9" x14ac:dyDescent="0.3">
      <c r="A7740" s="55"/>
      <c r="B7740" s="257"/>
      <c r="C7740" s="178"/>
      <c r="D7740" s="163"/>
      <c r="E7740" s="163"/>
      <c r="F7740" s="163"/>
      <c r="G7740" s="163"/>
      <c r="H7740" s="163"/>
    </row>
    <row r="7741" spans="1:9" x14ac:dyDescent="0.3">
      <c r="A7741" s="55"/>
      <c r="B7741" s="257"/>
      <c r="C7741" s="258"/>
      <c r="D7741" s="86"/>
      <c r="E7741" s="55"/>
      <c r="F7741" s="259"/>
      <c r="G7741" s="259"/>
      <c r="H7741" s="258"/>
    </row>
    <row r="7742" spans="1:9" x14ac:dyDescent="0.3">
      <c r="A7742" s="55"/>
      <c r="B7742" s="84"/>
      <c r="C7742" s="55"/>
      <c r="D7742" s="55"/>
      <c r="E7742" s="55"/>
      <c r="F7742" s="55"/>
      <c r="G7742" s="55"/>
      <c r="H7742" s="55"/>
    </row>
    <row r="7743" spans="1:9" x14ac:dyDescent="0.3">
      <c r="A7743" s="55"/>
      <c r="B7743" s="163"/>
      <c r="C7743" s="178"/>
      <c r="D7743" s="163"/>
      <c r="E7743" s="163"/>
      <c r="F7743" s="163"/>
      <c r="G7743" s="163"/>
      <c r="H7743" s="163"/>
    </row>
    <row r="7744" spans="1:9" x14ac:dyDescent="0.3">
      <c r="A7744" s="55"/>
      <c r="B7744" s="163"/>
      <c r="C7744" s="55"/>
      <c r="D7744" s="55"/>
      <c r="E7744" s="55"/>
      <c r="F7744" s="55"/>
      <c r="G7744" s="55"/>
      <c r="H7744" s="55"/>
    </row>
    <row r="7745" spans="1:8" x14ac:dyDescent="0.3">
      <c r="A7745" s="57"/>
      <c r="B7745" s="84"/>
      <c r="C7745" s="85"/>
      <c r="D7745" s="86"/>
      <c r="E7745" s="87"/>
      <c r="F7745" s="47"/>
      <c r="G7745" s="47"/>
      <c r="H7745" s="47"/>
    </row>
    <row r="7746" spans="1:8" x14ac:dyDescent="0.3">
      <c r="A7746" s="57"/>
      <c r="B7746" s="84"/>
      <c r="C7746" s="85"/>
      <c r="D7746" s="86"/>
      <c r="E7746" s="47"/>
      <c r="F7746" s="47"/>
      <c r="G7746" s="47"/>
      <c r="H7746" s="47"/>
    </row>
    <row r="7747" spans="1:8" x14ac:dyDescent="0.3">
      <c r="A7747" s="55"/>
      <c r="B7747" s="84"/>
      <c r="C7747" s="55"/>
      <c r="D7747" s="86"/>
      <c r="E7747" s="47"/>
      <c r="F7747" s="47"/>
      <c r="G7747" s="47"/>
      <c r="H7747" s="47"/>
    </row>
    <row r="7748" spans="1:8" x14ac:dyDescent="0.3">
      <c r="A7748" s="27"/>
      <c r="B7748" s="88"/>
      <c r="C7748" s="24"/>
      <c r="D7748" s="89"/>
      <c r="E7748" s="25"/>
      <c r="F7748" s="25"/>
      <c r="G7748" s="25"/>
      <c r="H7748" s="32"/>
    </row>
    <row r="7749" spans="1:8" x14ac:dyDescent="0.3">
      <c r="A7749" s="27"/>
      <c r="B7749" s="88"/>
      <c r="C7749" s="24"/>
      <c r="D7749" s="89"/>
      <c r="E7749" s="25"/>
      <c r="F7749" s="25"/>
      <c r="G7749" s="25"/>
      <c r="H7749" s="32"/>
    </row>
    <row r="7750" spans="1:8" x14ac:dyDescent="0.3">
      <c r="A7750" s="27"/>
      <c r="B7750" s="88"/>
      <c r="C7750" s="24"/>
      <c r="D7750" s="89"/>
      <c r="E7750" s="25"/>
      <c r="F7750" s="25"/>
      <c r="G7750" s="25"/>
      <c r="H7750" s="32"/>
    </row>
    <row r="7751" spans="1:8" x14ac:dyDescent="0.3">
      <c r="A7751" s="27"/>
      <c r="B7751" s="88"/>
      <c r="C7751" s="24"/>
      <c r="D7751" s="89"/>
      <c r="E7751" s="25"/>
      <c r="F7751" s="25"/>
      <c r="G7751" s="25"/>
      <c r="H7751" s="32"/>
    </row>
    <row r="7752" spans="1:8" x14ac:dyDescent="0.3">
      <c r="A7752" s="27"/>
      <c r="B7752" s="88"/>
      <c r="C7752" s="24"/>
      <c r="D7752" s="89"/>
      <c r="E7752" s="25"/>
      <c r="F7752" s="25"/>
      <c r="G7752" s="25"/>
      <c r="H7752" s="32"/>
    </row>
    <row r="7753" spans="1:8" x14ac:dyDescent="0.3">
      <c r="A7753" s="27"/>
      <c r="B7753" s="88"/>
      <c r="C7753" s="24"/>
      <c r="D7753" s="89"/>
      <c r="E7753" s="25"/>
      <c r="F7753" s="25"/>
      <c r="G7753" s="25"/>
      <c r="H7753" s="32"/>
    </row>
    <row r="7754" spans="1:8" x14ac:dyDescent="0.3">
      <c r="A7754" s="27"/>
      <c r="B7754" s="28"/>
      <c r="C7754" s="24"/>
      <c r="D7754" s="25"/>
      <c r="E7754" s="25"/>
      <c r="F7754" s="28"/>
      <c r="G7754" s="28"/>
      <c r="H7754" s="32"/>
    </row>
    <row r="7755" spans="1:8" ht="15.6" x14ac:dyDescent="0.3">
      <c r="A7755" s="448" t="s">
        <v>45</v>
      </c>
      <c r="B7755" s="449"/>
      <c r="C7755" s="24"/>
      <c r="D7755" s="25"/>
      <c r="E7755" s="25"/>
      <c r="F7755" s="447" t="s">
        <v>46</v>
      </c>
      <c r="G7755" s="447"/>
      <c r="H7755" s="66">
        <v>27140</v>
      </c>
    </row>
    <row r="7756" spans="1:8" ht="15.6" x14ac:dyDescent="0.3">
      <c r="A7756" s="497" t="s">
        <v>1390</v>
      </c>
      <c r="B7756" s="498"/>
      <c r="C7756" s="498"/>
      <c r="D7756" s="498"/>
      <c r="E7756" s="498"/>
      <c r="F7756" s="447" t="s">
        <v>47</v>
      </c>
      <c r="G7756" s="447"/>
      <c r="H7756" s="66">
        <f>H7755*9%</f>
        <v>2442.6</v>
      </c>
    </row>
    <row r="7757" spans="1:8" ht="15.6" x14ac:dyDescent="0.3">
      <c r="A7757" s="27"/>
      <c r="B7757" s="28"/>
      <c r="C7757" s="24"/>
      <c r="D7757" s="25"/>
      <c r="E7757" s="25"/>
      <c r="F7757" s="447" t="s">
        <v>48</v>
      </c>
      <c r="G7757" s="447"/>
      <c r="H7757" s="66">
        <f>H7756</f>
        <v>2442.6</v>
      </c>
    </row>
    <row r="7758" spans="1:8" ht="15.6" x14ac:dyDescent="0.3">
      <c r="A7758" s="64" t="s">
        <v>49</v>
      </c>
      <c r="B7758" s="65"/>
      <c r="C7758" s="24"/>
      <c r="D7758" s="25"/>
      <c r="E7758" s="25"/>
      <c r="F7758" s="447" t="s">
        <v>50</v>
      </c>
      <c r="G7758" s="447"/>
      <c r="H7758" s="66">
        <v>32025</v>
      </c>
    </row>
    <row r="7759" spans="1:8" ht="27" x14ac:dyDescent="0.3">
      <c r="A7759" s="68" t="s">
        <v>22</v>
      </c>
      <c r="B7759" s="30" t="s">
        <v>51</v>
      </c>
      <c r="C7759" s="70" t="s">
        <v>24</v>
      </c>
      <c r="D7759" s="31" t="s">
        <v>25</v>
      </c>
      <c r="E7759" s="450" t="s">
        <v>52</v>
      </c>
      <c r="F7759" s="450"/>
      <c r="G7759" s="28"/>
      <c r="H7759" s="32"/>
    </row>
    <row r="7760" spans="1:8" x14ac:dyDescent="0.3">
      <c r="A7760" s="72">
        <v>0.18</v>
      </c>
      <c r="B7760" s="73">
        <f>H7755</f>
        <v>27140</v>
      </c>
      <c r="C7760" s="91">
        <f>H7756</f>
        <v>2442.6</v>
      </c>
      <c r="D7760" s="91">
        <f>H7756</f>
        <v>2442.6</v>
      </c>
      <c r="E7760" s="506">
        <f>C7760+D7760</f>
        <v>4885.2</v>
      </c>
      <c r="F7760" s="507"/>
      <c r="G7760" s="74"/>
      <c r="H7760" s="75"/>
    </row>
    <row r="7761" spans="1:8" x14ac:dyDescent="0.3">
      <c r="A7761" s="508" t="s">
        <v>1391</v>
      </c>
      <c r="B7761" s="509"/>
      <c r="C7761" s="509"/>
      <c r="D7761" s="509"/>
      <c r="E7761" s="453"/>
      <c r="F7761" s="453"/>
      <c r="G7761" s="453"/>
      <c r="H7761" s="454"/>
    </row>
    <row r="7762" spans="1:8" ht="15.6" x14ac:dyDescent="0.3">
      <c r="A7762" s="455" t="s">
        <v>53</v>
      </c>
      <c r="B7762" s="456"/>
      <c r="C7762" s="456"/>
      <c r="D7762" s="457"/>
      <c r="E7762" s="458" t="s">
        <v>54</v>
      </c>
      <c r="F7762" s="459"/>
      <c r="G7762" s="459"/>
      <c r="H7762" s="460"/>
    </row>
    <row r="7763" spans="1:8" x14ac:dyDescent="0.3">
      <c r="A7763" s="461" t="s">
        <v>55</v>
      </c>
      <c r="B7763" s="462"/>
      <c r="C7763" s="462"/>
      <c r="D7763" s="463"/>
      <c r="E7763" s="39"/>
      <c r="F7763" s="28"/>
      <c r="G7763" s="28"/>
      <c r="H7763" s="32"/>
    </row>
    <row r="7764" spans="1:8" x14ac:dyDescent="0.3">
      <c r="A7764" s="461" t="s">
        <v>56</v>
      </c>
      <c r="B7764" s="462"/>
      <c r="C7764" s="462"/>
      <c r="D7764" s="463"/>
      <c r="E7764" s="39"/>
      <c r="F7764" s="28"/>
      <c r="G7764" s="28"/>
      <c r="H7764" s="32"/>
    </row>
    <row r="7765" spans="1:8" x14ac:dyDescent="0.3">
      <c r="A7765" s="461" t="s">
        <v>57</v>
      </c>
      <c r="B7765" s="462"/>
      <c r="C7765" s="462"/>
      <c r="D7765" s="463"/>
      <c r="E7765" s="39"/>
      <c r="F7765" s="28"/>
      <c r="G7765" s="28"/>
      <c r="H7765" s="32"/>
    </row>
    <row r="7766" spans="1:8" ht="15.6" x14ac:dyDescent="0.3">
      <c r="A7766" s="464" t="s">
        <v>58</v>
      </c>
      <c r="B7766" s="465"/>
      <c r="C7766" s="465"/>
      <c r="D7766" s="465"/>
      <c r="E7766" s="466" t="s">
        <v>59</v>
      </c>
      <c r="F7766" s="467"/>
      <c r="G7766" s="467"/>
      <c r="H7766" s="468"/>
    </row>
    <row r="7770" spans="1:8" ht="44.4" x14ac:dyDescent="0.7">
      <c r="A7770" s="469" t="s">
        <v>0</v>
      </c>
      <c r="B7770" s="470"/>
      <c r="C7770" s="470"/>
      <c r="D7770" s="470"/>
      <c r="E7770" s="531" t="s">
        <v>1</v>
      </c>
      <c r="F7770" s="544"/>
      <c r="G7770" s="544"/>
      <c r="H7770" s="545"/>
    </row>
    <row r="7771" spans="1:8" ht="20.399999999999999" x14ac:dyDescent="0.35">
      <c r="A7771" s="1"/>
      <c r="B7771" s="476" t="s">
        <v>2</v>
      </c>
      <c r="C7771" s="476"/>
      <c r="D7771" s="476"/>
      <c r="E7771" s="546"/>
      <c r="F7771" s="546"/>
      <c r="G7771" s="546"/>
      <c r="H7771" s="547"/>
    </row>
    <row r="7772" spans="1:8" x14ac:dyDescent="0.3">
      <c r="A7772" s="477" t="s">
        <v>3</v>
      </c>
      <c r="B7772" s="478"/>
      <c r="C7772" s="479" t="s">
        <v>4</v>
      </c>
      <c r="D7772" s="479"/>
      <c r="E7772" s="654" t="s">
        <v>5</v>
      </c>
      <c r="F7772" s="654"/>
      <c r="G7772" s="654"/>
      <c r="H7772" s="654"/>
    </row>
    <row r="7773" spans="1:8" ht="15.6" x14ac:dyDescent="0.3">
      <c r="A7773" s="138" t="s">
        <v>6</v>
      </c>
      <c r="B7773" s="5"/>
      <c r="C7773" s="512" t="s">
        <v>7</v>
      </c>
      <c r="D7773" s="513"/>
      <c r="E7773" s="482">
        <v>169</v>
      </c>
      <c r="F7773" s="482"/>
      <c r="G7773" s="7" t="s">
        <v>8</v>
      </c>
      <c r="H7773" s="9">
        <v>46023</v>
      </c>
    </row>
    <row r="7774" spans="1:8" ht="15.6" x14ac:dyDescent="0.3">
      <c r="A7774" s="667" t="s">
        <v>830</v>
      </c>
      <c r="B7774" s="668"/>
      <c r="C7774" s="516" t="s">
        <v>10</v>
      </c>
      <c r="D7774" s="481"/>
      <c r="E7774" s="482"/>
      <c r="F7774" s="482"/>
      <c r="G7774" s="7" t="s">
        <v>8</v>
      </c>
      <c r="H7774" s="9"/>
    </row>
    <row r="7775" spans="1:8" ht="15" x14ac:dyDescent="0.3">
      <c r="A7775" s="517" t="s">
        <v>831</v>
      </c>
      <c r="B7775" s="518"/>
      <c r="C7775" s="484" t="s">
        <v>12</v>
      </c>
      <c r="D7775" s="519"/>
      <c r="E7775" s="665"/>
      <c r="F7775" s="666"/>
      <c r="G7775" s="10" t="s">
        <v>8</v>
      </c>
      <c r="H7775" s="11"/>
    </row>
    <row r="7776" spans="1:8" ht="15.6" x14ac:dyDescent="0.3">
      <c r="A7776" s="556" t="s">
        <v>832</v>
      </c>
      <c r="B7776" s="557"/>
      <c r="C7776" s="521" t="s">
        <v>15</v>
      </c>
      <c r="D7776" s="522"/>
      <c r="E7776" s="523" t="s">
        <v>829</v>
      </c>
      <c r="F7776" s="524"/>
      <c r="G7776" s="524"/>
      <c r="H7776" s="6"/>
    </row>
    <row r="7777" spans="1:8" ht="15.6" x14ac:dyDescent="0.3">
      <c r="A7777" s="558" t="s">
        <v>833</v>
      </c>
      <c r="B7777" s="559"/>
      <c r="C7777" s="230"/>
      <c r="D7777" s="231"/>
      <c r="E7777" s="232"/>
      <c r="F7777" s="233"/>
      <c r="G7777" s="233"/>
      <c r="H7777" s="231"/>
    </row>
    <row r="7778" spans="1:8" ht="15" x14ac:dyDescent="0.3">
      <c r="A7778" s="527" t="s">
        <v>17</v>
      </c>
      <c r="B7778" s="505" t="s">
        <v>18</v>
      </c>
      <c r="C7778" s="494" t="s">
        <v>19</v>
      </c>
      <c r="D7778" s="494" t="s">
        <v>20</v>
      </c>
      <c r="E7778" s="494" t="s">
        <v>21</v>
      </c>
      <c r="F7778" s="494" t="s">
        <v>834</v>
      </c>
      <c r="G7778" s="494"/>
      <c r="H7778" s="492" t="s">
        <v>23</v>
      </c>
    </row>
    <row r="7779" spans="1:8" ht="27.6" x14ac:dyDescent="0.3">
      <c r="A7779" s="492"/>
      <c r="B7779" s="494"/>
      <c r="C7779" s="494"/>
      <c r="D7779" s="494"/>
      <c r="E7779" s="494"/>
      <c r="F7779" s="53" t="s">
        <v>398</v>
      </c>
      <c r="G7779" s="53"/>
      <c r="H7779" s="492"/>
    </row>
    <row r="7780" spans="1:8" x14ac:dyDescent="0.3">
      <c r="A7780" s="57">
        <v>1</v>
      </c>
      <c r="B7780" s="60" t="s">
        <v>485</v>
      </c>
      <c r="C7780" s="57">
        <v>3</v>
      </c>
      <c r="D7780" s="56">
        <v>998719</v>
      </c>
      <c r="E7780" s="185">
        <v>7200</v>
      </c>
      <c r="F7780" s="58">
        <v>3888</v>
      </c>
      <c r="G7780" s="58"/>
      <c r="H7780" s="59">
        <f>G7780+F7780+E7780*C7780</f>
        <v>25488</v>
      </c>
    </row>
    <row r="7781" spans="1:8" x14ac:dyDescent="0.3">
      <c r="A7781" s="57"/>
      <c r="B7781" s="237"/>
      <c r="C7781" s="188"/>
      <c r="D7781" s="56"/>
      <c r="E7781" s="57"/>
      <c r="F7781" s="58"/>
      <c r="G7781" s="58"/>
      <c r="H7781" s="59"/>
    </row>
    <row r="7782" spans="1:8" x14ac:dyDescent="0.3">
      <c r="A7782" s="57"/>
      <c r="B7782" s="237"/>
      <c r="C7782" s="188"/>
      <c r="D7782" s="56"/>
      <c r="E7782" s="57"/>
      <c r="F7782" s="58"/>
      <c r="G7782" s="58"/>
      <c r="H7782" s="59"/>
    </row>
    <row r="7783" spans="1:8" x14ac:dyDescent="0.3">
      <c r="A7783" s="57"/>
      <c r="B7783" s="238"/>
      <c r="C7783" s="57"/>
      <c r="D7783" s="56"/>
      <c r="E7783" s="57"/>
      <c r="F7783" s="58"/>
      <c r="G7783" s="58"/>
      <c r="H7783" s="59"/>
    </row>
    <row r="7784" spans="1:8" x14ac:dyDescent="0.3">
      <c r="A7784" s="57"/>
      <c r="B7784" s="238"/>
      <c r="C7784" s="57"/>
      <c r="D7784" s="56"/>
      <c r="E7784" s="57"/>
      <c r="F7784" s="58"/>
      <c r="G7784" s="58"/>
      <c r="H7784" s="59"/>
    </row>
    <row r="7785" spans="1:8" x14ac:dyDescent="0.3">
      <c r="A7785" s="57"/>
      <c r="B7785" s="60"/>
      <c r="C7785" s="239"/>
      <c r="D7785" s="56"/>
      <c r="E7785" s="57"/>
      <c r="F7785" s="58"/>
      <c r="G7785" s="58"/>
      <c r="H7785" s="59"/>
    </row>
    <row r="7786" spans="1:8" x14ac:dyDescent="0.3">
      <c r="A7786" s="57"/>
      <c r="B7786" s="60"/>
      <c r="C7786" s="57"/>
      <c r="D7786" s="86"/>
      <c r="E7786" s="57"/>
      <c r="F7786" s="58"/>
      <c r="G7786" s="58"/>
      <c r="H7786" s="59"/>
    </row>
    <row r="7787" spans="1:8" x14ac:dyDescent="0.3">
      <c r="A7787" s="173"/>
      <c r="B7787" s="174"/>
      <c r="C7787" s="175"/>
      <c r="D7787" s="152"/>
      <c r="E7787" s="175"/>
      <c r="F7787" s="165"/>
      <c r="G7787" s="165"/>
      <c r="H7787" s="166"/>
    </row>
    <row r="7788" spans="1:8" x14ac:dyDescent="0.3">
      <c r="A7788" s="173"/>
      <c r="B7788" s="174"/>
      <c r="C7788" s="175"/>
      <c r="D7788" s="152"/>
      <c r="E7788" s="175"/>
      <c r="F7788" s="165"/>
      <c r="G7788" s="165"/>
      <c r="H7788" s="166"/>
    </row>
    <row r="7789" spans="1:8" x14ac:dyDescent="0.3">
      <c r="A7789" s="173"/>
      <c r="B7789" s="174"/>
      <c r="C7789" s="175"/>
      <c r="D7789" s="152"/>
      <c r="E7789" s="175"/>
      <c r="F7789" s="165"/>
      <c r="G7789" s="165"/>
      <c r="H7789" s="166"/>
    </row>
    <row r="7790" spans="1:8" x14ac:dyDescent="0.3">
      <c r="A7790" s="173"/>
      <c r="B7790" s="174"/>
      <c r="C7790" s="175"/>
      <c r="D7790" s="152"/>
      <c r="E7790" s="175"/>
      <c r="F7790" s="165"/>
      <c r="G7790" s="165"/>
      <c r="H7790" s="166"/>
    </row>
    <row r="7791" spans="1:8" x14ac:dyDescent="0.3">
      <c r="A7791" s="173"/>
      <c r="B7791" s="174"/>
      <c r="C7791" s="175"/>
      <c r="D7791" s="152"/>
      <c r="E7791" s="175"/>
      <c r="F7791" s="165"/>
      <c r="G7791" s="165"/>
      <c r="H7791" s="166"/>
    </row>
    <row r="7792" spans="1:8" x14ac:dyDescent="0.3">
      <c r="A7792" s="173"/>
      <c r="B7792" s="174"/>
      <c r="C7792" s="175"/>
      <c r="D7792" s="152"/>
      <c r="E7792" s="175"/>
      <c r="F7792" s="165"/>
      <c r="G7792" s="165"/>
      <c r="H7792" s="166"/>
    </row>
    <row r="7793" spans="1:8" x14ac:dyDescent="0.3">
      <c r="A7793" s="173"/>
      <c r="B7793" s="174"/>
      <c r="C7793" s="175"/>
      <c r="D7793" s="152"/>
      <c r="E7793" s="175"/>
      <c r="F7793" s="165"/>
      <c r="G7793" s="165"/>
      <c r="H7793" s="166"/>
    </row>
    <row r="7794" spans="1:8" x14ac:dyDescent="0.3">
      <c r="A7794" s="173"/>
      <c r="B7794" s="174"/>
      <c r="C7794" s="175"/>
      <c r="D7794" s="152"/>
      <c r="E7794" s="175"/>
      <c r="F7794" s="165"/>
      <c r="G7794" s="165"/>
      <c r="H7794" s="166"/>
    </row>
    <row r="7795" spans="1:8" x14ac:dyDescent="0.3">
      <c r="A7795" s="173"/>
      <c r="B7795" s="174"/>
      <c r="C7795" s="175"/>
      <c r="D7795" s="152"/>
      <c r="E7795" s="175"/>
      <c r="F7795" s="165"/>
      <c r="G7795" s="165"/>
      <c r="H7795" s="166"/>
    </row>
    <row r="7796" spans="1:8" x14ac:dyDescent="0.3">
      <c r="A7796" s="27"/>
      <c r="B7796" s="174"/>
      <c r="C7796" s="24"/>
      <c r="D7796" s="152"/>
      <c r="E7796" s="175"/>
      <c r="F7796" s="175"/>
      <c r="G7796" s="162"/>
      <c r="H7796" s="154"/>
    </row>
    <row r="7797" spans="1:8" x14ac:dyDescent="0.3">
      <c r="A7797" s="27"/>
      <c r="B7797" s="174"/>
      <c r="C7797" s="24"/>
      <c r="D7797" s="152"/>
      <c r="E7797" s="25"/>
      <c r="F7797" s="175"/>
      <c r="G7797" s="162"/>
      <c r="H7797" s="154"/>
    </row>
    <row r="7798" spans="1:8" x14ac:dyDescent="0.3">
      <c r="A7798" s="27"/>
      <c r="B7798" s="28"/>
      <c r="C7798" s="24"/>
      <c r="D7798" s="152"/>
      <c r="E7798" s="25"/>
      <c r="F7798" s="175"/>
      <c r="G7798" s="162"/>
      <c r="H7798" s="154"/>
    </row>
    <row r="7799" spans="1:8" x14ac:dyDescent="0.3">
      <c r="A7799" s="27"/>
      <c r="B7799" s="28"/>
      <c r="C7799" s="24"/>
      <c r="D7799" s="25"/>
      <c r="E7799" s="25"/>
      <c r="F7799" s="25"/>
      <c r="G7799" s="28"/>
      <c r="H7799" s="32"/>
    </row>
    <row r="7800" spans="1:8" ht="15.6" x14ac:dyDescent="0.3">
      <c r="A7800" s="448" t="s">
        <v>45</v>
      </c>
      <c r="B7800" s="449"/>
      <c r="C7800" s="24"/>
      <c r="D7800" s="25"/>
      <c r="E7800" s="25"/>
      <c r="F7800" s="447" t="s">
        <v>46</v>
      </c>
      <c r="G7800" s="447"/>
      <c r="H7800" s="66">
        <v>21600</v>
      </c>
    </row>
    <row r="7801" spans="1:8" ht="15.6" x14ac:dyDescent="0.3">
      <c r="A7801" s="497" t="s">
        <v>836</v>
      </c>
      <c r="B7801" s="498"/>
      <c r="C7801" s="498"/>
      <c r="D7801" s="498"/>
      <c r="E7801" s="498"/>
      <c r="F7801" s="447" t="s">
        <v>396</v>
      </c>
      <c r="G7801" s="447"/>
      <c r="H7801" s="66">
        <v>3888</v>
      </c>
    </row>
    <row r="7802" spans="1:8" ht="15.6" x14ac:dyDescent="0.3">
      <c r="A7802" s="27"/>
      <c r="B7802" s="28"/>
      <c r="C7802" s="24"/>
      <c r="D7802" s="25"/>
      <c r="E7802" s="25"/>
      <c r="F7802" s="447"/>
      <c r="G7802" s="447"/>
      <c r="H7802" s="66"/>
    </row>
    <row r="7803" spans="1:8" ht="15.6" x14ac:dyDescent="0.3">
      <c r="A7803" s="448" t="s">
        <v>49</v>
      </c>
      <c r="B7803" s="449"/>
      <c r="C7803" s="24"/>
      <c r="D7803" s="25"/>
      <c r="E7803" s="25"/>
      <c r="F7803" s="447" t="s">
        <v>50</v>
      </c>
      <c r="G7803" s="447"/>
      <c r="H7803" s="66">
        <f>H7800+H7801+H7802</f>
        <v>25488</v>
      </c>
    </row>
    <row r="7804" spans="1:8" ht="15.6" x14ac:dyDescent="0.3">
      <c r="A7804" s="90"/>
      <c r="B7804" s="177"/>
      <c r="C7804" s="24"/>
      <c r="D7804" s="25"/>
      <c r="E7804" s="25"/>
      <c r="F7804" s="26"/>
      <c r="G7804" s="26"/>
      <c r="H7804" s="66"/>
    </row>
    <row r="7805" spans="1:8" ht="27" x14ac:dyDescent="0.3">
      <c r="A7805" s="29" t="s">
        <v>22</v>
      </c>
      <c r="B7805" s="30" t="s">
        <v>51</v>
      </c>
      <c r="C7805" s="31" t="s">
        <v>835</v>
      </c>
      <c r="D7805" s="31"/>
      <c r="E7805" s="528" t="s">
        <v>52</v>
      </c>
      <c r="F7805" s="528"/>
      <c r="G7805" s="28"/>
      <c r="H7805" s="32"/>
    </row>
    <row r="7806" spans="1:8" x14ac:dyDescent="0.3">
      <c r="A7806" s="315">
        <v>0.18</v>
      </c>
      <c r="B7806" s="314">
        <f>H7800</f>
        <v>21600</v>
      </c>
      <c r="C7806" s="316">
        <f>H7801</f>
        <v>3888</v>
      </c>
      <c r="D7806" s="316"/>
      <c r="E7806" s="529">
        <f>C7806+D7806</f>
        <v>3888</v>
      </c>
      <c r="F7806" s="530"/>
      <c r="G7806" s="162"/>
      <c r="H7806" s="154"/>
    </row>
    <row r="7807" spans="1:8" x14ac:dyDescent="0.3">
      <c r="A7807" s="452" t="s">
        <v>837</v>
      </c>
      <c r="B7807" s="453"/>
      <c r="C7807" s="453"/>
      <c r="D7807" s="453"/>
      <c r="E7807" s="453"/>
      <c r="F7807" s="453"/>
      <c r="G7807" s="453"/>
      <c r="H7807" s="454"/>
    </row>
    <row r="7808" spans="1:8" ht="15.6" x14ac:dyDescent="0.3">
      <c r="A7808" s="455" t="s">
        <v>53</v>
      </c>
      <c r="B7808" s="456"/>
      <c r="C7808" s="456"/>
      <c r="D7808" s="457"/>
      <c r="E7808" s="458" t="s">
        <v>54</v>
      </c>
      <c r="F7808" s="459"/>
      <c r="G7808" s="459"/>
      <c r="H7808" s="460"/>
    </row>
    <row r="7809" spans="1:8" x14ac:dyDescent="0.3">
      <c r="A7809" s="461" t="s">
        <v>55</v>
      </c>
      <c r="B7809" s="462"/>
      <c r="C7809" s="462"/>
      <c r="D7809" s="463"/>
      <c r="E7809" s="39"/>
      <c r="F7809" s="25"/>
      <c r="G7809" s="28"/>
      <c r="H7809" s="32"/>
    </row>
    <row r="7810" spans="1:8" x14ac:dyDescent="0.3">
      <c r="A7810" s="461" t="s">
        <v>56</v>
      </c>
      <c r="B7810" s="462"/>
      <c r="C7810" s="462"/>
      <c r="D7810" s="463"/>
      <c r="E7810" s="39"/>
      <c r="F7810" s="25"/>
      <c r="G7810" s="28"/>
      <c r="H7810" s="32"/>
    </row>
    <row r="7811" spans="1:8" x14ac:dyDescent="0.3">
      <c r="A7811" s="461" t="s">
        <v>57</v>
      </c>
      <c r="B7811" s="462"/>
      <c r="C7811" s="462"/>
      <c r="D7811" s="463"/>
      <c r="E7811" s="39"/>
      <c r="F7811" s="25"/>
      <c r="G7811" s="28"/>
      <c r="H7811" s="32"/>
    </row>
    <row r="7812" spans="1:8" ht="15.6" x14ac:dyDescent="0.3">
      <c r="A7812" s="464" t="s">
        <v>58</v>
      </c>
      <c r="B7812" s="465"/>
      <c r="C7812" s="465"/>
      <c r="D7812" s="510"/>
      <c r="E7812" s="466" t="s">
        <v>59</v>
      </c>
      <c r="F7812" s="467"/>
      <c r="G7812" s="467"/>
      <c r="H7812" s="468"/>
    </row>
    <row r="7815" spans="1:8" ht="44.4" x14ac:dyDescent="0.7">
      <c r="A7815" s="469" t="s">
        <v>0</v>
      </c>
      <c r="B7815" s="470"/>
      <c r="C7815" s="470"/>
      <c r="D7815" s="470"/>
      <c r="E7815" s="531" t="s">
        <v>1</v>
      </c>
      <c r="F7815" s="544"/>
      <c r="G7815" s="544"/>
      <c r="H7815" s="545"/>
    </row>
    <row r="7816" spans="1:8" ht="20.399999999999999" x14ac:dyDescent="0.35">
      <c r="A7816" s="156"/>
      <c r="B7816" s="476" t="s">
        <v>2</v>
      </c>
      <c r="C7816" s="476"/>
      <c r="D7816" s="476"/>
      <c r="E7816" s="546"/>
      <c r="F7816" s="546"/>
      <c r="G7816" s="546"/>
      <c r="H7816" s="547"/>
    </row>
    <row r="7817" spans="1:8" x14ac:dyDescent="0.3">
      <c r="A7817" s="157" t="s">
        <v>3</v>
      </c>
      <c r="B7817" s="137"/>
      <c r="C7817" s="136"/>
      <c r="D7817" s="499" t="s">
        <v>4</v>
      </c>
      <c r="E7817" s="499"/>
      <c r="F7817" s="137"/>
      <c r="G7817" s="137" t="s">
        <v>134</v>
      </c>
      <c r="H7817" s="120"/>
    </row>
    <row r="7818" spans="1:8" ht="15.6" x14ac:dyDescent="0.3">
      <c r="A7818" s="158" t="s">
        <v>6</v>
      </c>
      <c r="B7818" s="5"/>
      <c r="C7818" s="481" t="s">
        <v>7</v>
      </c>
      <c r="D7818" s="481"/>
      <c r="E7818" s="482">
        <v>170</v>
      </c>
      <c r="F7818" s="482"/>
      <c r="G7818" s="7" t="s">
        <v>8</v>
      </c>
      <c r="H7818" s="122">
        <v>45778</v>
      </c>
    </row>
    <row r="7819" spans="1:8" ht="15.6" x14ac:dyDescent="0.3">
      <c r="A7819" s="551" t="s">
        <v>1183</v>
      </c>
      <c r="B7819" s="552"/>
      <c r="C7819" s="481" t="s">
        <v>10</v>
      </c>
      <c r="D7819" s="481"/>
      <c r="E7819" s="482"/>
      <c r="F7819" s="482"/>
      <c r="G7819" s="7" t="s">
        <v>8</v>
      </c>
      <c r="H7819" s="9"/>
    </row>
    <row r="7820" spans="1:8" ht="15" x14ac:dyDescent="0.3">
      <c r="A7820" s="517" t="s">
        <v>1395</v>
      </c>
      <c r="B7820" s="553"/>
      <c r="C7820" s="483" t="s">
        <v>12</v>
      </c>
      <c r="D7820" s="484"/>
      <c r="E7820" s="584"/>
      <c r="F7820" s="585"/>
      <c r="G7820" s="10" t="s">
        <v>8</v>
      </c>
      <c r="H7820" s="82"/>
    </row>
    <row r="7821" spans="1:8" ht="15.6" x14ac:dyDescent="0.3">
      <c r="A7821" s="556" t="s">
        <v>153</v>
      </c>
      <c r="B7821" s="557"/>
      <c r="C7821" s="481" t="s">
        <v>15</v>
      </c>
      <c r="D7821" s="481"/>
      <c r="E7821" s="502" t="s">
        <v>1182</v>
      </c>
      <c r="F7821" s="503"/>
      <c r="G7821" s="503"/>
      <c r="H7821" s="504"/>
    </row>
    <row r="7822" spans="1:8" ht="15.6" x14ac:dyDescent="0.3">
      <c r="A7822" s="558" t="s">
        <v>1184</v>
      </c>
      <c r="B7822" s="559"/>
      <c r="C7822" s="489"/>
      <c r="D7822" s="490"/>
      <c r="E7822" s="490"/>
      <c r="F7822" s="490"/>
      <c r="G7822" s="490"/>
      <c r="H7822" s="491"/>
    </row>
    <row r="7823" spans="1:8" ht="15" x14ac:dyDescent="0.3">
      <c r="A7823" s="492" t="s">
        <v>17</v>
      </c>
      <c r="B7823" s="494" t="s">
        <v>18</v>
      </c>
      <c r="C7823" s="494" t="s">
        <v>19</v>
      </c>
      <c r="D7823" s="494" t="s">
        <v>20</v>
      </c>
      <c r="E7823" s="494" t="s">
        <v>21</v>
      </c>
      <c r="F7823" s="494" t="s">
        <v>22</v>
      </c>
      <c r="G7823" s="494"/>
      <c r="H7823" s="493" t="s">
        <v>23</v>
      </c>
    </row>
    <row r="7824" spans="1:8" ht="27.6" x14ac:dyDescent="0.3">
      <c r="A7824" s="492"/>
      <c r="B7824" s="494"/>
      <c r="C7824" s="494"/>
      <c r="D7824" s="494"/>
      <c r="E7824" s="494"/>
      <c r="F7824" s="53" t="s">
        <v>24</v>
      </c>
      <c r="G7824" s="53" t="s">
        <v>25</v>
      </c>
      <c r="H7824" s="527"/>
    </row>
    <row r="7825" spans="1:8" x14ac:dyDescent="0.3">
      <c r="A7825" s="55">
        <v>1</v>
      </c>
      <c r="B7825" s="130" t="s">
        <v>1396</v>
      </c>
      <c r="C7825" s="55">
        <v>1</v>
      </c>
      <c r="D7825" s="86">
        <v>998719</v>
      </c>
      <c r="E7825" s="55">
        <v>20000</v>
      </c>
      <c r="F7825" s="93">
        <f>E7825*C7825*9%</f>
        <v>1800</v>
      </c>
      <c r="G7825" s="93">
        <f>F7825</f>
        <v>1800</v>
      </c>
      <c r="H7825" s="62">
        <f>G7825+F7825+E7825*C7825</f>
        <v>23600</v>
      </c>
    </row>
    <row r="7826" spans="1:8" x14ac:dyDescent="0.3">
      <c r="A7826" s="57"/>
      <c r="B7826" s="60"/>
      <c r="C7826" s="57"/>
      <c r="D7826" s="83"/>
      <c r="E7826" s="57"/>
      <c r="F7826" s="58"/>
      <c r="G7826" s="58"/>
      <c r="H7826" s="59"/>
    </row>
    <row r="7827" spans="1:8" x14ac:dyDescent="0.3">
      <c r="A7827" s="57"/>
      <c r="B7827" s="60"/>
      <c r="C7827" s="57"/>
      <c r="D7827" s="83"/>
      <c r="E7827" s="57"/>
      <c r="F7827" s="58"/>
      <c r="G7827" s="58"/>
      <c r="H7827" s="59"/>
    </row>
    <row r="7828" spans="1:8" x14ac:dyDescent="0.3">
      <c r="A7828" s="57"/>
      <c r="B7828" s="60"/>
      <c r="C7828" s="57"/>
      <c r="D7828" s="83"/>
      <c r="E7828" s="57"/>
      <c r="F7828" s="58"/>
      <c r="G7828" s="58"/>
      <c r="H7828" s="59"/>
    </row>
    <row r="7829" spans="1:8" x14ac:dyDescent="0.3">
      <c r="A7829" s="27"/>
      <c r="B7829" s="88"/>
      <c r="C7829" s="24"/>
      <c r="D7829" s="89"/>
      <c r="E7829" s="24"/>
      <c r="F7829" s="133"/>
      <c r="G7829" s="133"/>
      <c r="H7829" s="134"/>
    </row>
    <row r="7830" spans="1:8" x14ac:dyDescent="0.3">
      <c r="A7830" s="27"/>
      <c r="B7830" s="88"/>
      <c r="C7830" s="24"/>
      <c r="D7830" s="89"/>
      <c r="E7830" s="24"/>
      <c r="F7830" s="133"/>
      <c r="G7830" s="133"/>
      <c r="H7830" s="134"/>
    </row>
    <row r="7831" spans="1:8" x14ac:dyDescent="0.3">
      <c r="A7831" s="27"/>
      <c r="B7831" s="88"/>
      <c r="C7831" s="24"/>
      <c r="D7831" s="89"/>
      <c r="E7831" s="24"/>
      <c r="F7831" s="133"/>
      <c r="G7831" s="133"/>
      <c r="H7831" s="134"/>
    </row>
    <row r="7832" spans="1:8" x14ac:dyDescent="0.3">
      <c r="A7832" s="27"/>
      <c r="B7832" s="88"/>
      <c r="C7832" s="24"/>
      <c r="D7832" s="89"/>
      <c r="E7832" s="24"/>
      <c r="F7832" s="133"/>
      <c r="G7832" s="133"/>
      <c r="H7832" s="134"/>
    </row>
    <row r="7833" spans="1:8" x14ac:dyDescent="0.3">
      <c r="A7833" s="27"/>
      <c r="B7833" s="88"/>
      <c r="C7833" s="24"/>
      <c r="D7833" s="89"/>
      <c r="E7833" s="24"/>
      <c r="F7833" s="133"/>
      <c r="G7833" s="133"/>
      <c r="H7833" s="134"/>
    </row>
    <row r="7834" spans="1:8" x14ac:dyDescent="0.3">
      <c r="A7834" s="27"/>
      <c r="B7834" s="88"/>
      <c r="C7834" s="24"/>
      <c r="D7834" s="89"/>
      <c r="E7834" s="24"/>
      <c r="F7834" s="133"/>
      <c r="G7834" s="133"/>
      <c r="H7834" s="134"/>
    </row>
    <row r="7835" spans="1:8" x14ac:dyDescent="0.3">
      <c r="A7835" s="27"/>
      <c r="B7835" s="28"/>
      <c r="C7835" s="24"/>
      <c r="D7835" s="89"/>
      <c r="E7835" s="25"/>
      <c r="F7835" s="25"/>
      <c r="G7835" s="25"/>
      <c r="H7835" s="32"/>
    </row>
    <row r="7836" spans="1:8" x14ac:dyDescent="0.3">
      <c r="A7836" s="27"/>
      <c r="B7836" s="28"/>
      <c r="C7836" s="24"/>
      <c r="D7836" s="89"/>
      <c r="E7836" s="25"/>
      <c r="F7836" s="25"/>
      <c r="G7836" s="25"/>
      <c r="H7836" s="32"/>
    </row>
    <row r="7837" spans="1:8" x14ac:dyDescent="0.3">
      <c r="A7837" s="27"/>
      <c r="B7837" s="28"/>
      <c r="C7837" s="24"/>
      <c r="D7837" s="89"/>
      <c r="E7837" s="25"/>
      <c r="F7837" s="25"/>
      <c r="G7837" s="25"/>
      <c r="H7837" s="32"/>
    </row>
    <row r="7838" spans="1:8" x14ac:dyDescent="0.3">
      <c r="A7838" s="27"/>
      <c r="B7838" s="28"/>
      <c r="C7838" s="24"/>
      <c r="D7838" s="89"/>
      <c r="E7838" s="25"/>
      <c r="F7838" s="25"/>
      <c r="G7838" s="25"/>
      <c r="H7838" s="32"/>
    </row>
    <row r="7839" spans="1:8" x14ac:dyDescent="0.3">
      <c r="A7839" s="27"/>
      <c r="B7839" s="28"/>
      <c r="C7839" s="24"/>
      <c r="D7839" s="89"/>
      <c r="E7839" s="25"/>
      <c r="F7839" s="25"/>
      <c r="G7839" s="25"/>
      <c r="H7839" s="32"/>
    </row>
    <row r="7840" spans="1:8" x14ac:dyDescent="0.3">
      <c r="A7840" s="27"/>
      <c r="B7840" s="28"/>
      <c r="C7840" s="24"/>
      <c r="D7840" s="89"/>
      <c r="E7840" s="25"/>
      <c r="F7840" s="25"/>
      <c r="G7840" s="25"/>
      <c r="H7840" s="32"/>
    </row>
    <row r="7841" spans="1:8" x14ac:dyDescent="0.3">
      <c r="A7841" s="27"/>
      <c r="B7841" s="28"/>
      <c r="C7841" s="24"/>
      <c r="D7841" s="89"/>
      <c r="E7841" s="25"/>
      <c r="F7841" s="25"/>
      <c r="G7841" s="25"/>
      <c r="H7841" s="32"/>
    </row>
    <row r="7842" spans="1:8" x14ac:dyDescent="0.3">
      <c r="A7842" s="27"/>
      <c r="B7842" s="28"/>
      <c r="C7842" s="24"/>
      <c r="D7842" s="89"/>
      <c r="E7842" s="25"/>
      <c r="F7842" s="25"/>
      <c r="G7842" s="25"/>
      <c r="H7842" s="32"/>
    </row>
    <row r="7843" spans="1:8" x14ac:dyDescent="0.3">
      <c r="A7843" s="159"/>
      <c r="B7843" s="28"/>
      <c r="C7843" s="24"/>
      <c r="D7843" s="25"/>
      <c r="E7843" s="25"/>
      <c r="F7843" s="28"/>
      <c r="G7843" s="28"/>
      <c r="H7843" s="32"/>
    </row>
    <row r="7844" spans="1:8" x14ac:dyDescent="0.3">
      <c r="A7844" s="159"/>
      <c r="B7844" s="28"/>
      <c r="C7844" s="24"/>
      <c r="D7844" s="25"/>
      <c r="E7844" s="25"/>
      <c r="F7844" s="28"/>
      <c r="G7844" s="28"/>
      <c r="H7844" s="32"/>
    </row>
    <row r="7845" spans="1:8" x14ac:dyDescent="0.3">
      <c r="A7845" s="159"/>
      <c r="B7845" s="28"/>
      <c r="C7845" s="24"/>
      <c r="D7845" s="25"/>
      <c r="E7845" s="25"/>
      <c r="F7845" s="28"/>
      <c r="G7845" s="28"/>
      <c r="H7845" s="32"/>
    </row>
    <row r="7846" spans="1:8" ht="15.6" x14ac:dyDescent="0.3">
      <c r="A7846" s="64" t="s">
        <v>45</v>
      </c>
      <c r="B7846" s="28"/>
      <c r="C7846" s="24"/>
      <c r="D7846" s="25"/>
      <c r="E7846" s="25"/>
      <c r="F7846" s="447" t="s">
        <v>46</v>
      </c>
      <c r="G7846" s="447"/>
      <c r="H7846" s="66">
        <v>20000</v>
      </c>
    </row>
    <row r="7847" spans="1:8" ht="15.6" x14ac:dyDescent="0.3">
      <c r="A7847" s="497" t="s">
        <v>1397</v>
      </c>
      <c r="B7847" s="498"/>
      <c r="C7847" s="498"/>
      <c r="D7847" s="498"/>
      <c r="E7847" s="498"/>
      <c r="F7847" s="447" t="s">
        <v>47</v>
      </c>
      <c r="G7847" s="447"/>
      <c r="H7847" s="66">
        <f>H7846*9%</f>
        <v>1800</v>
      </c>
    </row>
    <row r="7848" spans="1:8" ht="15.6" x14ac:dyDescent="0.3">
      <c r="A7848" s="159"/>
      <c r="B7848" s="28"/>
      <c r="C7848" s="24"/>
      <c r="D7848" s="25"/>
      <c r="E7848" s="25"/>
      <c r="F7848" s="447" t="s">
        <v>48</v>
      </c>
      <c r="G7848" s="447"/>
      <c r="H7848" s="66">
        <f>H7846*9%</f>
        <v>1800</v>
      </c>
    </row>
    <row r="7849" spans="1:8" ht="15.6" x14ac:dyDescent="0.3">
      <c r="A7849" s="64" t="s">
        <v>49</v>
      </c>
      <c r="B7849" s="28"/>
      <c r="C7849" s="24"/>
      <c r="D7849" s="25"/>
      <c r="E7849" s="25"/>
      <c r="F7849" s="447" t="s">
        <v>50</v>
      </c>
      <c r="G7849" s="447"/>
      <c r="H7849" s="66">
        <f>H7846+H7847+H7848</f>
        <v>23600</v>
      </c>
    </row>
    <row r="7850" spans="1:8" ht="26.4" x14ac:dyDescent="0.3">
      <c r="A7850" s="160" t="s">
        <v>22</v>
      </c>
      <c r="B7850" s="71" t="s">
        <v>51</v>
      </c>
      <c r="C7850" s="161" t="s">
        <v>24</v>
      </c>
      <c r="D7850" s="161" t="s">
        <v>25</v>
      </c>
      <c r="E7850" s="528" t="s">
        <v>52</v>
      </c>
      <c r="F7850" s="528"/>
      <c r="G7850" s="162"/>
      <c r="H7850" s="154"/>
    </row>
    <row r="7851" spans="1:8" x14ac:dyDescent="0.3">
      <c r="A7851" s="72">
        <v>0.18</v>
      </c>
      <c r="B7851" s="73">
        <f>H7846</f>
        <v>20000</v>
      </c>
      <c r="C7851" s="74">
        <f>H7847</f>
        <v>1800</v>
      </c>
      <c r="D7851" s="74">
        <f>H7847</f>
        <v>1800</v>
      </c>
      <c r="E7851" s="507">
        <f>C7851+D7851</f>
        <v>3600</v>
      </c>
      <c r="F7851" s="507"/>
      <c r="G7851" s="74"/>
      <c r="H7851" s="75"/>
    </row>
    <row r="7852" spans="1:8" x14ac:dyDescent="0.3">
      <c r="A7852" s="508" t="s">
        <v>1398</v>
      </c>
      <c r="B7852" s="509"/>
      <c r="C7852" s="509"/>
      <c r="D7852" s="509"/>
      <c r="E7852" s="453"/>
      <c r="F7852" s="453"/>
      <c r="G7852" s="453"/>
      <c r="H7852" s="454"/>
    </row>
    <row r="7853" spans="1:8" ht="15.6" x14ac:dyDescent="0.3">
      <c r="A7853" s="455" t="s">
        <v>53</v>
      </c>
      <c r="B7853" s="456"/>
      <c r="C7853" s="456"/>
      <c r="D7853" s="457"/>
      <c r="E7853" s="458" t="s">
        <v>54</v>
      </c>
      <c r="F7853" s="459"/>
      <c r="G7853" s="459"/>
      <c r="H7853" s="460"/>
    </row>
    <row r="7854" spans="1:8" x14ac:dyDescent="0.3">
      <c r="A7854" s="461" t="s">
        <v>55</v>
      </c>
      <c r="B7854" s="462"/>
      <c r="C7854" s="462"/>
      <c r="D7854" s="463"/>
      <c r="E7854" s="39"/>
      <c r="F7854" s="25"/>
      <c r="G7854" s="28"/>
      <c r="H7854" s="32"/>
    </row>
    <row r="7855" spans="1:8" x14ac:dyDescent="0.3">
      <c r="A7855" s="461" t="s">
        <v>56</v>
      </c>
      <c r="B7855" s="462"/>
      <c r="C7855" s="462"/>
      <c r="D7855" s="463"/>
      <c r="E7855" s="39"/>
      <c r="F7855" s="25"/>
      <c r="G7855" s="28"/>
      <c r="H7855" s="32"/>
    </row>
    <row r="7856" spans="1:8" x14ac:dyDescent="0.3">
      <c r="A7856" s="461" t="s">
        <v>57</v>
      </c>
      <c r="B7856" s="462"/>
      <c r="C7856" s="462"/>
      <c r="D7856" s="463"/>
      <c r="E7856" s="25"/>
      <c r="F7856" s="25"/>
      <c r="G7856" s="28"/>
      <c r="H7856" s="32"/>
    </row>
    <row r="7857" spans="1:9" ht="15.6" x14ac:dyDescent="0.3">
      <c r="A7857" s="464" t="s">
        <v>58</v>
      </c>
      <c r="B7857" s="465"/>
      <c r="C7857" s="465"/>
      <c r="D7857" s="510"/>
      <c r="E7857" s="466" t="s">
        <v>59</v>
      </c>
      <c r="F7857" s="467"/>
      <c r="G7857" s="467"/>
      <c r="H7857" s="468"/>
    </row>
    <row r="7861" spans="1:9" ht="44.4" x14ac:dyDescent="0.7">
      <c r="A7861" s="469" t="s">
        <v>0</v>
      </c>
      <c r="B7861" s="470"/>
      <c r="C7861" s="470"/>
      <c r="D7861" s="470"/>
      <c r="E7861" s="531" t="s">
        <v>1</v>
      </c>
      <c r="F7861" s="544"/>
      <c r="G7861" s="544"/>
      <c r="H7861" s="545"/>
    </row>
    <row r="7862" spans="1:9" ht="20.399999999999999" x14ac:dyDescent="0.35">
      <c r="A7862" s="156"/>
      <c r="B7862" s="476" t="s">
        <v>2</v>
      </c>
      <c r="C7862" s="476"/>
      <c r="D7862" s="476"/>
      <c r="E7862" s="546"/>
      <c r="F7862" s="546"/>
      <c r="G7862" s="546"/>
      <c r="H7862" s="547"/>
    </row>
    <row r="7863" spans="1:9" x14ac:dyDescent="0.3">
      <c r="A7863" s="157" t="s">
        <v>3</v>
      </c>
      <c r="B7863" s="137"/>
      <c r="C7863" s="136"/>
      <c r="D7863" s="499" t="s">
        <v>4</v>
      </c>
      <c r="E7863" s="499"/>
      <c r="F7863" s="137"/>
      <c r="G7863" s="137" t="s">
        <v>134</v>
      </c>
      <c r="H7863" s="120"/>
    </row>
    <row r="7864" spans="1:9" ht="15.6" x14ac:dyDescent="0.3">
      <c r="A7864" s="158" t="s">
        <v>6</v>
      </c>
      <c r="B7864" s="5"/>
      <c r="C7864" s="481" t="s">
        <v>7</v>
      </c>
      <c r="D7864" s="481"/>
      <c r="E7864" s="482">
        <v>171</v>
      </c>
      <c r="F7864" s="482"/>
      <c r="G7864" s="7" t="s">
        <v>8</v>
      </c>
      <c r="H7864" s="9">
        <v>45809</v>
      </c>
    </row>
    <row r="7865" spans="1:9" ht="15.6" x14ac:dyDescent="0.3">
      <c r="A7865" s="551" t="s">
        <v>1183</v>
      </c>
      <c r="B7865" s="552"/>
      <c r="C7865" s="481" t="s">
        <v>10</v>
      </c>
      <c r="D7865" s="481"/>
      <c r="E7865" s="482"/>
      <c r="F7865" s="482"/>
      <c r="G7865" s="7" t="s">
        <v>8</v>
      </c>
      <c r="H7865" s="9"/>
    </row>
    <row r="7866" spans="1:9" ht="15" x14ac:dyDescent="0.3">
      <c r="A7866" s="517" t="s">
        <v>1395</v>
      </c>
      <c r="B7866" s="553"/>
      <c r="C7866" s="483" t="s">
        <v>12</v>
      </c>
      <c r="D7866" s="484"/>
      <c r="E7866" s="584"/>
      <c r="F7866" s="585"/>
      <c r="G7866" s="10" t="s">
        <v>8</v>
      </c>
      <c r="H7866" s="82"/>
    </row>
    <row r="7867" spans="1:9" ht="15.6" x14ac:dyDescent="0.3">
      <c r="A7867" s="556" t="s">
        <v>153</v>
      </c>
      <c r="B7867" s="557"/>
      <c r="C7867" s="481" t="s">
        <v>15</v>
      </c>
      <c r="D7867" s="481"/>
      <c r="E7867" s="502" t="s">
        <v>1182</v>
      </c>
      <c r="F7867" s="503"/>
      <c r="G7867" s="503"/>
      <c r="H7867" s="504"/>
    </row>
    <row r="7868" spans="1:9" ht="15.6" x14ac:dyDescent="0.3">
      <c r="A7868" s="558" t="s">
        <v>1399</v>
      </c>
      <c r="B7868" s="559"/>
      <c r="C7868" s="489"/>
      <c r="D7868" s="490"/>
      <c r="E7868" s="490"/>
      <c r="F7868" s="490"/>
      <c r="G7868" s="490"/>
      <c r="H7868" s="491"/>
    </row>
    <row r="7869" spans="1:9" ht="15" x14ac:dyDescent="0.3">
      <c r="A7869" s="492" t="s">
        <v>17</v>
      </c>
      <c r="B7869" s="494" t="s">
        <v>18</v>
      </c>
      <c r="C7869" s="494" t="s">
        <v>19</v>
      </c>
      <c r="D7869" s="494" t="s">
        <v>20</v>
      </c>
      <c r="E7869" s="494" t="s">
        <v>21</v>
      </c>
      <c r="F7869" s="494" t="s">
        <v>22</v>
      </c>
      <c r="G7869" s="494"/>
      <c r="H7869" s="493" t="s">
        <v>23</v>
      </c>
    </row>
    <row r="7870" spans="1:9" ht="27.6" x14ac:dyDescent="0.3">
      <c r="A7870" s="492"/>
      <c r="B7870" s="494"/>
      <c r="C7870" s="494"/>
      <c r="D7870" s="494"/>
      <c r="E7870" s="494"/>
      <c r="F7870" s="53" t="s">
        <v>24</v>
      </c>
      <c r="G7870" s="53" t="s">
        <v>25</v>
      </c>
      <c r="H7870" s="527"/>
    </row>
    <row r="7871" spans="1:9" x14ac:dyDescent="0.3">
      <c r="A7871" s="55">
        <v>1</v>
      </c>
      <c r="B7871" s="130" t="s">
        <v>1400</v>
      </c>
      <c r="C7871" s="55">
        <v>2</v>
      </c>
      <c r="D7871" s="86">
        <v>998719</v>
      </c>
      <c r="E7871" s="55">
        <v>2400</v>
      </c>
      <c r="F7871" s="93">
        <f>E7871*C7871*9%</f>
        <v>432</v>
      </c>
      <c r="G7871" s="93">
        <f>F7871</f>
        <v>432</v>
      </c>
      <c r="H7871" s="62">
        <f>G7871+F7871+E7871*C7871</f>
        <v>5664</v>
      </c>
      <c r="I7871" s="362">
        <f>E7871*C7871</f>
        <v>4800</v>
      </c>
    </row>
    <row r="7872" spans="1:9" x14ac:dyDescent="0.3">
      <c r="A7872" s="57">
        <v>2</v>
      </c>
      <c r="B7872" s="130" t="s">
        <v>1401</v>
      </c>
      <c r="C7872" s="57">
        <v>1</v>
      </c>
      <c r="D7872" s="86">
        <v>998719</v>
      </c>
      <c r="E7872" s="57">
        <v>4500</v>
      </c>
      <c r="F7872" s="93">
        <f t="shared" ref="F7872:F7873" si="195">E7872*C7872*9%</f>
        <v>405</v>
      </c>
      <c r="G7872" s="93">
        <f t="shared" ref="G7872:G7873" si="196">F7872</f>
        <v>405</v>
      </c>
      <c r="H7872" s="62">
        <f t="shared" ref="H7872:H7873" si="197">G7872+F7872+E7872*C7872</f>
        <v>5310</v>
      </c>
      <c r="I7872" s="362">
        <f t="shared" ref="I7872:I7873" si="198">E7872*C7872</f>
        <v>4500</v>
      </c>
    </row>
    <row r="7873" spans="1:9" x14ac:dyDescent="0.3">
      <c r="A7873" s="57">
        <v>3</v>
      </c>
      <c r="B7873" s="60" t="s">
        <v>847</v>
      </c>
      <c r="C7873" s="57">
        <v>39</v>
      </c>
      <c r="D7873" s="86">
        <v>998719</v>
      </c>
      <c r="E7873" s="57">
        <v>300</v>
      </c>
      <c r="F7873" s="93">
        <f t="shared" si="195"/>
        <v>1053</v>
      </c>
      <c r="G7873" s="93">
        <f t="shared" si="196"/>
        <v>1053</v>
      </c>
      <c r="H7873" s="62">
        <f t="shared" si="197"/>
        <v>13806</v>
      </c>
      <c r="I7873" s="362">
        <f t="shared" si="198"/>
        <v>11700</v>
      </c>
    </row>
    <row r="7874" spans="1:9" x14ac:dyDescent="0.3">
      <c r="A7874" s="57"/>
      <c r="B7874" s="60"/>
      <c r="C7874" s="57"/>
      <c r="D7874" s="83"/>
      <c r="E7874" s="57"/>
      <c r="F7874" s="58"/>
      <c r="G7874" s="58"/>
      <c r="H7874" s="59"/>
    </row>
    <row r="7875" spans="1:9" x14ac:dyDescent="0.3">
      <c r="A7875" s="27"/>
      <c r="B7875" s="88"/>
      <c r="C7875" s="24"/>
      <c r="D7875" s="89"/>
      <c r="E7875" s="24"/>
      <c r="F7875" s="133"/>
      <c r="G7875" s="133"/>
      <c r="H7875" s="134"/>
    </row>
    <row r="7876" spans="1:9" x14ac:dyDescent="0.3">
      <c r="A7876" s="27"/>
      <c r="B7876" s="88"/>
      <c r="C7876" s="24"/>
      <c r="D7876" s="89"/>
      <c r="E7876" s="24"/>
      <c r="F7876" s="133"/>
      <c r="G7876" s="133"/>
      <c r="H7876" s="134"/>
    </row>
    <row r="7877" spans="1:9" x14ac:dyDescent="0.3">
      <c r="A7877" s="27"/>
      <c r="B7877" s="88"/>
      <c r="C7877" s="24"/>
      <c r="D7877" s="89"/>
      <c r="E7877" s="24"/>
      <c r="F7877" s="133"/>
      <c r="G7877" s="133"/>
      <c r="H7877" s="134"/>
    </row>
    <row r="7878" spans="1:9" x14ac:dyDescent="0.3">
      <c r="A7878" s="27"/>
      <c r="B7878" s="88"/>
      <c r="C7878" s="24"/>
      <c r="D7878" s="89"/>
      <c r="E7878" s="24"/>
      <c r="F7878" s="133"/>
      <c r="G7878" s="133"/>
      <c r="H7878" s="134"/>
    </row>
    <row r="7879" spans="1:9" x14ac:dyDescent="0.3">
      <c r="A7879" s="27"/>
      <c r="B7879" s="88"/>
      <c r="C7879" s="24"/>
      <c r="D7879" s="89"/>
      <c r="E7879" s="24"/>
      <c r="F7879" s="133"/>
      <c r="G7879" s="133"/>
      <c r="H7879" s="134"/>
    </row>
    <row r="7880" spans="1:9" x14ac:dyDescent="0.3">
      <c r="A7880" s="27"/>
      <c r="B7880" s="88"/>
      <c r="C7880" s="24"/>
      <c r="D7880" s="89"/>
      <c r="E7880" s="24"/>
      <c r="F7880" s="133"/>
      <c r="G7880" s="133"/>
      <c r="H7880" s="134"/>
    </row>
    <row r="7881" spans="1:9" x14ac:dyDescent="0.3">
      <c r="A7881" s="27"/>
      <c r="B7881" s="28"/>
      <c r="C7881" s="24"/>
      <c r="D7881" s="89"/>
      <c r="E7881" s="25"/>
      <c r="F7881" s="25"/>
      <c r="G7881" s="25"/>
      <c r="H7881" s="32"/>
    </row>
    <row r="7882" spans="1:9" x14ac:dyDescent="0.3">
      <c r="A7882" s="27"/>
      <c r="B7882" s="28"/>
      <c r="C7882" s="24"/>
      <c r="D7882" s="89"/>
      <c r="E7882" s="25"/>
      <c r="F7882" s="25"/>
      <c r="G7882" s="25"/>
      <c r="H7882" s="32"/>
    </row>
    <row r="7883" spans="1:9" x14ac:dyDescent="0.3">
      <c r="A7883" s="27"/>
      <c r="B7883" s="28"/>
      <c r="C7883" s="24"/>
      <c r="D7883" s="89"/>
      <c r="E7883" s="25"/>
      <c r="F7883" s="25"/>
      <c r="G7883" s="25"/>
      <c r="H7883" s="32"/>
    </row>
    <row r="7884" spans="1:9" x14ac:dyDescent="0.3">
      <c r="A7884" s="27"/>
      <c r="B7884" s="28"/>
      <c r="C7884" s="24"/>
      <c r="D7884" s="89"/>
      <c r="E7884" s="25"/>
      <c r="F7884" s="25"/>
      <c r="G7884" s="25"/>
      <c r="H7884" s="32"/>
    </row>
    <row r="7885" spans="1:9" x14ac:dyDescent="0.3">
      <c r="A7885" s="27"/>
      <c r="B7885" s="28"/>
      <c r="C7885" s="24"/>
      <c r="D7885" s="89"/>
      <c r="E7885" s="25"/>
      <c r="F7885" s="25"/>
      <c r="G7885" s="25"/>
      <c r="H7885" s="32"/>
    </row>
    <row r="7886" spans="1:9" x14ac:dyDescent="0.3">
      <c r="A7886" s="27"/>
      <c r="B7886" s="28"/>
      <c r="C7886" s="24"/>
      <c r="D7886" s="89"/>
      <c r="E7886" s="25"/>
      <c r="F7886" s="25"/>
      <c r="G7886" s="25"/>
      <c r="H7886" s="32"/>
    </row>
    <row r="7887" spans="1:9" x14ac:dyDescent="0.3">
      <c r="A7887" s="27"/>
      <c r="B7887" s="28"/>
      <c r="C7887" s="24"/>
      <c r="D7887" s="89"/>
      <c r="E7887" s="25"/>
      <c r="F7887" s="25"/>
      <c r="G7887" s="25"/>
      <c r="H7887" s="32"/>
    </row>
    <row r="7888" spans="1:9" x14ac:dyDescent="0.3">
      <c r="A7888" s="27"/>
      <c r="B7888" s="28"/>
      <c r="C7888" s="24"/>
      <c r="D7888" s="89"/>
      <c r="E7888" s="25"/>
      <c r="F7888" s="25"/>
      <c r="G7888" s="25"/>
      <c r="H7888" s="32"/>
    </row>
    <row r="7889" spans="1:8" x14ac:dyDescent="0.3">
      <c r="A7889" s="159"/>
      <c r="B7889" s="28"/>
      <c r="C7889" s="24"/>
      <c r="D7889" s="25"/>
      <c r="E7889" s="25"/>
      <c r="F7889" s="28"/>
      <c r="G7889" s="28"/>
      <c r="H7889" s="32"/>
    </row>
    <row r="7890" spans="1:8" x14ac:dyDescent="0.3">
      <c r="A7890" s="159"/>
      <c r="B7890" s="28"/>
      <c r="C7890" s="24"/>
      <c r="D7890" s="25"/>
      <c r="E7890" s="25"/>
      <c r="F7890" s="28"/>
      <c r="G7890" s="28"/>
      <c r="H7890" s="32"/>
    </row>
    <row r="7891" spans="1:8" x14ac:dyDescent="0.3">
      <c r="A7891" s="159"/>
      <c r="B7891" s="28"/>
      <c r="C7891" s="24"/>
      <c r="D7891" s="25"/>
      <c r="E7891" s="25"/>
      <c r="F7891" s="28"/>
      <c r="G7891" s="28"/>
      <c r="H7891" s="32"/>
    </row>
    <row r="7892" spans="1:8" ht="15.6" x14ac:dyDescent="0.3">
      <c r="A7892" s="64" t="s">
        <v>45</v>
      </c>
      <c r="B7892" s="28"/>
      <c r="C7892" s="24"/>
      <c r="D7892" s="25"/>
      <c r="E7892" s="25"/>
      <c r="F7892" s="447" t="s">
        <v>46</v>
      </c>
      <c r="G7892" s="447"/>
      <c r="H7892" s="66">
        <v>21000</v>
      </c>
    </row>
    <row r="7893" spans="1:8" ht="15.6" x14ac:dyDescent="0.3">
      <c r="A7893" s="497" t="s">
        <v>1402</v>
      </c>
      <c r="B7893" s="498"/>
      <c r="C7893" s="498"/>
      <c r="D7893" s="498"/>
      <c r="E7893" s="498"/>
      <c r="F7893" s="447" t="s">
        <v>47</v>
      </c>
      <c r="G7893" s="447"/>
      <c r="H7893" s="66">
        <f>H7892*9%</f>
        <v>1890</v>
      </c>
    </row>
    <row r="7894" spans="1:8" ht="15.6" x14ac:dyDescent="0.3">
      <c r="A7894" s="159"/>
      <c r="B7894" s="28"/>
      <c r="C7894" s="24"/>
      <c r="D7894" s="25"/>
      <c r="E7894" s="25"/>
      <c r="F7894" s="447" t="s">
        <v>48</v>
      </c>
      <c r="G7894" s="447"/>
      <c r="H7894" s="66">
        <f>H7892*9%</f>
        <v>1890</v>
      </c>
    </row>
    <row r="7895" spans="1:8" ht="15.6" x14ac:dyDescent="0.3">
      <c r="A7895" s="64" t="s">
        <v>49</v>
      </c>
      <c r="B7895" s="28"/>
      <c r="C7895" s="24"/>
      <c r="D7895" s="25"/>
      <c r="E7895" s="25"/>
      <c r="F7895" s="447" t="s">
        <v>50</v>
      </c>
      <c r="G7895" s="447"/>
      <c r="H7895" s="66">
        <f>H7892+H7893+H7894</f>
        <v>24780</v>
      </c>
    </row>
    <row r="7896" spans="1:8" ht="26.4" x14ac:dyDescent="0.3">
      <c r="A7896" s="160" t="s">
        <v>22</v>
      </c>
      <c r="B7896" s="71" t="s">
        <v>51</v>
      </c>
      <c r="C7896" s="161" t="s">
        <v>24</v>
      </c>
      <c r="D7896" s="161" t="s">
        <v>25</v>
      </c>
      <c r="E7896" s="528" t="s">
        <v>52</v>
      </c>
      <c r="F7896" s="528"/>
      <c r="G7896" s="162"/>
      <c r="H7896" s="154"/>
    </row>
    <row r="7897" spans="1:8" x14ac:dyDescent="0.3">
      <c r="A7897" s="72">
        <v>0.18</v>
      </c>
      <c r="B7897" s="73">
        <f>H7892</f>
        <v>21000</v>
      </c>
      <c r="C7897" s="74">
        <f>H7893</f>
        <v>1890</v>
      </c>
      <c r="D7897" s="74">
        <f>H7893</f>
        <v>1890</v>
      </c>
      <c r="E7897" s="507">
        <f>C7897+D7897</f>
        <v>3780</v>
      </c>
      <c r="F7897" s="507"/>
      <c r="G7897" s="74"/>
      <c r="H7897" s="75"/>
    </row>
    <row r="7898" spans="1:8" x14ac:dyDescent="0.3">
      <c r="A7898" s="508" t="s">
        <v>1403</v>
      </c>
      <c r="B7898" s="509"/>
      <c r="C7898" s="509"/>
      <c r="D7898" s="509"/>
      <c r="E7898" s="453"/>
      <c r="F7898" s="453"/>
      <c r="G7898" s="453"/>
      <c r="H7898" s="454"/>
    </row>
    <row r="7899" spans="1:8" ht="15.6" x14ac:dyDescent="0.3">
      <c r="A7899" s="455" t="s">
        <v>53</v>
      </c>
      <c r="B7899" s="456"/>
      <c r="C7899" s="456"/>
      <c r="D7899" s="457"/>
      <c r="E7899" s="458" t="s">
        <v>54</v>
      </c>
      <c r="F7899" s="459"/>
      <c r="G7899" s="459"/>
      <c r="H7899" s="460"/>
    </row>
    <row r="7900" spans="1:8" x14ac:dyDescent="0.3">
      <c r="A7900" s="461" t="s">
        <v>55</v>
      </c>
      <c r="B7900" s="462"/>
      <c r="C7900" s="462"/>
      <c r="D7900" s="463"/>
      <c r="E7900" s="39"/>
      <c r="F7900" s="25"/>
      <c r="G7900" s="28"/>
      <c r="H7900" s="32"/>
    </row>
    <row r="7901" spans="1:8" x14ac:dyDescent="0.3">
      <c r="A7901" s="461" t="s">
        <v>56</v>
      </c>
      <c r="B7901" s="462"/>
      <c r="C7901" s="462"/>
      <c r="D7901" s="463"/>
      <c r="E7901" s="39"/>
      <c r="F7901" s="25"/>
      <c r="G7901" s="28"/>
      <c r="H7901" s="32"/>
    </row>
    <row r="7902" spans="1:8" x14ac:dyDescent="0.3">
      <c r="A7902" s="461" t="s">
        <v>57</v>
      </c>
      <c r="B7902" s="462"/>
      <c r="C7902" s="462"/>
      <c r="D7902" s="463"/>
      <c r="E7902" s="25"/>
      <c r="F7902" s="25"/>
      <c r="G7902" s="28"/>
      <c r="H7902" s="32"/>
    </row>
    <row r="7903" spans="1:8" ht="15.6" x14ac:dyDescent="0.3">
      <c r="A7903" s="464" t="s">
        <v>58</v>
      </c>
      <c r="B7903" s="465"/>
      <c r="C7903" s="465"/>
      <c r="D7903" s="510"/>
      <c r="E7903" s="466" t="s">
        <v>59</v>
      </c>
      <c r="F7903" s="467"/>
      <c r="G7903" s="467"/>
      <c r="H7903" s="468"/>
    </row>
    <row r="7908" spans="1:9" ht="44.4" x14ac:dyDescent="0.7">
      <c r="A7908" s="469" t="s">
        <v>0</v>
      </c>
      <c r="B7908" s="470"/>
      <c r="C7908" s="470"/>
      <c r="D7908" s="470"/>
      <c r="E7908" s="531" t="s">
        <v>1</v>
      </c>
      <c r="F7908" s="544"/>
      <c r="G7908" s="544"/>
      <c r="H7908" s="545"/>
    </row>
    <row r="7909" spans="1:9" ht="20.399999999999999" x14ac:dyDescent="0.35">
      <c r="A7909" s="156"/>
      <c r="B7909" s="476" t="s">
        <v>2</v>
      </c>
      <c r="C7909" s="476"/>
      <c r="D7909" s="476"/>
      <c r="E7909" s="546"/>
      <c r="F7909" s="546"/>
      <c r="G7909" s="546"/>
      <c r="H7909" s="547"/>
    </row>
    <row r="7910" spans="1:9" x14ac:dyDescent="0.3">
      <c r="A7910" s="157" t="s">
        <v>3</v>
      </c>
      <c r="B7910" s="137"/>
      <c r="C7910" s="136"/>
      <c r="D7910" s="499" t="s">
        <v>4</v>
      </c>
      <c r="E7910" s="499"/>
      <c r="F7910" s="137"/>
      <c r="G7910" s="137" t="s">
        <v>134</v>
      </c>
      <c r="H7910" s="120"/>
    </row>
    <row r="7911" spans="1:9" ht="15.6" x14ac:dyDescent="0.3">
      <c r="A7911" s="158" t="s">
        <v>6</v>
      </c>
      <c r="B7911" s="5"/>
      <c r="C7911" s="481" t="s">
        <v>7</v>
      </c>
      <c r="D7911" s="481"/>
      <c r="E7911" s="482">
        <v>172</v>
      </c>
      <c r="F7911" s="482"/>
      <c r="G7911" s="7" t="s">
        <v>8</v>
      </c>
      <c r="H7911" s="9" t="s">
        <v>1413</v>
      </c>
    </row>
    <row r="7912" spans="1:9" ht="15.6" x14ac:dyDescent="0.3">
      <c r="A7912" s="551" t="s">
        <v>1404</v>
      </c>
      <c r="B7912" s="552"/>
      <c r="C7912" s="481" t="s">
        <v>10</v>
      </c>
      <c r="D7912" s="481"/>
      <c r="E7912" s="482"/>
      <c r="F7912" s="482"/>
      <c r="G7912" s="7" t="s">
        <v>8</v>
      </c>
      <c r="H7912" s="9"/>
    </row>
    <row r="7913" spans="1:9" ht="15" x14ac:dyDescent="0.3">
      <c r="A7913" s="517" t="s">
        <v>1405</v>
      </c>
      <c r="B7913" s="553"/>
      <c r="C7913" s="483" t="s">
        <v>12</v>
      </c>
      <c r="D7913" s="484"/>
      <c r="E7913" s="584"/>
      <c r="F7913" s="585"/>
      <c r="G7913" s="10" t="s">
        <v>8</v>
      </c>
      <c r="H7913" s="82"/>
    </row>
    <row r="7914" spans="1:9" ht="15.6" x14ac:dyDescent="0.3">
      <c r="A7914" s="556" t="s">
        <v>153</v>
      </c>
      <c r="B7914" s="557"/>
      <c r="C7914" s="481" t="s">
        <v>15</v>
      </c>
      <c r="D7914" s="481"/>
      <c r="E7914" s="502" t="s">
        <v>1406</v>
      </c>
      <c r="F7914" s="503"/>
      <c r="G7914" s="503"/>
      <c r="H7914" s="504"/>
    </row>
    <row r="7915" spans="1:9" ht="15.6" x14ac:dyDescent="0.3">
      <c r="A7915" s="558" t="s">
        <v>1410</v>
      </c>
      <c r="B7915" s="559"/>
      <c r="C7915" s="489"/>
      <c r="D7915" s="490"/>
      <c r="E7915" s="490"/>
      <c r="F7915" s="490"/>
      <c r="G7915" s="490"/>
      <c r="H7915" s="491"/>
    </row>
    <row r="7916" spans="1:9" ht="15" x14ac:dyDescent="0.3">
      <c r="A7916" s="492" t="s">
        <v>17</v>
      </c>
      <c r="B7916" s="494" t="s">
        <v>18</v>
      </c>
      <c r="C7916" s="494" t="s">
        <v>19</v>
      </c>
      <c r="D7916" s="494" t="s">
        <v>20</v>
      </c>
      <c r="E7916" s="494" t="s">
        <v>21</v>
      </c>
      <c r="F7916" s="494" t="s">
        <v>22</v>
      </c>
      <c r="G7916" s="494"/>
      <c r="H7916" s="493" t="s">
        <v>23</v>
      </c>
    </row>
    <row r="7917" spans="1:9" ht="27.6" x14ac:dyDescent="0.3">
      <c r="A7917" s="492"/>
      <c r="B7917" s="494"/>
      <c r="C7917" s="494"/>
      <c r="D7917" s="494"/>
      <c r="E7917" s="494"/>
      <c r="F7917" s="53" t="s">
        <v>24</v>
      </c>
      <c r="G7917" s="53" t="s">
        <v>25</v>
      </c>
      <c r="H7917" s="527"/>
    </row>
    <row r="7918" spans="1:9" x14ac:dyDescent="0.3">
      <c r="A7918" s="55">
        <v>1</v>
      </c>
      <c r="B7918" s="130" t="s">
        <v>1407</v>
      </c>
      <c r="C7918" s="55">
        <v>1</v>
      </c>
      <c r="D7918" s="163">
        <v>854690</v>
      </c>
      <c r="E7918" s="55">
        <v>2850</v>
      </c>
      <c r="F7918" s="93">
        <f>E7918*C7918*9%</f>
        <v>256.5</v>
      </c>
      <c r="G7918" s="93">
        <f>F7918</f>
        <v>256.5</v>
      </c>
      <c r="H7918" s="62">
        <f>G7918+F7918+E7918*C7918</f>
        <v>3363</v>
      </c>
      <c r="I7918" s="362">
        <f>E7918*C7918</f>
        <v>2850</v>
      </c>
    </row>
    <row r="7919" spans="1:9" x14ac:dyDescent="0.3">
      <c r="A7919" s="57">
        <v>2</v>
      </c>
      <c r="B7919" s="130" t="s">
        <v>1408</v>
      </c>
      <c r="C7919" s="57">
        <v>1</v>
      </c>
      <c r="D7919" s="86">
        <v>998719</v>
      </c>
      <c r="E7919" s="57">
        <v>1500</v>
      </c>
      <c r="F7919" s="93">
        <f t="shared" ref="F7919:F7920" si="199">E7919*C7919*9%</f>
        <v>135</v>
      </c>
      <c r="G7919" s="93">
        <f t="shared" ref="G7919:G7920" si="200">F7919</f>
        <v>135</v>
      </c>
      <c r="H7919" s="62">
        <f t="shared" ref="H7919:H7920" si="201">G7919+F7919+E7919*C7919</f>
        <v>1770</v>
      </c>
      <c r="I7919" s="362">
        <f t="shared" ref="I7919:I7920" si="202">E7919*C7919</f>
        <v>1500</v>
      </c>
    </row>
    <row r="7920" spans="1:9" x14ac:dyDescent="0.3">
      <c r="A7920" s="57">
        <v>3</v>
      </c>
      <c r="B7920" s="130" t="s">
        <v>1409</v>
      </c>
      <c r="C7920" s="57">
        <v>2</v>
      </c>
      <c r="D7920" s="86">
        <v>998719</v>
      </c>
      <c r="E7920" s="57">
        <v>2500</v>
      </c>
      <c r="F7920" s="93">
        <f t="shared" si="199"/>
        <v>450</v>
      </c>
      <c r="G7920" s="93">
        <f t="shared" si="200"/>
        <v>450</v>
      </c>
      <c r="H7920" s="62">
        <f t="shared" si="201"/>
        <v>5900</v>
      </c>
      <c r="I7920" s="362">
        <f t="shared" si="202"/>
        <v>5000</v>
      </c>
    </row>
    <row r="7921" spans="1:8" x14ac:dyDescent="0.3">
      <c r="A7921" s="57"/>
      <c r="B7921" s="60"/>
      <c r="C7921" s="57"/>
      <c r="D7921" s="83"/>
      <c r="E7921" s="57"/>
      <c r="F7921" s="58"/>
      <c r="G7921" s="58"/>
      <c r="H7921" s="59"/>
    </row>
    <row r="7922" spans="1:8" x14ac:dyDescent="0.3">
      <c r="A7922" s="27"/>
      <c r="B7922" s="88"/>
      <c r="C7922" s="24"/>
      <c r="D7922" s="89"/>
      <c r="E7922" s="24"/>
      <c r="F7922" s="133"/>
      <c r="G7922" s="133"/>
      <c r="H7922" s="134"/>
    </row>
    <row r="7923" spans="1:8" x14ac:dyDescent="0.3">
      <c r="A7923" s="27"/>
      <c r="B7923" s="88"/>
      <c r="C7923" s="24"/>
      <c r="D7923" s="89"/>
      <c r="E7923" s="24"/>
      <c r="F7923" s="133"/>
      <c r="G7923" s="133"/>
      <c r="H7923" s="134"/>
    </row>
    <row r="7924" spans="1:8" x14ac:dyDescent="0.3">
      <c r="A7924" s="27"/>
      <c r="B7924" s="88"/>
      <c r="C7924" s="24"/>
      <c r="D7924" s="89"/>
      <c r="E7924" s="24"/>
      <c r="F7924" s="133"/>
      <c r="G7924" s="133"/>
      <c r="H7924" s="134"/>
    </row>
    <row r="7925" spans="1:8" x14ac:dyDescent="0.3">
      <c r="A7925" s="27"/>
      <c r="B7925" s="88"/>
      <c r="C7925" s="24"/>
      <c r="D7925" s="89"/>
      <c r="E7925" s="24"/>
      <c r="F7925" s="133"/>
      <c r="G7925" s="133"/>
      <c r="H7925" s="134"/>
    </row>
    <row r="7926" spans="1:8" x14ac:dyDescent="0.3">
      <c r="A7926" s="27"/>
      <c r="B7926" s="88"/>
      <c r="C7926" s="24"/>
      <c r="D7926" s="89"/>
      <c r="E7926" s="24"/>
      <c r="F7926" s="133"/>
      <c r="G7926" s="133"/>
      <c r="H7926" s="134"/>
    </row>
    <row r="7927" spans="1:8" x14ac:dyDescent="0.3">
      <c r="A7927" s="27"/>
      <c r="B7927" s="88"/>
      <c r="C7927" s="24"/>
      <c r="D7927" s="89"/>
      <c r="E7927" s="24"/>
      <c r="F7927" s="133"/>
      <c r="G7927" s="133"/>
      <c r="H7927" s="134"/>
    </row>
    <row r="7928" spans="1:8" x14ac:dyDescent="0.3">
      <c r="A7928" s="27"/>
      <c r="B7928" s="28"/>
      <c r="C7928" s="24"/>
      <c r="D7928" s="89"/>
      <c r="E7928" s="25"/>
      <c r="F7928" s="25"/>
      <c r="G7928" s="25"/>
      <c r="H7928" s="32"/>
    </row>
    <row r="7929" spans="1:8" x14ac:dyDescent="0.3">
      <c r="A7929" s="27"/>
      <c r="B7929" s="28"/>
      <c r="C7929" s="24"/>
      <c r="D7929" s="89"/>
      <c r="E7929" s="25"/>
      <c r="F7929" s="25"/>
      <c r="G7929" s="25"/>
      <c r="H7929" s="32"/>
    </row>
    <row r="7930" spans="1:8" x14ac:dyDescent="0.3">
      <c r="A7930" s="27"/>
      <c r="B7930" s="28"/>
      <c r="C7930" s="24"/>
      <c r="D7930" s="89"/>
      <c r="E7930" s="25"/>
      <c r="F7930" s="25"/>
      <c r="G7930" s="25"/>
      <c r="H7930" s="32"/>
    </row>
    <row r="7931" spans="1:8" x14ac:dyDescent="0.3">
      <c r="A7931" s="27"/>
      <c r="B7931" s="28"/>
      <c r="C7931" s="24"/>
      <c r="D7931" s="89"/>
      <c r="E7931" s="25"/>
      <c r="F7931" s="25"/>
      <c r="G7931" s="25"/>
      <c r="H7931" s="32"/>
    </row>
    <row r="7932" spans="1:8" x14ac:dyDescent="0.3">
      <c r="A7932" s="27"/>
      <c r="B7932" s="28"/>
      <c r="C7932" s="24"/>
      <c r="D7932" s="89"/>
      <c r="E7932" s="25"/>
      <c r="F7932" s="25"/>
      <c r="G7932" s="25"/>
      <c r="H7932" s="32"/>
    </row>
    <row r="7933" spans="1:8" x14ac:dyDescent="0.3">
      <c r="A7933" s="27"/>
      <c r="B7933" s="28"/>
      <c r="C7933" s="24"/>
      <c r="D7933" s="89"/>
      <c r="E7933" s="25"/>
      <c r="F7933" s="25"/>
      <c r="G7933" s="25"/>
      <c r="H7933" s="32"/>
    </row>
    <row r="7934" spans="1:8" x14ac:dyDescent="0.3">
      <c r="A7934" s="27"/>
      <c r="B7934" s="28"/>
      <c r="C7934" s="24"/>
      <c r="D7934" s="89"/>
      <c r="E7934" s="25"/>
      <c r="F7934" s="25"/>
      <c r="G7934" s="25"/>
      <c r="H7934" s="32"/>
    </row>
    <row r="7935" spans="1:8" x14ac:dyDescent="0.3">
      <c r="A7935" s="27"/>
      <c r="B7935" s="28"/>
      <c r="C7935" s="24"/>
      <c r="D7935" s="89"/>
      <c r="E7935" s="25"/>
      <c r="F7935" s="25"/>
      <c r="G7935" s="25"/>
      <c r="H7935" s="32"/>
    </row>
    <row r="7936" spans="1:8" x14ac:dyDescent="0.3">
      <c r="A7936" s="159"/>
      <c r="B7936" s="28"/>
      <c r="C7936" s="24"/>
      <c r="D7936" s="25"/>
      <c r="E7936" s="25"/>
      <c r="F7936" s="28"/>
      <c r="G7936" s="28"/>
      <c r="H7936" s="32"/>
    </row>
    <row r="7937" spans="1:8" x14ac:dyDescent="0.3">
      <c r="A7937" s="159"/>
      <c r="B7937" s="28"/>
      <c r="C7937" s="24"/>
      <c r="D7937" s="25"/>
      <c r="E7937" s="25"/>
      <c r="F7937" s="28"/>
      <c r="G7937" s="28"/>
      <c r="H7937" s="32"/>
    </row>
    <row r="7938" spans="1:8" x14ac:dyDescent="0.3">
      <c r="A7938" s="159"/>
      <c r="B7938" s="28"/>
      <c r="C7938" s="24"/>
      <c r="D7938" s="25"/>
      <c r="E7938" s="25"/>
      <c r="F7938" s="28"/>
      <c r="G7938" s="28"/>
      <c r="H7938" s="32"/>
    </row>
    <row r="7939" spans="1:8" ht="15.6" x14ac:dyDescent="0.3">
      <c r="A7939" s="64" t="s">
        <v>45</v>
      </c>
      <c r="B7939" s="28"/>
      <c r="C7939" s="24"/>
      <c r="D7939" s="25"/>
      <c r="E7939" s="25"/>
      <c r="F7939" s="447" t="s">
        <v>46</v>
      </c>
      <c r="G7939" s="447"/>
      <c r="H7939" s="66">
        <v>9350</v>
      </c>
    </row>
    <row r="7940" spans="1:8" ht="15.6" x14ac:dyDescent="0.3">
      <c r="A7940" s="497" t="s">
        <v>1411</v>
      </c>
      <c r="B7940" s="498"/>
      <c r="C7940" s="498"/>
      <c r="D7940" s="498"/>
      <c r="E7940" s="498"/>
      <c r="F7940" s="447" t="s">
        <v>47</v>
      </c>
      <c r="G7940" s="447"/>
      <c r="H7940" s="66">
        <f>H7939*9%</f>
        <v>841.5</v>
      </c>
    </row>
    <row r="7941" spans="1:8" ht="15.6" x14ac:dyDescent="0.3">
      <c r="A7941" s="159"/>
      <c r="B7941" s="28"/>
      <c r="C7941" s="24"/>
      <c r="D7941" s="25"/>
      <c r="E7941" s="25"/>
      <c r="F7941" s="447" t="s">
        <v>48</v>
      </c>
      <c r="G7941" s="447"/>
      <c r="H7941" s="66">
        <f>H7939*9%</f>
        <v>841.5</v>
      </c>
    </row>
    <row r="7942" spans="1:8" ht="15.6" x14ac:dyDescent="0.3">
      <c r="A7942" s="64" t="s">
        <v>49</v>
      </c>
      <c r="B7942" s="28"/>
      <c r="C7942" s="24"/>
      <c r="D7942" s="25"/>
      <c r="E7942" s="25"/>
      <c r="F7942" s="447" t="s">
        <v>50</v>
      </c>
      <c r="G7942" s="447"/>
      <c r="H7942" s="66">
        <f>H7939+H7940+H7941</f>
        <v>11033</v>
      </c>
    </row>
    <row r="7943" spans="1:8" ht="26.4" x14ac:dyDescent="0.3">
      <c r="A7943" s="160" t="s">
        <v>22</v>
      </c>
      <c r="B7943" s="71" t="s">
        <v>51</v>
      </c>
      <c r="C7943" s="161" t="s">
        <v>24</v>
      </c>
      <c r="D7943" s="161" t="s">
        <v>25</v>
      </c>
      <c r="E7943" s="528" t="s">
        <v>52</v>
      </c>
      <c r="F7943" s="528"/>
      <c r="G7943" s="162"/>
      <c r="H7943" s="154"/>
    </row>
    <row r="7944" spans="1:8" x14ac:dyDescent="0.3">
      <c r="A7944" s="72">
        <v>0.18</v>
      </c>
      <c r="B7944" s="73">
        <f>H7939</f>
        <v>9350</v>
      </c>
      <c r="C7944" s="74">
        <f>H7940</f>
        <v>841.5</v>
      </c>
      <c r="D7944" s="74">
        <f>H7940</f>
        <v>841.5</v>
      </c>
      <c r="E7944" s="507">
        <f>C7944+D7944</f>
        <v>1683</v>
      </c>
      <c r="F7944" s="507"/>
      <c r="G7944" s="74"/>
      <c r="H7944" s="75"/>
    </row>
    <row r="7945" spans="1:8" x14ac:dyDescent="0.3">
      <c r="A7945" s="508" t="s">
        <v>1412</v>
      </c>
      <c r="B7945" s="509"/>
      <c r="C7945" s="509"/>
      <c r="D7945" s="509"/>
      <c r="E7945" s="453"/>
      <c r="F7945" s="453"/>
      <c r="G7945" s="453"/>
      <c r="H7945" s="454"/>
    </row>
    <row r="7946" spans="1:8" ht="15.6" x14ac:dyDescent="0.3">
      <c r="A7946" s="455" t="s">
        <v>53</v>
      </c>
      <c r="B7946" s="456"/>
      <c r="C7946" s="456"/>
      <c r="D7946" s="457"/>
      <c r="E7946" s="458" t="s">
        <v>54</v>
      </c>
      <c r="F7946" s="459"/>
      <c r="G7946" s="459"/>
      <c r="H7946" s="460"/>
    </row>
    <row r="7947" spans="1:8" x14ac:dyDescent="0.3">
      <c r="A7947" s="461" t="s">
        <v>55</v>
      </c>
      <c r="B7947" s="462"/>
      <c r="C7947" s="462"/>
      <c r="D7947" s="463"/>
      <c r="E7947" s="39"/>
      <c r="F7947" s="25"/>
      <c r="G7947" s="28"/>
      <c r="H7947" s="32"/>
    </row>
    <row r="7948" spans="1:8" x14ac:dyDescent="0.3">
      <c r="A7948" s="461" t="s">
        <v>56</v>
      </c>
      <c r="B7948" s="462"/>
      <c r="C7948" s="462"/>
      <c r="D7948" s="463"/>
      <c r="E7948" s="39"/>
      <c r="F7948" s="25"/>
      <c r="G7948" s="28"/>
      <c r="H7948" s="32"/>
    </row>
    <row r="7949" spans="1:8" x14ac:dyDescent="0.3">
      <c r="A7949" s="461" t="s">
        <v>57</v>
      </c>
      <c r="B7949" s="462"/>
      <c r="C7949" s="462"/>
      <c r="D7949" s="463"/>
      <c r="E7949" s="25"/>
      <c r="F7949" s="25"/>
      <c r="G7949" s="28"/>
      <c r="H7949" s="32"/>
    </row>
    <row r="7950" spans="1:8" ht="15.6" x14ac:dyDescent="0.3">
      <c r="A7950" s="464" t="s">
        <v>58</v>
      </c>
      <c r="B7950" s="465"/>
      <c r="C7950" s="465"/>
      <c r="D7950" s="510"/>
      <c r="E7950" s="466" t="s">
        <v>59</v>
      </c>
      <c r="F7950" s="467"/>
      <c r="G7950" s="467"/>
      <c r="H7950" s="468"/>
    </row>
    <row r="7954" spans="1:8" ht="44.4" x14ac:dyDescent="0.7">
      <c r="A7954" s="469" t="s">
        <v>0</v>
      </c>
      <c r="B7954" s="470"/>
      <c r="C7954" s="470"/>
      <c r="D7954" s="470"/>
      <c r="E7954" s="531" t="s">
        <v>1</v>
      </c>
      <c r="F7954" s="544"/>
      <c r="G7954" s="544"/>
      <c r="H7954" s="545"/>
    </row>
    <row r="7955" spans="1:8" ht="20.399999999999999" x14ac:dyDescent="0.35">
      <c r="A7955" s="1"/>
      <c r="B7955" s="649" t="s">
        <v>2</v>
      </c>
      <c r="C7955" s="649"/>
      <c r="D7955" s="649"/>
      <c r="E7955" s="546"/>
      <c r="F7955" s="546"/>
      <c r="G7955" s="546"/>
      <c r="H7955" s="547"/>
    </row>
    <row r="7956" spans="1:8" x14ac:dyDescent="0.3">
      <c r="A7956" s="477" t="s">
        <v>3</v>
      </c>
      <c r="B7956" s="478"/>
      <c r="C7956" s="479" t="s">
        <v>4</v>
      </c>
      <c r="D7956" s="479"/>
      <c r="E7956" s="650" t="s">
        <v>5</v>
      </c>
      <c r="F7956" s="650"/>
      <c r="G7956" s="650"/>
      <c r="H7956" s="650"/>
    </row>
    <row r="7957" spans="1:8" ht="15.6" x14ac:dyDescent="0.3">
      <c r="A7957" s="138" t="s">
        <v>6</v>
      </c>
      <c r="B7957" s="5"/>
      <c r="C7957" s="481" t="s">
        <v>7</v>
      </c>
      <c r="D7957" s="481"/>
      <c r="E7957" s="482">
        <v>173</v>
      </c>
      <c r="F7957" s="482"/>
      <c r="G7957" s="44" t="s">
        <v>8</v>
      </c>
      <c r="H7957" s="381" t="s">
        <v>1417</v>
      </c>
    </row>
    <row r="7958" spans="1:8" ht="15.6" x14ac:dyDescent="0.3">
      <c r="A7958" s="108" t="s">
        <v>576</v>
      </c>
      <c r="B7958" s="284"/>
      <c r="C7958" s="481" t="s">
        <v>10</v>
      </c>
      <c r="D7958" s="481"/>
      <c r="E7958" s="482"/>
      <c r="F7958" s="482"/>
      <c r="G7958" s="44" t="s">
        <v>8</v>
      </c>
      <c r="H7958" s="6"/>
    </row>
    <row r="7959" spans="1:8" ht="15" x14ac:dyDescent="0.3">
      <c r="A7959" s="517" t="s">
        <v>577</v>
      </c>
      <c r="B7959" s="553"/>
      <c r="C7959" s="519" t="s">
        <v>12</v>
      </c>
      <c r="D7959" s="519"/>
      <c r="E7959" s="727"/>
      <c r="F7959" s="728"/>
      <c r="G7959" s="48" t="s">
        <v>8</v>
      </c>
      <c r="H7959" s="11"/>
    </row>
    <row r="7960" spans="1:8" ht="15.6" x14ac:dyDescent="0.3">
      <c r="A7960" s="595" t="s">
        <v>578</v>
      </c>
      <c r="B7960" s="553"/>
      <c r="C7960" s="481" t="s">
        <v>15</v>
      </c>
      <c r="D7960" s="481"/>
      <c r="E7960" s="631" t="s">
        <v>579</v>
      </c>
      <c r="F7960" s="632"/>
      <c r="G7960" s="633"/>
      <c r="H7960" s="49"/>
    </row>
    <row r="7961" spans="1:8" ht="15.6" x14ac:dyDescent="0.3">
      <c r="A7961" s="678" t="s">
        <v>966</v>
      </c>
      <c r="B7961" s="679"/>
      <c r="C7961" s="24"/>
      <c r="D7961" s="25"/>
      <c r="E7961" s="50"/>
      <c r="F7961" s="50"/>
      <c r="G7961" s="51"/>
      <c r="H7961" s="52"/>
    </row>
    <row r="7962" spans="1:8" ht="15" x14ac:dyDescent="0.3">
      <c r="A7962" s="492" t="s">
        <v>17</v>
      </c>
      <c r="B7962" s="494" t="s">
        <v>18</v>
      </c>
      <c r="C7962" s="494" t="s">
        <v>19</v>
      </c>
      <c r="D7962" s="494" t="s">
        <v>20</v>
      </c>
      <c r="E7962" s="494" t="s">
        <v>21</v>
      </c>
      <c r="F7962" s="494" t="s">
        <v>22</v>
      </c>
      <c r="G7962" s="494"/>
      <c r="H7962" s="492" t="s">
        <v>23</v>
      </c>
    </row>
    <row r="7963" spans="1:8" ht="27.6" x14ac:dyDescent="0.3">
      <c r="A7963" s="492"/>
      <c r="B7963" s="494"/>
      <c r="C7963" s="494"/>
      <c r="D7963" s="494"/>
      <c r="E7963" s="494"/>
      <c r="F7963" s="53" t="s">
        <v>24</v>
      </c>
      <c r="G7963" s="53" t="s">
        <v>25</v>
      </c>
      <c r="H7963" s="492"/>
    </row>
    <row r="7964" spans="1:8" ht="28.8" x14ac:dyDescent="0.3">
      <c r="A7964" s="57">
        <v>1</v>
      </c>
      <c r="B7964" s="113" t="s">
        <v>1418</v>
      </c>
      <c r="C7964" s="57">
        <v>1</v>
      </c>
      <c r="D7964" s="56">
        <v>998719</v>
      </c>
      <c r="E7964" s="57">
        <v>10000</v>
      </c>
      <c r="F7964" s="58">
        <f>C7964*E7964*9%</f>
        <v>900</v>
      </c>
      <c r="G7964" s="58">
        <f>C7964*E7964*9%</f>
        <v>900</v>
      </c>
      <c r="H7964" s="59">
        <f>C7964*E7964+F7964+G7964</f>
        <v>11800</v>
      </c>
    </row>
    <row r="7965" spans="1:8" x14ac:dyDescent="0.3">
      <c r="A7965" s="55"/>
      <c r="B7965" s="113"/>
      <c r="C7965" s="55"/>
      <c r="D7965" s="56"/>
      <c r="E7965" s="55"/>
      <c r="F7965" s="93"/>
      <c r="G7965" s="93"/>
      <c r="H7965" s="62"/>
    </row>
    <row r="7966" spans="1:8" x14ac:dyDescent="0.3">
      <c r="A7966" s="55"/>
      <c r="B7966" s="113"/>
      <c r="C7966" s="55"/>
      <c r="D7966" s="56"/>
      <c r="E7966" s="55"/>
      <c r="F7966" s="93"/>
      <c r="G7966" s="93"/>
      <c r="H7966" s="62"/>
    </row>
    <row r="7967" spans="1:8" x14ac:dyDescent="0.3">
      <c r="A7967" s="55"/>
      <c r="B7967" s="285"/>
      <c r="C7967" s="55"/>
      <c r="D7967" s="61"/>
      <c r="E7967" s="55"/>
      <c r="F7967" s="286"/>
      <c r="G7967" s="286"/>
      <c r="H7967" s="55"/>
    </row>
    <row r="7968" spans="1:8" x14ac:dyDescent="0.3">
      <c r="A7968" s="55"/>
      <c r="B7968" s="285"/>
      <c r="C7968" s="55"/>
      <c r="D7968" s="61"/>
      <c r="E7968" s="55"/>
      <c r="F7968" s="286"/>
      <c r="G7968" s="286"/>
      <c r="H7968" s="55"/>
    </row>
    <row r="7969" spans="1:8" x14ac:dyDescent="0.3">
      <c r="A7969" s="55"/>
      <c r="B7969" s="60"/>
      <c r="C7969" s="55"/>
      <c r="D7969" s="61"/>
      <c r="E7969" s="57"/>
      <c r="F7969" s="115"/>
      <c r="G7969" s="115"/>
      <c r="H7969" s="57"/>
    </row>
    <row r="7970" spans="1:8" x14ac:dyDescent="0.3">
      <c r="A7970" s="55"/>
      <c r="B7970" s="60"/>
      <c r="C7970" s="55"/>
      <c r="D7970" s="56"/>
      <c r="E7970" s="57"/>
      <c r="F7970" s="115"/>
      <c r="G7970" s="115"/>
      <c r="H7970" s="57"/>
    </row>
    <row r="7971" spans="1:8" x14ac:dyDescent="0.3">
      <c r="A7971" s="55"/>
      <c r="B7971" s="60"/>
      <c r="C7971" s="55"/>
      <c r="D7971" s="56"/>
      <c r="E7971" s="57"/>
      <c r="F7971" s="115"/>
      <c r="G7971" s="115"/>
      <c r="H7971" s="57"/>
    </row>
    <row r="7972" spans="1:8" x14ac:dyDescent="0.3">
      <c r="A7972" s="55"/>
      <c r="B7972" s="94"/>
      <c r="C7972" s="55"/>
      <c r="D7972" s="47"/>
      <c r="E7972" s="47"/>
      <c r="F7972" s="115"/>
      <c r="G7972" s="115"/>
      <c r="H7972" s="47"/>
    </row>
    <row r="7973" spans="1:8" x14ac:dyDescent="0.3">
      <c r="A7973" s="27"/>
      <c r="B7973" s="28"/>
      <c r="C7973" s="24"/>
      <c r="D7973" s="25"/>
      <c r="E7973" s="25"/>
      <c r="F7973" s="282"/>
      <c r="G7973" s="282"/>
      <c r="H7973" s="32"/>
    </row>
    <row r="7974" spans="1:8" x14ac:dyDescent="0.3">
      <c r="A7974" s="27"/>
      <c r="B7974" s="28"/>
      <c r="C7974" s="24"/>
      <c r="D7974" s="25"/>
      <c r="E7974" s="25"/>
      <c r="F7974" s="282"/>
      <c r="G7974" s="282"/>
      <c r="H7974" s="32"/>
    </row>
    <row r="7975" spans="1:8" x14ac:dyDescent="0.3">
      <c r="A7975" s="27"/>
      <c r="B7975" s="28"/>
      <c r="C7975" s="24"/>
      <c r="D7975" s="25"/>
      <c r="E7975" s="25"/>
      <c r="F7975" s="282"/>
      <c r="G7975" s="282"/>
      <c r="H7975" s="32"/>
    </row>
    <row r="7976" spans="1:8" x14ac:dyDescent="0.3">
      <c r="A7976" s="27"/>
      <c r="B7976" s="28"/>
      <c r="C7976" s="24"/>
      <c r="D7976" s="25"/>
      <c r="E7976" s="25"/>
      <c r="F7976" s="282"/>
      <c r="G7976" s="282"/>
      <c r="H7976" s="32"/>
    </row>
    <row r="7977" spans="1:8" x14ac:dyDescent="0.3">
      <c r="A7977" s="27"/>
      <c r="B7977" s="28"/>
      <c r="C7977" s="24"/>
      <c r="D7977" s="25"/>
      <c r="E7977" s="25"/>
      <c r="F7977" s="282"/>
      <c r="G7977" s="282"/>
      <c r="H7977" s="32"/>
    </row>
    <row r="7978" spans="1:8" x14ac:dyDescent="0.3">
      <c r="A7978" s="27"/>
      <c r="B7978" s="28"/>
      <c r="C7978" s="24"/>
      <c r="D7978" s="25"/>
      <c r="E7978" s="25"/>
      <c r="F7978" s="282"/>
      <c r="G7978" s="282"/>
      <c r="H7978" s="32"/>
    </row>
    <row r="7979" spans="1:8" x14ac:dyDescent="0.3">
      <c r="A7979" s="27"/>
      <c r="B7979" s="28"/>
      <c r="C7979" s="24"/>
      <c r="D7979" s="25"/>
      <c r="E7979" s="25"/>
      <c r="F7979" s="25"/>
      <c r="G7979" s="28"/>
      <c r="H7979" s="32"/>
    </row>
    <row r="7980" spans="1:8" x14ac:dyDescent="0.3">
      <c r="A7980" s="27"/>
      <c r="B7980" s="28"/>
      <c r="C7980" s="24"/>
      <c r="D7980" s="25"/>
      <c r="E7980" s="25"/>
      <c r="F7980" s="25"/>
      <c r="G7980" s="28"/>
      <c r="H7980" s="32"/>
    </row>
    <row r="7981" spans="1:8" x14ac:dyDescent="0.3">
      <c r="A7981" s="27"/>
      <c r="B7981" s="28"/>
      <c r="C7981" s="24"/>
      <c r="D7981" s="25"/>
      <c r="E7981" s="25"/>
      <c r="F7981" s="25"/>
      <c r="G7981" s="28"/>
      <c r="H7981" s="32"/>
    </row>
    <row r="7982" spans="1:8" x14ac:dyDescent="0.3">
      <c r="A7982" s="27"/>
      <c r="B7982" s="28"/>
      <c r="C7982" s="24"/>
      <c r="D7982" s="25"/>
      <c r="E7982" s="25"/>
      <c r="F7982" s="25"/>
      <c r="G7982" s="28"/>
      <c r="H7982" s="32"/>
    </row>
    <row r="7983" spans="1:8" x14ac:dyDescent="0.3">
      <c r="A7983" s="27"/>
      <c r="B7983" s="28"/>
      <c r="C7983" s="24"/>
      <c r="D7983" s="25"/>
      <c r="E7983" s="25"/>
      <c r="F7983" s="25"/>
      <c r="G7983" s="28"/>
      <c r="H7983" s="32"/>
    </row>
    <row r="7984" spans="1:8" x14ac:dyDescent="0.3">
      <c r="A7984" s="27"/>
      <c r="B7984" s="28"/>
      <c r="C7984" s="24"/>
      <c r="D7984" s="25"/>
      <c r="E7984" s="25"/>
      <c r="F7984" s="25"/>
      <c r="G7984" s="28"/>
      <c r="H7984" s="32"/>
    </row>
    <row r="7985" spans="1:8" x14ac:dyDescent="0.3">
      <c r="A7985" s="27"/>
      <c r="B7985" s="28"/>
      <c r="C7985" s="24"/>
      <c r="D7985" s="25"/>
      <c r="E7985" s="25"/>
      <c r="F7985" s="25"/>
      <c r="G7985" s="28"/>
      <c r="H7985" s="32"/>
    </row>
    <row r="7986" spans="1:8" ht="15.6" x14ac:dyDescent="0.3">
      <c r="A7986" s="497" t="s">
        <v>97</v>
      </c>
      <c r="B7986" s="498"/>
      <c r="C7986" s="24"/>
      <c r="D7986" s="25"/>
      <c r="E7986" s="25"/>
      <c r="F7986" s="116" t="s">
        <v>46</v>
      </c>
      <c r="G7986" s="26"/>
      <c r="H7986" s="66">
        <v>10000</v>
      </c>
    </row>
    <row r="7987" spans="1:8" ht="15.6" x14ac:dyDescent="0.3">
      <c r="A7987" s="497" t="s">
        <v>1419</v>
      </c>
      <c r="B7987" s="498"/>
      <c r="C7987" s="498"/>
      <c r="D7987" s="498"/>
      <c r="E7987" s="67"/>
      <c r="F7987" s="116" t="s">
        <v>47</v>
      </c>
      <c r="G7987" s="26"/>
      <c r="H7987" s="66">
        <f>H7986*9%</f>
        <v>900</v>
      </c>
    </row>
    <row r="7988" spans="1:8" ht="15.6" x14ac:dyDescent="0.3">
      <c r="A7988" s="27"/>
      <c r="B7988" s="28"/>
      <c r="C7988" s="24"/>
      <c r="D7988" s="25"/>
      <c r="E7988" s="25"/>
      <c r="F7988" s="116" t="s">
        <v>48</v>
      </c>
      <c r="G7988" s="26"/>
      <c r="H7988" s="66">
        <f>H7986*9%</f>
        <v>900</v>
      </c>
    </row>
    <row r="7989" spans="1:8" ht="15.6" x14ac:dyDescent="0.3">
      <c r="A7989" s="497" t="s">
        <v>49</v>
      </c>
      <c r="B7989" s="498"/>
      <c r="C7989" s="498"/>
      <c r="D7989" s="25"/>
      <c r="E7989" s="25"/>
      <c r="F7989" s="116" t="s">
        <v>50</v>
      </c>
      <c r="G7989" s="26"/>
      <c r="H7989" s="66">
        <f>H7986+H7988+H7987</f>
        <v>11800</v>
      </c>
    </row>
    <row r="7990" spans="1:8" ht="27" x14ac:dyDescent="0.3">
      <c r="A7990" s="68" t="s">
        <v>22</v>
      </c>
      <c r="B7990" s="69" t="s">
        <v>51</v>
      </c>
      <c r="C7990" s="70" t="s">
        <v>24</v>
      </c>
      <c r="D7990" s="31" t="s">
        <v>25</v>
      </c>
      <c r="E7990" s="528" t="s">
        <v>52</v>
      </c>
      <c r="F7990" s="528"/>
      <c r="G7990" s="28"/>
      <c r="H7990" s="32"/>
    </row>
    <row r="7991" spans="1:8" x14ac:dyDescent="0.3">
      <c r="A7991" s="72">
        <v>0.18</v>
      </c>
      <c r="B7991" s="73">
        <f>H7986</f>
        <v>10000</v>
      </c>
      <c r="C7991" s="74">
        <f>H7987</f>
        <v>900</v>
      </c>
      <c r="D7991" s="74">
        <f>H7988</f>
        <v>900</v>
      </c>
      <c r="E7991" s="507">
        <f>C7991+D7991</f>
        <v>1800</v>
      </c>
      <c r="F7991" s="507"/>
      <c r="G7991" s="74"/>
      <c r="H7991" s="75"/>
    </row>
    <row r="7992" spans="1:8" x14ac:dyDescent="0.3">
      <c r="A7992" s="452" t="s">
        <v>1420</v>
      </c>
      <c r="B7992" s="453"/>
      <c r="C7992" s="453"/>
      <c r="D7992" s="453"/>
      <c r="E7992" s="453"/>
      <c r="F7992" s="78"/>
      <c r="G7992" s="36"/>
      <c r="H7992" s="79"/>
    </row>
    <row r="7993" spans="1:8" ht="15.6" x14ac:dyDescent="0.3">
      <c r="A7993" s="455" t="s">
        <v>53</v>
      </c>
      <c r="B7993" s="456"/>
      <c r="C7993" s="456"/>
      <c r="D7993" s="457"/>
      <c r="E7993" s="458" t="s">
        <v>54</v>
      </c>
      <c r="F7993" s="459"/>
      <c r="G7993" s="459"/>
      <c r="H7993" s="460"/>
    </row>
    <row r="7994" spans="1:8" x14ac:dyDescent="0.3">
      <c r="A7994" s="461" t="s">
        <v>55</v>
      </c>
      <c r="B7994" s="462"/>
      <c r="C7994" s="462"/>
      <c r="D7994" s="463"/>
      <c r="E7994" s="25"/>
      <c r="F7994" s="25"/>
      <c r="G7994" s="28"/>
      <c r="H7994" s="32"/>
    </row>
    <row r="7995" spans="1:8" x14ac:dyDescent="0.3">
      <c r="A7995" s="461" t="s">
        <v>56</v>
      </c>
      <c r="B7995" s="462"/>
      <c r="C7995" s="462"/>
      <c r="D7995" s="463"/>
      <c r="E7995" s="25"/>
      <c r="F7995" s="25"/>
      <c r="G7995" s="28"/>
      <c r="H7995" s="32"/>
    </row>
    <row r="7996" spans="1:8" x14ac:dyDescent="0.3">
      <c r="A7996" s="461" t="s">
        <v>57</v>
      </c>
      <c r="B7996" s="462"/>
      <c r="C7996" s="462"/>
      <c r="D7996" s="463"/>
      <c r="E7996" s="25"/>
      <c r="F7996" s="25"/>
      <c r="G7996" s="28"/>
      <c r="H7996" s="32"/>
    </row>
    <row r="7997" spans="1:8" ht="15.6" x14ac:dyDescent="0.3">
      <c r="A7997" s="464" t="s">
        <v>58</v>
      </c>
      <c r="B7997" s="465"/>
      <c r="C7997" s="465"/>
      <c r="D7997" s="510"/>
      <c r="E7997" s="466" t="s">
        <v>59</v>
      </c>
      <c r="F7997" s="467"/>
      <c r="G7997" s="467"/>
      <c r="H7997" s="468"/>
    </row>
    <row r="8001" spans="1:8" ht="44.4" x14ac:dyDescent="0.7">
      <c r="A8001" s="469" t="s">
        <v>0</v>
      </c>
      <c r="B8001" s="470"/>
      <c r="C8001" s="470"/>
      <c r="D8001" s="470"/>
      <c r="E8001" s="531" t="s">
        <v>1</v>
      </c>
      <c r="F8001" s="544"/>
      <c r="G8001" s="544"/>
      <c r="H8001" s="545"/>
    </row>
    <row r="8002" spans="1:8" ht="20.399999999999999" x14ac:dyDescent="0.35">
      <c r="A8002" s="1"/>
      <c r="B8002" s="476" t="s">
        <v>2</v>
      </c>
      <c r="C8002" s="476"/>
      <c r="D8002" s="476"/>
      <c r="E8002" s="546"/>
      <c r="F8002" s="546"/>
      <c r="G8002" s="546"/>
      <c r="H8002" s="547"/>
    </row>
    <row r="8003" spans="1:8" x14ac:dyDescent="0.3">
      <c r="A8003" s="477" t="s">
        <v>3</v>
      </c>
      <c r="B8003" s="478"/>
      <c r="C8003" s="479" t="s">
        <v>4</v>
      </c>
      <c r="D8003" s="479"/>
      <c r="E8003" s="480" t="s">
        <v>5</v>
      </c>
      <c r="F8003" s="480"/>
      <c r="G8003" s="480"/>
      <c r="H8003" s="480"/>
    </row>
    <row r="8004" spans="1:8" ht="15.6" x14ac:dyDescent="0.3">
      <c r="A8004" s="4" t="s">
        <v>6</v>
      </c>
      <c r="B8004" s="243"/>
      <c r="C8004" s="481" t="s">
        <v>7</v>
      </c>
      <c r="D8004" s="481"/>
      <c r="E8004" s="482">
        <v>174</v>
      </c>
      <c r="F8004" s="482"/>
      <c r="G8004" s="44" t="s">
        <v>8</v>
      </c>
      <c r="H8004" s="8" t="s">
        <v>1421</v>
      </c>
    </row>
    <row r="8005" spans="1:8" ht="15.6" x14ac:dyDescent="0.3">
      <c r="A8005" s="638" t="s">
        <v>413</v>
      </c>
      <c r="B8005" s="639"/>
      <c r="C8005" s="640" t="s">
        <v>414</v>
      </c>
      <c r="D8005" s="640"/>
      <c r="E8005" s="502">
        <v>70062</v>
      </c>
      <c r="F8005" s="504"/>
      <c r="G8005" s="502" t="s">
        <v>428</v>
      </c>
      <c r="H8005" s="504"/>
    </row>
    <row r="8006" spans="1:8" ht="15" x14ac:dyDescent="0.3">
      <c r="A8006" s="641" t="s">
        <v>415</v>
      </c>
      <c r="B8006" s="642"/>
      <c r="C8006" s="519" t="s">
        <v>12</v>
      </c>
      <c r="D8006" s="519"/>
      <c r="E8006" s="613" t="s">
        <v>1422</v>
      </c>
      <c r="F8006" s="614"/>
      <c r="G8006" s="48" t="s">
        <v>8</v>
      </c>
      <c r="H8006" s="109">
        <v>45728</v>
      </c>
    </row>
    <row r="8007" spans="1:8" ht="15.6" x14ac:dyDescent="0.3">
      <c r="A8007" s="641" t="s">
        <v>416</v>
      </c>
      <c r="B8007" s="642"/>
      <c r="C8007" s="481" t="s">
        <v>15</v>
      </c>
      <c r="D8007" s="481"/>
      <c r="E8007" s="646" t="s">
        <v>417</v>
      </c>
      <c r="F8007" s="647"/>
      <c r="G8007" s="647"/>
      <c r="H8007" s="648"/>
    </row>
    <row r="8008" spans="1:8" ht="15.6" x14ac:dyDescent="0.3">
      <c r="A8008" s="558" t="s">
        <v>1423</v>
      </c>
      <c r="B8008" s="559"/>
      <c r="C8008" s="24"/>
      <c r="D8008" s="25"/>
      <c r="E8008" s="50"/>
      <c r="F8008" s="51"/>
      <c r="G8008" s="51"/>
      <c r="H8008" s="52"/>
    </row>
    <row r="8009" spans="1:8" ht="15" x14ac:dyDescent="0.3">
      <c r="A8009" s="527" t="s">
        <v>17</v>
      </c>
      <c r="B8009" s="505" t="s">
        <v>18</v>
      </c>
      <c r="C8009" s="494" t="s">
        <v>19</v>
      </c>
      <c r="D8009" s="494" t="s">
        <v>20</v>
      </c>
      <c r="E8009" s="494" t="s">
        <v>21</v>
      </c>
      <c r="F8009" s="494" t="s">
        <v>22</v>
      </c>
      <c r="G8009" s="494"/>
      <c r="H8009" s="493" t="s">
        <v>23</v>
      </c>
    </row>
    <row r="8010" spans="1:8" ht="27.6" x14ac:dyDescent="0.3">
      <c r="A8010" s="492"/>
      <c r="B8010" s="494"/>
      <c r="C8010" s="494"/>
      <c r="D8010" s="494"/>
      <c r="E8010" s="494"/>
      <c r="F8010" s="53" t="s">
        <v>24</v>
      </c>
      <c r="G8010" s="53" t="s">
        <v>25</v>
      </c>
      <c r="H8010" s="527"/>
    </row>
    <row r="8011" spans="1:8" x14ac:dyDescent="0.3">
      <c r="A8011" s="54">
        <v>1</v>
      </c>
      <c r="B8011" t="s">
        <v>1426</v>
      </c>
      <c r="C8011" s="55">
        <v>1</v>
      </c>
      <c r="D8011" s="56">
        <v>998719</v>
      </c>
      <c r="E8011" s="57">
        <v>27835</v>
      </c>
      <c r="F8011" s="58">
        <f>C8011*E8011*9%</f>
        <v>2505.15</v>
      </c>
      <c r="G8011" s="58">
        <f>C8011*E8011*9%</f>
        <v>2505.15</v>
      </c>
      <c r="H8011" s="59">
        <f>C8011*E8011+F8011+G8011</f>
        <v>32845.300000000003</v>
      </c>
    </row>
    <row r="8012" spans="1:8" x14ac:dyDescent="0.3">
      <c r="A8012" s="54"/>
      <c r="B8012" s="60"/>
      <c r="C8012" s="54"/>
      <c r="D8012" s="61"/>
      <c r="E8012" s="54"/>
      <c r="F8012" s="58"/>
      <c r="G8012" s="58"/>
      <c r="H8012" s="59"/>
    </row>
    <row r="8013" spans="1:8" x14ac:dyDescent="0.3">
      <c r="A8013" s="55"/>
      <c r="C8013" s="55"/>
      <c r="D8013" s="61"/>
      <c r="E8013" s="55"/>
      <c r="F8013" s="58"/>
      <c r="G8013" s="58"/>
      <c r="H8013" s="59"/>
    </row>
    <row r="8014" spans="1:8" x14ac:dyDescent="0.3">
      <c r="A8014" s="147"/>
      <c r="B8014" s="60"/>
      <c r="C8014" s="128"/>
      <c r="D8014" s="61"/>
      <c r="E8014" s="245"/>
      <c r="F8014" s="58"/>
      <c r="G8014" s="58"/>
      <c r="H8014" s="59"/>
    </row>
    <row r="8015" spans="1:8" x14ac:dyDescent="0.3">
      <c r="A8015" s="27"/>
      <c r="B8015" s="28"/>
      <c r="C8015" s="24"/>
      <c r="D8015" s="25"/>
      <c r="E8015" s="25"/>
      <c r="F8015" s="28"/>
      <c r="G8015" s="28"/>
      <c r="H8015" s="32"/>
    </row>
    <row r="8016" spans="1:8" x14ac:dyDescent="0.3">
      <c r="A8016" s="27"/>
      <c r="B8016" s="28"/>
      <c r="C8016" s="24"/>
      <c r="D8016" s="25"/>
      <c r="E8016" s="25"/>
      <c r="F8016" s="28"/>
      <c r="G8016" s="28"/>
      <c r="H8016" s="32"/>
    </row>
    <row r="8017" spans="1:8" x14ac:dyDescent="0.3">
      <c r="A8017" s="27"/>
      <c r="B8017" s="28"/>
      <c r="C8017" s="24"/>
      <c r="D8017" s="25"/>
      <c r="E8017" s="25"/>
      <c r="F8017" s="28"/>
      <c r="G8017" s="28"/>
      <c r="H8017" s="32"/>
    </row>
    <row r="8018" spans="1:8" x14ac:dyDescent="0.3">
      <c r="A8018" s="27"/>
      <c r="B8018" s="28"/>
      <c r="C8018" s="24"/>
      <c r="D8018" s="25"/>
      <c r="E8018" s="25"/>
      <c r="F8018" s="28"/>
      <c r="G8018" s="28"/>
      <c r="H8018" s="32"/>
    </row>
    <row r="8019" spans="1:8" x14ac:dyDescent="0.3">
      <c r="A8019" s="27"/>
      <c r="B8019" s="28"/>
      <c r="C8019" s="24"/>
      <c r="D8019" s="25"/>
      <c r="E8019" s="25"/>
      <c r="F8019" s="28"/>
      <c r="G8019" s="28"/>
      <c r="H8019" s="32"/>
    </row>
    <row r="8020" spans="1:8" x14ac:dyDescent="0.3">
      <c r="A8020" s="27"/>
      <c r="B8020" s="28"/>
      <c r="C8020" s="24"/>
      <c r="D8020" s="25"/>
      <c r="E8020" s="25"/>
      <c r="F8020" s="28"/>
      <c r="G8020" s="28"/>
      <c r="H8020" s="32"/>
    </row>
    <row r="8021" spans="1:8" x14ac:dyDescent="0.3">
      <c r="A8021" s="27"/>
      <c r="B8021" s="28"/>
      <c r="C8021" s="24"/>
      <c r="D8021" s="25"/>
      <c r="E8021" s="25"/>
      <c r="F8021" s="28"/>
      <c r="G8021" s="28"/>
      <c r="H8021" s="32"/>
    </row>
    <row r="8022" spans="1:8" x14ac:dyDescent="0.3">
      <c r="A8022" s="27"/>
      <c r="B8022" s="28"/>
      <c r="C8022" s="24"/>
      <c r="D8022" s="25"/>
      <c r="E8022" s="25"/>
      <c r="F8022" s="28"/>
      <c r="G8022" s="28"/>
      <c r="H8022" s="32"/>
    </row>
    <row r="8023" spans="1:8" x14ac:dyDescent="0.3">
      <c r="A8023" s="27"/>
      <c r="B8023" s="28"/>
      <c r="C8023" s="24"/>
      <c r="D8023" s="25"/>
      <c r="E8023" s="25"/>
      <c r="F8023" s="28"/>
      <c r="G8023" s="28"/>
      <c r="H8023" s="32"/>
    </row>
    <row r="8024" spans="1:8" x14ac:dyDescent="0.3">
      <c r="A8024" s="27"/>
      <c r="B8024" s="28"/>
      <c r="C8024" s="24"/>
      <c r="D8024" s="25"/>
      <c r="E8024" s="25"/>
      <c r="F8024" s="28"/>
      <c r="G8024" s="28"/>
      <c r="H8024" s="32"/>
    </row>
    <row r="8025" spans="1:8" x14ac:dyDescent="0.3">
      <c r="A8025" s="27"/>
      <c r="B8025" s="28"/>
      <c r="C8025" s="24"/>
      <c r="D8025" s="25"/>
      <c r="E8025" s="25"/>
      <c r="F8025" s="28"/>
      <c r="G8025" s="28"/>
      <c r="H8025" s="32"/>
    </row>
    <row r="8026" spans="1:8" x14ac:dyDescent="0.3">
      <c r="A8026" s="27"/>
      <c r="B8026" s="28"/>
      <c r="C8026" s="24"/>
      <c r="D8026" s="25"/>
      <c r="E8026" s="25"/>
      <c r="F8026" s="28"/>
      <c r="G8026" s="28"/>
      <c r="H8026" s="32"/>
    </row>
    <row r="8027" spans="1:8" x14ac:dyDescent="0.3">
      <c r="A8027" s="27"/>
      <c r="B8027" s="28"/>
      <c r="C8027" s="24"/>
      <c r="D8027" s="25"/>
      <c r="E8027" s="25"/>
      <c r="F8027" s="28"/>
      <c r="G8027" s="28"/>
      <c r="H8027" s="32"/>
    </row>
    <row r="8028" spans="1:8" x14ac:dyDescent="0.3">
      <c r="A8028" s="27"/>
      <c r="B8028" s="28"/>
      <c r="C8028" s="24"/>
      <c r="D8028" s="25"/>
      <c r="E8028" s="25"/>
      <c r="F8028" s="28"/>
      <c r="G8028" s="28"/>
      <c r="H8028" s="32"/>
    </row>
    <row r="8029" spans="1:8" x14ac:dyDescent="0.3">
      <c r="A8029" s="27"/>
      <c r="B8029" s="28"/>
      <c r="C8029" s="24"/>
      <c r="D8029" s="25"/>
      <c r="E8029" s="25"/>
      <c r="F8029" s="28"/>
      <c r="G8029" s="28"/>
      <c r="H8029" s="32"/>
    </row>
    <row r="8030" spans="1:8" x14ac:dyDescent="0.3">
      <c r="A8030" s="27"/>
      <c r="B8030" s="28"/>
      <c r="C8030" s="24"/>
      <c r="D8030" s="25"/>
      <c r="E8030" s="25"/>
      <c r="F8030" s="28"/>
      <c r="G8030" s="28"/>
      <c r="H8030" s="32"/>
    </row>
    <row r="8031" spans="1:8" x14ac:dyDescent="0.3">
      <c r="A8031" s="27"/>
      <c r="B8031" s="28"/>
      <c r="C8031" s="24"/>
      <c r="D8031" s="25"/>
      <c r="E8031" s="25"/>
      <c r="F8031" s="28"/>
      <c r="G8031" s="28"/>
      <c r="H8031" s="32"/>
    </row>
    <row r="8032" spans="1:8" x14ac:dyDescent="0.3">
      <c r="A8032" s="27"/>
      <c r="B8032" s="28"/>
      <c r="C8032" s="24"/>
      <c r="D8032" s="25"/>
      <c r="E8032" s="25"/>
      <c r="F8032" s="28"/>
      <c r="G8032" s="28"/>
      <c r="H8032" s="32"/>
    </row>
    <row r="8033" spans="1:8" x14ac:dyDescent="0.3">
      <c r="A8033" s="27"/>
      <c r="B8033" s="28"/>
      <c r="C8033" s="24"/>
      <c r="D8033" s="25"/>
      <c r="E8033" s="25"/>
      <c r="F8033" s="28"/>
      <c r="G8033" s="28"/>
      <c r="H8033" s="32"/>
    </row>
    <row r="8034" spans="1:8" ht="15.6" x14ac:dyDescent="0.3">
      <c r="A8034" s="64" t="s">
        <v>45</v>
      </c>
      <c r="B8034" s="65"/>
      <c r="C8034" s="24"/>
      <c r="D8034" s="25"/>
      <c r="E8034" s="25"/>
      <c r="F8034" s="26" t="s">
        <v>46</v>
      </c>
      <c r="G8034" s="26"/>
      <c r="H8034" s="66">
        <f>(C8011*E8011)+(C8012*E8012)+(C8013*E8013)+(C8014*E8014)</f>
        <v>27835</v>
      </c>
    </row>
    <row r="8035" spans="1:8" ht="15.6" x14ac:dyDescent="0.3">
      <c r="A8035" s="64" t="s">
        <v>1424</v>
      </c>
      <c r="B8035" s="65"/>
      <c r="C8035" s="244"/>
      <c r="D8035" s="67"/>
      <c r="E8035" s="67"/>
      <c r="F8035" s="26" t="s">
        <v>47</v>
      </c>
      <c r="G8035" s="26"/>
      <c r="H8035" s="66">
        <f>H8034*9%</f>
        <v>2505.15</v>
      </c>
    </row>
    <row r="8036" spans="1:8" ht="15.6" x14ac:dyDescent="0.3">
      <c r="A8036" s="27"/>
      <c r="B8036" s="28"/>
      <c r="C8036" s="24"/>
      <c r="D8036" s="25"/>
      <c r="E8036" s="25"/>
      <c r="F8036" s="26" t="s">
        <v>48</v>
      </c>
      <c r="G8036" s="26"/>
      <c r="H8036" s="66">
        <f>H8034*9%</f>
        <v>2505.15</v>
      </c>
    </row>
    <row r="8037" spans="1:8" ht="15.6" x14ac:dyDescent="0.3">
      <c r="A8037" s="448" t="s">
        <v>49</v>
      </c>
      <c r="B8037" s="449"/>
      <c r="C8037" s="24"/>
      <c r="D8037" s="25"/>
      <c r="E8037" s="25"/>
      <c r="F8037" s="26" t="s">
        <v>50</v>
      </c>
      <c r="G8037" s="26"/>
      <c r="H8037" s="66">
        <v>32845</v>
      </c>
    </row>
    <row r="8038" spans="1:8" ht="27" x14ac:dyDescent="0.3">
      <c r="A8038" s="68" t="s">
        <v>22</v>
      </c>
      <c r="B8038" s="69" t="s">
        <v>51</v>
      </c>
      <c r="C8038" s="70" t="s">
        <v>24</v>
      </c>
      <c r="D8038" s="31" t="s">
        <v>25</v>
      </c>
      <c r="E8038" s="528" t="s">
        <v>52</v>
      </c>
      <c r="F8038" s="528"/>
      <c r="G8038" s="28"/>
      <c r="H8038" s="32"/>
    </row>
    <row r="8039" spans="1:8" x14ac:dyDescent="0.3">
      <c r="A8039" s="72">
        <v>0.18</v>
      </c>
      <c r="B8039" s="73">
        <f>H8034</f>
        <v>27835</v>
      </c>
      <c r="C8039" s="74">
        <f>H8035</f>
        <v>2505.15</v>
      </c>
      <c r="D8039" s="74">
        <f>H8036</f>
        <v>2505.15</v>
      </c>
      <c r="E8039" s="74">
        <f>C8039+D8039</f>
        <v>5010.3</v>
      </c>
      <c r="F8039" s="74"/>
      <c r="G8039" s="74"/>
      <c r="H8039" s="75"/>
    </row>
    <row r="8040" spans="1:8" x14ac:dyDescent="0.3">
      <c r="A8040" s="76" t="s">
        <v>1425</v>
      </c>
      <c r="B8040" s="77"/>
      <c r="C8040" s="77"/>
      <c r="D8040" s="77"/>
      <c r="E8040" s="78"/>
      <c r="F8040" s="36"/>
      <c r="G8040" s="36"/>
      <c r="H8040" s="79"/>
    </row>
    <row r="8041" spans="1:8" ht="15.6" x14ac:dyDescent="0.3">
      <c r="A8041" s="455" t="s">
        <v>53</v>
      </c>
      <c r="B8041" s="456"/>
      <c r="C8041" s="456"/>
      <c r="D8041" s="457"/>
      <c r="E8041" s="80" t="s">
        <v>69</v>
      </c>
      <c r="F8041" s="37"/>
      <c r="G8041" s="37"/>
      <c r="H8041" s="38"/>
    </row>
    <row r="8042" spans="1:8" x14ac:dyDescent="0.3">
      <c r="A8042" s="461" t="s">
        <v>55</v>
      </c>
      <c r="B8042" s="462"/>
      <c r="C8042" s="462"/>
      <c r="D8042" s="463"/>
      <c r="E8042" s="39"/>
      <c r="F8042" s="28"/>
      <c r="G8042" s="28"/>
      <c r="H8042" s="32"/>
    </row>
    <row r="8043" spans="1:8" x14ac:dyDescent="0.3">
      <c r="A8043" s="461" t="s">
        <v>56</v>
      </c>
      <c r="B8043" s="462"/>
      <c r="C8043" s="462"/>
      <c r="D8043" s="463"/>
      <c r="E8043" s="39"/>
      <c r="F8043" s="28"/>
      <c r="G8043" s="28"/>
      <c r="H8043" s="32"/>
    </row>
    <row r="8044" spans="1:8" x14ac:dyDescent="0.3">
      <c r="A8044" s="461" t="s">
        <v>57</v>
      </c>
      <c r="B8044" s="462"/>
      <c r="C8044" s="462"/>
      <c r="D8044" s="463"/>
      <c r="E8044" s="39"/>
      <c r="F8044" s="28"/>
      <c r="G8044" s="28"/>
      <c r="H8044" s="32"/>
    </row>
    <row r="8045" spans="1:8" ht="15.6" x14ac:dyDescent="0.3">
      <c r="A8045" s="464" t="s">
        <v>58</v>
      </c>
      <c r="B8045" s="465"/>
      <c r="C8045" s="465"/>
      <c r="D8045" s="510"/>
      <c r="E8045" s="81" t="s">
        <v>70</v>
      </c>
      <c r="F8045" s="40"/>
      <c r="G8045" s="40"/>
      <c r="H8045" s="41"/>
    </row>
    <row r="8049" spans="1:8" ht="44.4" x14ac:dyDescent="0.7">
      <c r="A8049" s="469" t="s">
        <v>0</v>
      </c>
      <c r="B8049" s="470"/>
      <c r="C8049" s="470"/>
      <c r="D8049" s="470"/>
      <c r="E8049" s="531" t="s">
        <v>1</v>
      </c>
      <c r="F8049" s="544"/>
      <c r="G8049" s="544"/>
      <c r="H8049" s="545"/>
    </row>
    <row r="8050" spans="1:8" ht="20.399999999999999" x14ac:dyDescent="0.35">
      <c r="A8050" s="1"/>
      <c r="B8050" s="649" t="s">
        <v>2</v>
      </c>
      <c r="C8050" s="649"/>
      <c r="D8050" s="649"/>
      <c r="E8050" s="546"/>
      <c r="F8050" s="546"/>
      <c r="G8050" s="546"/>
      <c r="H8050" s="547"/>
    </row>
    <row r="8051" spans="1:8" x14ac:dyDescent="0.3">
      <c r="A8051" s="477" t="s">
        <v>3</v>
      </c>
      <c r="B8051" s="478"/>
      <c r="C8051" s="479" t="s">
        <v>4</v>
      </c>
      <c r="D8051" s="479"/>
      <c r="E8051" s="650" t="s">
        <v>5</v>
      </c>
      <c r="F8051" s="650"/>
      <c r="G8051" s="650"/>
      <c r="H8051" s="650"/>
    </row>
    <row r="8052" spans="1:8" ht="15.6" x14ac:dyDescent="0.3">
      <c r="A8052" s="138" t="s">
        <v>6</v>
      </c>
      <c r="B8052" s="5"/>
      <c r="C8052" s="481" t="s">
        <v>7</v>
      </c>
      <c r="D8052" s="481"/>
      <c r="E8052" s="482">
        <v>175</v>
      </c>
      <c r="F8052" s="482"/>
      <c r="G8052" s="44" t="s">
        <v>8</v>
      </c>
      <c r="H8052" s="381" t="s">
        <v>1427</v>
      </c>
    </row>
    <row r="8053" spans="1:8" ht="15.6" x14ac:dyDescent="0.3">
      <c r="A8053" s="108" t="s">
        <v>576</v>
      </c>
      <c r="B8053" s="284"/>
      <c r="C8053" s="481" t="s">
        <v>10</v>
      </c>
      <c r="D8053" s="481"/>
      <c r="E8053" s="482"/>
      <c r="F8053" s="482"/>
      <c r="G8053" s="44" t="s">
        <v>8</v>
      </c>
      <c r="H8053" s="6"/>
    </row>
    <row r="8054" spans="1:8" ht="15" x14ac:dyDescent="0.3">
      <c r="A8054" s="517" t="s">
        <v>577</v>
      </c>
      <c r="B8054" s="553"/>
      <c r="C8054" s="519" t="s">
        <v>12</v>
      </c>
      <c r="D8054" s="519"/>
      <c r="E8054" s="727"/>
      <c r="F8054" s="728"/>
      <c r="G8054" s="48" t="s">
        <v>8</v>
      </c>
      <c r="H8054" s="11"/>
    </row>
    <row r="8055" spans="1:8" ht="15.6" x14ac:dyDescent="0.3">
      <c r="A8055" s="595" t="s">
        <v>578</v>
      </c>
      <c r="B8055" s="553"/>
      <c r="C8055" s="481" t="s">
        <v>15</v>
      </c>
      <c r="D8055" s="481"/>
      <c r="E8055" s="631" t="s">
        <v>579</v>
      </c>
      <c r="F8055" s="632"/>
      <c r="G8055" s="633"/>
      <c r="H8055" s="49"/>
    </row>
    <row r="8056" spans="1:8" ht="15.6" x14ac:dyDescent="0.3">
      <c r="A8056" s="678" t="s">
        <v>1428</v>
      </c>
      <c r="B8056" s="679"/>
      <c r="C8056" s="24"/>
      <c r="D8056" s="25"/>
      <c r="E8056" s="50"/>
      <c r="F8056" s="50"/>
      <c r="G8056" s="51"/>
      <c r="H8056" s="52"/>
    </row>
    <row r="8057" spans="1:8" ht="15" x14ac:dyDescent="0.3">
      <c r="A8057" s="492" t="s">
        <v>17</v>
      </c>
      <c r="B8057" s="494" t="s">
        <v>18</v>
      </c>
      <c r="C8057" s="494" t="s">
        <v>19</v>
      </c>
      <c r="D8057" s="494" t="s">
        <v>20</v>
      </c>
      <c r="E8057" s="494" t="s">
        <v>21</v>
      </c>
      <c r="F8057" s="494" t="s">
        <v>22</v>
      </c>
      <c r="G8057" s="494"/>
      <c r="H8057" s="492" t="s">
        <v>23</v>
      </c>
    </row>
    <row r="8058" spans="1:8" ht="27.6" x14ac:dyDescent="0.3">
      <c r="A8058" s="492"/>
      <c r="B8058" s="494"/>
      <c r="C8058" s="494"/>
      <c r="D8058" s="494"/>
      <c r="E8058" s="494"/>
      <c r="F8058" s="53" t="s">
        <v>24</v>
      </c>
      <c r="G8058" s="53" t="s">
        <v>25</v>
      </c>
      <c r="H8058" s="492"/>
    </row>
    <row r="8059" spans="1:8" ht="28.8" x14ac:dyDescent="0.3">
      <c r="A8059" s="57">
        <v>1</v>
      </c>
      <c r="B8059" s="113" t="s">
        <v>1429</v>
      </c>
      <c r="C8059" s="57">
        <v>1</v>
      </c>
      <c r="D8059" s="56">
        <v>998719</v>
      </c>
      <c r="E8059" s="57">
        <v>25000</v>
      </c>
      <c r="F8059" s="58">
        <f>C8059*E8059*9%</f>
        <v>2250</v>
      </c>
      <c r="G8059" s="58">
        <f>C8059*E8059*9%</f>
        <v>2250</v>
      </c>
      <c r="H8059" s="59">
        <f>C8059*E8059+F8059+G8059</f>
        <v>29500</v>
      </c>
    </row>
    <row r="8060" spans="1:8" x14ac:dyDescent="0.3">
      <c r="A8060" s="55"/>
      <c r="B8060" s="113"/>
      <c r="C8060" s="55"/>
      <c r="D8060" s="56"/>
      <c r="E8060" s="55"/>
      <c r="F8060" s="93"/>
      <c r="G8060" s="93"/>
      <c r="H8060" s="62"/>
    </row>
    <row r="8061" spans="1:8" x14ac:dyDescent="0.3">
      <c r="A8061" s="55"/>
      <c r="B8061" s="113"/>
      <c r="C8061" s="55"/>
      <c r="D8061" s="56"/>
      <c r="E8061" s="55"/>
      <c r="F8061" s="93"/>
      <c r="G8061" s="93"/>
      <c r="H8061" s="62"/>
    </row>
    <row r="8062" spans="1:8" x14ac:dyDescent="0.3">
      <c r="A8062" s="55"/>
      <c r="B8062" s="285"/>
      <c r="C8062" s="55"/>
      <c r="D8062" s="61"/>
      <c r="E8062" s="55"/>
      <c r="F8062" s="286"/>
      <c r="G8062" s="286"/>
      <c r="H8062" s="55"/>
    </row>
    <row r="8063" spans="1:8" x14ac:dyDescent="0.3">
      <c r="A8063" s="55"/>
      <c r="B8063" s="285"/>
      <c r="C8063" s="55"/>
      <c r="D8063" s="61"/>
      <c r="E8063" s="55"/>
      <c r="F8063" s="286"/>
      <c r="G8063" s="286"/>
      <c r="H8063" s="55"/>
    </row>
    <row r="8064" spans="1:8" x14ac:dyDescent="0.3">
      <c r="A8064" s="55"/>
      <c r="B8064" s="60"/>
      <c r="C8064" s="55"/>
      <c r="D8064" s="61"/>
      <c r="E8064" s="57"/>
      <c r="F8064" s="115"/>
      <c r="G8064" s="115"/>
      <c r="H8064" s="57"/>
    </row>
    <row r="8065" spans="1:8" x14ac:dyDescent="0.3">
      <c r="A8065" s="55"/>
      <c r="B8065" s="60"/>
      <c r="C8065" s="55"/>
      <c r="D8065" s="56"/>
      <c r="E8065" s="57"/>
      <c r="F8065" s="115"/>
      <c r="G8065" s="115"/>
      <c r="H8065" s="57"/>
    </row>
    <row r="8066" spans="1:8" x14ac:dyDescent="0.3">
      <c r="A8066" s="55"/>
      <c r="B8066" s="60"/>
      <c r="C8066" s="55"/>
      <c r="D8066" s="56"/>
      <c r="E8066" s="57"/>
      <c r="F8066" s="115"/>
      <c r="G8066" s="115"/>
      <c r="H8066" s="57"/>
    </row>
    <row r="8067" spans="1:8" x14ac:dyDescent="0.3">
      <c r="A8067" s="55"/>
      <c r="B8067" s="94"/>
      <c r="C8067" s="55"/>
      <c r="D8067" s="47"/>
      <c r="E8067" s="47"/>
      <c r="F8067" s="115"/>
      <c r="G8067" s="115"/>
      <c r="H8067" s="47"/>
    </row>
    <row r="8068" spans="1:8" x14ac:dyDescent="0.3">
      <c r="A8068" s="27"/>
      <c r="B8068" s="28"/>
      <c r="C8068" s="24"/>
      <c r="D8068" s="25"/>
      <c r="E8068" s="25"/>
      <c r="F8068" s="282"/>
      <c r="G8068" s="282"/>
      <c r="H8068" s="32"/>
    </row>
    <row r="8069" spans="1:8" x14ac:dyDescent="0.3">
      <c r="A8069" s="27"/>
      <c r="B8069" s="28"/>
      <c r="C8069" s="24"/>
      <c r="D8069" s="25"/>
      <c r="E8069" s="25"/>
      <c r="F8069" s="282"/>
      <c r="G8069" s="282"/>
      <c r="H8069" s="32"/>
    </row>
    <row r="8070" spans="1:8" x14ac:dyDescent="0.3">
      <c r="A8070" s="27"/>
      <c r="B8070" s="28"/>
      <c r="C8070" s="24"/>
      <c r="D8070" s="25"/>
      <c r="E8070" s="25"/>
      <c r="F8070" s="282"/>
      <c r="G8070" s="282"/>
      <c r="H8070" s="32"/>
    </row>
    <row r="8071" spans="1:8" x14ac:dyDescent="0.3">
      <c r="A8071" s="27"/>
      <c r="B8071" s="28"/>
      <c r="C8071" s="24"/>
      <c r="D8071" s="25"/>
      <c r="E8071" s="25"/>
      <c r="F8071" s="282"/>
      <c r="G8071" s="282"/>
      <c r="H8071" s="32"/>
    </row>
    <row r="8072" spans="1:8" x14ac:dyDescent="0.3">
      <c r="A8072" s="27"/>
      <c r="B8072" s="28"/>
      <c r="C8072" s="24"/>
      <c r="D8072" s="25"/>
      <c r="E8072" s="25"/>
      <c r="F8072" s="282"/>
      <c r="G8072" s="282"/>
      <c r="H8072" s="32"/>
    </row>
    <row r="8073" spans="1:8" x14ac:dyDescent="0.3">
      <c r="A8073" s="27"/>
      <c r="B8073" s="28"/>
      <c r="C8073" s="24"/>
      <c r="D8073" s="25"/>
      <c r="E8073" s="25"/>
      <c r="F8073" s="282"/>
      <c r="G8073" s="282"/>
      <c r="H8073" s="32"/>
    </row>
    <row r="8074" spans="1:8" x14ac:dyDescent="0.3">
      <c r="A8074" s="27"/>
      <c r="B8074" s="28"/>
      <c r="C8074" s="24"/>
      <c r="D8074" s="25"/>
      <c r="E8074" s="25"/>
      <c r="F8074" s="25"/>
      <c r="G8074" s="28"/>
      <c r="H8074" s="32"/>
    </row>
    <row r="8075" spans="1:8" x14ac:dyDescent="0.3">
      <c r="A8075" s="27"/>
      <c r="B8075" s="28"/>
      <c r="C8075" s="24"/>
      <c r="D8075" s="25"/>
      <c r="E8075" s="25"/>
      <c r="F8075" s="25"/>
      <c r="G8075" s="28"/>
      <c r="H8075" s="32"/>
    </row>
    <row r="8076" spans="1:8" x14ac:dyDescent="0.3">
      <c r="A8076" s="27"/>
      <c r="B8076" s="28"/>
      <c r="C8076" s="24"/>
      <c r="D8076" s="25"/>
      <c r="E8076" s="25"/>
      <c r="F8076" s="25"/>
      <c r="G8076" s="28"/>
      <c r="H8076" s="32"/>
    </row>
    <row r="8077" spans="1:8" x14ac:dyDescent="0.3">
      <c r="A8077" s="27"/>
      <c r="B8077" s="28"/>
      <c r="C8077" s="24"/>
      <c r="D8077" s="25"/>
      <c r="E8077" s="25"/>
      <c r="F8077" s="25"/>
      <c r="G8077" s="28"/>
      <c r="H8077" s="32"/>
    </row>
    <row r="8078" spans="1:8" x14ac:dyDescent="0.3">
      <c r="A8078" s="27"/>
      <c r="B8078" s="28"/>
      <c r="C8078" s="24"/>
      <c r="D8078" s="25"/>
      <c r="E8078" s="25"/>
      <c r="F8078" s="25"/>
      <c r="G8078" s="28"/>
      <c r="H8078" s="32"/>
    </row>
    <row r="8079" spans="1:8" x14ac:dyDescent="0.3">
      <c r="A8079" s="27"/>
      <c r="B8079" s="28"/>
      <c r="C8079" s="24"/>
      <c r="D8079" s="25"/>
      <c r="E8079" s="25"/>
      <c r="F8079" s="25"/>
      <c r="G8079" s="28"/>
      <c r="H8079" s="32"/>
    </row>
    <row r="8080" spans="1:8" x14ac:dyDescent="0.3">
      <c r="A8080" s="27"/>
      <c r="B8080" s="28"/>
      <c r="C8080" s="24"/>
      <c r="D8080" s="25"/>
      <c r="E8080" s="25"/>
      <c r="F8080" s="25"/>
      <c r="G8080" s="28"/>
      <c r="H8080" s="32"/>
    </row>
    <row r="8081" spans="1:8" ht="15.6" x14ac:dyDescent="0.3">
      <c r="A8081" s="497" t="s">
        <v>97</v>
      </c>
      <c r="B8081" s="498"/>
      <c r="C8081" s="24"/>
      <c r="D8081" s="25"/>
      <c r="E8081" s="25"/>
      <c r="F8081" s="116" t="s">
        <v>46</v>
      </c>
      <c r="G8081" s="26"/>
      <c r="H8081" s="66">
        <v>25000</v>
      </c>
    </row>
    <row r="8082" spans="1:8" ht="15.6" x14ac:dyDescent="0.3">
      <c r="A8082" s="497" t="s">
        <v>1318</v>
      </c>
      <c r="B8082" s="498"/>
      <c r="C8082" s="498"/>
      <c r="D8082" s="498"/>
      <c r="E8082" s="67"/>
      <c r="F8082" s="116" t="s">
        <v>47</v>
      </c>
      <c r="G8082" s="26"/>
      <c r="H8082" s="66">
        <f>H8081*9%</f>
        <v>2250</v>
      </c>
    </row>
    <row r="8083" spans="1:8" ht="15.6" x14ac:dyDescent="0.3">
      <c r="A8083" s="27"/>
      <c r="B8083" s="28"/>
      <c r="C8083" s="24"/>
      <c r="D8083" s="25"/>
      <c r="E8083" s="25"/>
      <c r="F8083" s="116" t="s">
        <v>48</v>
      </c>
      <c r="G8083" s="26"/>
      <c r="H8083" s="66">
        <f>H8081*9%</f>
        <v>2250</v>
      </c>
    </row>
    <row r="8084" spans="1:8" ht="15.6" x14ac:dyDescent="0.3">
      <c r="A8084" s="497" t="s">
        <v>49</v>
      </c>
      <c r="B8084" s="498"/>
      <c r="C8084" s="498"/>
      <c r="D8084" s="25"/>
      <c r="E8084" s="25"/>
      <c r="F8084" s="116" t="s">
        <v>50</v>
      </c>
      <c r="G8084" s="26"/>
      <c r="H8084" s="66">
        <f>H8081+H8083+H8082</f>
        <v>29500</v>
      </c>
    </row>
    <row r="8085" spans="1:8" ht="27" x14ac:dyDescent="0.3">
      <c r="A8085" s="68" t="s">
        <v>22</v>
      </c>
      <c r="B8085" s="69" t="s">
        <v>51</v>
      </c>
      <c r="C8085" s="70" t="s">
        <v>24</v>
      </c>
      <c r="D8085" s="31" t="s">
        <v>25</v>
      </c>
      <c r="E8085" s="528" t="s">
        <v>52</v>
      </c>
      <c r="F8085" s="528"/>
      <c r="G8085" s="28"/>
      <c r="H8085" s="32"/>
    </row>
    <row r="8086" spans="1:8" x14ac:dyDescent="0.3">
      <c r="A8086" s="72">
        <v>0.18</v>
      </c>
      <c r="B8086" s="73">
        <f>H8081</f>
        <v>25000</v>
      </c>
      <c r="C8086" s="74">
        <f>H8082</f>
        <v>2250</v>
      </c>
      <c r="D8086" s="74">
        <f>H8083</f>
        <v>2250</v>
      </c>
      <c r="E8086" s="507">
        <f>C8086+D8086</f>
        <v>4500</v>
      </c>
      <c r="F8086" s="507"/>
      <c r="G8086" s="74"/>
      <c r="H8086" s="75"/>
    </row>
    <row r="8087" spans="1:8" x14ac:dyDescent="0.3">
      <c r="A8087" s="452" t="s">
        <v>1319</v>
      </c>
      <c r="B8087" s="453"/>
      <c r="C8087" s="453"/>
      <c r="D8087" s="453"/>
      <c r="E8087" s="453"/>
      <c r="F8087" s="78"/>
      <c r="G8087" s="36"/>
      <c r="H8087" s="79"/>
    </row>
    <row r="8088" spans="1:8" ht="15.6" x14ac:dyDescent="0.3">
      <c r="A8088" s="455" t="s">
        <v>53</v>
      </c>
      <c r="B8088" s="456"/>
      <c r="C8088" s="456"/>
      <c r="D8088" s="457"/>
      <c r="E8088" s="458" t="s">
        <v>54</v>
      </c>
      <c r="F8088" s="459"/>
      <c r="G8088" s="459"/>
      <c r="H8088" s="460"/>
    </row>
    <row r="8089" spans="1:8" x14ac:dyDescent="0.3">
      <c r="A8089" s="461" t="s">
        <v>55</v>
      </c>
      <c r="B8089" s="462"/>
      <c r="C8089" s="462"/>
      <c r="D8089" s="463"/>
      <c r="E8089" s="25"/>
      <c r="F8089" s="25"/>
      <c r="G8089" s="28"/>
      <c r="H8089" s="32"/>
    </row>
    <row r="8090" spans="1:8" x14ac:dyDescent="0.3">
      <c r="A8090" s="461" t="s">
        <v>56</v>
      </c>
      <c r="B8090" s="462"/>
      <c r="C8090" s="462"/>
      <c r="D8090" s="463"/>
      <c r="E8090" s="25"/>
      <c r="F8090" s="25"/>
      <c r="G8090" s="28"/>
      <c r="H8090" s="32"/>
    </row>
    <row r="8091" spans="1:8" x14ac:dyDescent="0.3">
      <c r="A8091" s="461" t="s">
        <v>57</v>
      </c>
      <c r="B8091" s="462"/>
      <c r="C8091" s="462"/>
      <c r="D8091" s="463"/>
      <c r="E8091" s="25"/>
      <c r="F8091" s="25"/>
      <c r="G8091" s="28"/>
      <c r="H8091" s="32"/>
    </row>
    <row r="8092" spans="1:8" ht="15.6" x14ac:dyDescent="0.3">
      <c r="A8092" s="464" t="s">
        <v>58</v>
      </c>
      <c r="B8092" s="465"/>
      <c r="C8092" s="465"/>
      <c r="D8092" s="510"/>
      <c r="E8092" s="466" t="s">
        <v>59</v>
      </c>
      <c r="F8092" s="467"/>
      <c r="G8092" s="467"/>
      <c r="H8092" s="468"/>
    </row>
    <row r="8094" spans="1:8" ht="44.4" x14ac:dyDescent="0.7">
      <c r="A8094" s="469" t="s">
        <v>0</v>
      </c>
      <c r="B8094" s="470"/>
      <c r="C8094" s="470"/>
      <c r="D8094" s="470"/>
      <c r="E8094" s="531" t="s">
        <v>92</v>
      </c>
      <c r="F8094" s="531"/>
      <c r="G8094" s="531"/>
      <c r="H8094" s="532"/>
    </row>
    <row r="8095" spans="1:8" ht="20.399999999999999" x14ac:dyDescent="0.35">
      <c r="A8095" s="1"/>
      <c r="B8095" s="535" t="s">
        <v>2</v>
      </c>
      <c r="C8095" s="535"/>
      <c r="D8095" s="535"/>
      <c r="E8095" s="533"/>
      <c r="F8095" s="533"/>
      <c r="G8095" s="533"/>
      <c r="H8095" s="534"/>
    </row>
    <row r="8096" spans="1:8" x14ac:dyDescent="0.3">
      <c r="A8096" s="477" t="s">
        <v>3</v>
      </c>
      <c r="B8096" s="478"/>
      <c r="C8096" s="479" t="s">
        <v>4</v>
      </c>
      <c r="D8096" s="479"/>
      <c r="E8096" s="480" t="s">
        <v>5</v>
      </c>
      <c r="F8096" s="480"/>
      <c r="G8096" s="480"/>
      <c r="H8096" s="480"/>
    </row>
    <row r="8097" spans="1:9" ht="15.6" x14ac:dyDescent="0.3">
      <c r="A8097" s="4" t="s">
        <v>6</v>
      </c>
      <c r="B8097" s="5"/>
      <c r="C8097" s="536" t="s">
        <v>7</v>
      </c>
      <c r="D8097" s="516"/>
      <c r="E8097" s="489">
        <v>176</v>
      </c>
      <c r="F8097" s="491"/>
      <c r="G8097" s="44" t="s">
        <v>8</v>
      </c>
      <c r="H8097" s="109" t="s">
        <v>1430</v>
      </c>
    </row>
    <row r="8098" spans="1:9" ht="15.6" x14ac:dyDescent="0.3">
      <c r="A8098" s="121" t="s">
        <v>103</v>
      </c>
      <c r="B8098" s="107"/>
      <c r="C8098" s="536" t="s">
        <v>10</v>
      </c>
      <c r="D8098" s="516"/>
      <c r="E8098" s="489"/>
      <c r="F8098" s="491"/>
      <c r="G8098" s="44" t="s">
        <v>8</v>
      </c>
      <c r="H8098" s="122"/>
    </row>
    <row r="8099" spans="1:9" ht="15" x14ac:dyDescent="0.3">
      <c r="A8099" s="108" t="s">
        <v>104</v>
      </c>
      <c r="B8099" s="106"/>
      <c r="C8099" s="483" t="s">
        <v>12</v>
      </c>
      <c r="D8099" s="484"/>
      <c r="E8099" s="613" t="s">
        <v>1435</v>
      </c>
      <c r="F8099" s="614"/>
      <c r="G8099" s="48" t="s">
        <v>8</v>
      </c>
      <c r="H8099" s="109" t="s">
        <v>1436</v>
      </c>
    </row>
    <row r="8100" spans="1:9" ht="15.6" x14ac:dyDescent="0.3">
      <c r="A8100" s="108" t="s">
        <v>105</v>
      </c>
      <c r="B8100" s="106"/>
      <c r="C8100" s="536" t="s">
        <v>15</v>
      </c>
      <c r="D8100" s="516"/>
      <c r="E8100" s="110" t="s">
        <v>106</v>
      </c>
      <c r="F8100" s="111"/>
      <c r="G8100" s="112"/>
      <c r="H8100" s="49"/>
    </row>
    <row r="8101" spans="1:9" ht="15.6" x14ac:dyDescent="0.3">
      <c r="A8101" s="539" t="s">
        <v>107</v>
      </c>
      <c r="B8101" s="540"/>
      <c r="C8101" s="24"/>
      <c r="D8101" s="25"/>
      <c r="E8101" s="50"/>
      <c r="F8101" s="50"/>
      <c r="G8101" s="51"/>
      <c r="H8101" s="52"/>
    </row>
    <row r="8102" spans="1:9" ht="15" x14ac:dyDescent="0.3">
      <c r="A8102" s="493" t="s">
        <v>17</v>
      </c>
      <c r="B8102" s="495" t="s">
        <v>18</v>
      </c>
      <c r="C8102" s="495" t="s">
        <v>19</v>
      </c>
      <c r="D8102" s="495" t="s">
        <v>20</v>
      </c>
      <c r="E8102" s="495" t="s">
        <v>21</v>
      </c>
      <c r="F8102" s="541" t="s">
        <v>22</v>
      </c>
      <c r="G8102" s="542"/>
      <c r="H8102" s="493" t="s">
        <v>23</v>
      </c>
    </row>
    <row r="8103" spans="1:9" ht="27.6" x14ac:dyDescent="0.3">
      <c r="A8103" s="527"/>
      <c r="B8103" s="505"/>
      <c r="C8103" s="505"/>
      <c r="D8103" s="505"/>
      <c r="E8103" s="505"/>
      <c r="F8103" s="53" t="s">
        <v>24</v>
      </c>
      <c r="G8103" s="53" t="s">
        <v>25</v>
      </c>
      <c r="H8103" s="527"/>
    </row>
    <row r="8104" spans="1:9" x14ac:dyDescent="0.3">
      <c r="A8104" s="56">
        <v>1</v>
      </c>
      <c r="B8104" s="113" t="s">
        <v>1431</v>
      </c>
      <c r="C8104" s="114">
        <v>9</v>
      </c>
      <c r="D8104" s="17">
        <v>998719</v>
      </c>
      <c r="E8104" s="56">
        <v>4260</v>
      </c>
      <c r="F8104" s="56">
        <f>E8104*C8104*9%</f>
        <v>3450.6</v>
      </c>
      <c r="G8104" s="56">
        <f>F8104</f>
        <v>3450.6</v>
      </c>
      <c r="H8104" s="55">
        <f>G8104+F8104+E8104*C8104</f>
        <v>45241.2</v>
      </c>
      <c r="I8104" s="362">
        <f>E8104*C8104</f>
        <v>38340</v>
      </c>
    </row>
    <row r="8105" spans="1:9" x14ac:dyDescent="0.3">
      <c r="A8105" s="56">
        <v>2</v>
      </c>
      <c r="B8105" s="113" t="s">
        <v>1432</v>
      </c>
      <c r="C8105" s="114">
        <v>1</v>
      </c>
      <c r="D8105" s="56">
        <v>998719</v>
      </c>
      <c r="E8105" s="56">
        <v>7600</v>
      </c>
      <c r="F8105" s="56">
        <f>E8105*C8105*9%</f>
        <v>684</v>
      </c>
      <c r="G8105" s="56">
        <f>F8105</f>
        <v>684</v>
      </c>
      <c r="H8105" s="55">
        <f>G8105+F8105+E8105*C8105</f>
        <v>8968</v>
      </c>
      <c r="I8105" s="362">
        <f>E8105*C8105</f>
        <v>7600</v>
      </c>
    </row>
    <row r="8106" spans="1:9" x14ac:dyDescent="0.3">
      <c r="A8106" s="55"/>
      <c r="B8106" s="113"/>
      <c r="C8106" s="55"/>
      <c r="D8106" s="47"/>
      <c r="E8106" s="47"/>
      <c r="F8106" s="56"/>
      <c r="G8106" s="56"/>
      <c r="H8106" s="47"/>
    </row>
    <row r="8107" spans="1:9" x14ac:dyDescent="0.3">
      <c r="A8107" s="55"/>
      <c r="B8107" s="94"/>
      <c r="C8107" s="55"/>
      <c r="D8107" s="47"/>
      <c r="E8107" s="47"/>
      <c r="F8107" s="115"/>
      <c r="G8107" s="115"/>
      <c r="H8107" s="47"/>
    </row>
    <row r="8108" spans="1:9" x14ac:dyDescent="0.3">
      <c r="A8108" s="27"/>
      <c r="B8108" s="28"/>
      <c r="C8108" s="24"/>
      <c r="D8108" s="25"/>
      <c r="E8108" s="25"/>
      <c r="F8108" s="25"/>
      <c r="G8108" s="28"/>
      <c r="H8108" s="32"/>
    </row>
    <row r="8109" spans="1:9" x14ac:dyDescent="0.3">
      <c r="A8109" s="27"/>
      <c r="B8109" s="28"/>
      <c r="C8109" s="24"/>
      <c r="D8109" s="25"/>
      <c r="E8109" s="25"/>
      <c r="F8109" s="25"/>
      <c r="G8109" s="28"/>
      <c r="H8109" s="32"/>
    </row>
    <row r="8110" spans="1:9" x14ac:dyDescent="0.3">
      <c r="A8110" s="27"/>
      <c r="B8110" s="28"/>
      <c r="C8110" s="24"/>
      <c r="D8110" s="25"/>
      <c r="E8110" s="25"/>
      <c r="F8110" s="25"/>
      <c r="G8110" s="28"/>
      <c r="H8110" s="32"/>
    </row>
    <row r="8111" spans="1:9" x14ac:dyDescent="0.3">
      <c r="A8111" s="27"/>
      <c r="B8111" s="28"/>
      <c r="C8111" s="24"/>
      <c r="D8111" s="25"/>
      <c r="E8111" s="25"/>
      <c r="F8111" s="25"/>
      <c r="G8111" s="28"/>
      <c r="H8111" s="32"/>
    </row>
    <row r="8112" spans="1:9" x14ac:dyDescent="0.3">
      <c r="A8112" s="27"/>
      <c r="B8112" s="28"/>
      <c r="C8112" s="24"/>
      <c r="D8112" s="25"/>
      <c r="E8112" s="25"/>
      <c r="F8112" s="25"/>
      <c r="G8112" s="28"/>
      <c r="H8112" s="32"/>
    </row>
    <row r="8113" spans="1:8" x14ac:dyDescent="0.3">
      <c r="A8113" s="27"/>
      <c r="B8113" s="28"/>
      <c r="C8113" s="24"/>
      <c r="D8113" s="25"/>
      <c r="E8113" s="25"/>
      <c r="F8113" s="25"/>
      <c r="G8113" s="28"/>
      <c r="H8113" s="32"/>
    </row>
    <row r="8114" spans="1:8" x14ac:dyDescent="0.3">
      <c r="A8114" s="27"/>
      <c r="B8114" s="28"/>
      <c r="C8114" s="24"/>
      <c r="D8114" s="25"/>
      <c r="E8114" s="25"/>
      <c r="F8114" s="25"/>
      <c r="G8114" s="28"/>
      <c r="H8114" s="32"/>
    </row>
    <row r="8115" spans="1:8" x14ac:dyDescent="0.3">
      <c r="A8115" s="27"/>
      <c r="B8115" s="28"/>
      <c r="C8115" s="24"/>
      <c r="D8115" s="25"/>
      <c r="E8115" s="25"/>
      <c r="F8115" s="25"/>
      <c r="G8115" s="28"/>
      <c r="H8115" s="32"/>
    </row>
    <row r="8116" spans="1:8" x14ac:dyDescent="0.3">
      <c r="A8116" s="27"/>
      <c r="B8116" s="28"/>
      <c r="C8116" s="24"/>
      <c r="D8116" s="25"/>
      <c r="E8116" s="25"/>
      <c r="F8116" s="25"/>
      <c r="G8116" s="28"/>
      <c r="H8116" s="32"/>
    </row>
    <row r="8117" spans="1:8" x14ac:dyDescent="0.3">
      <c r="A8117" s="27"/>
      <c r="B8117" s="28"/>
      <c r="C8117" s="24"/>
      <c r="D8117" s="25"/>
      <c r="E8117" s="25"/>
      <c r="F8117" s="25"/>
      <c r="G8117" s="28"/>
      <c r="H8117" s="32"/>
    </row>
    <row r="8118" spans="1:8" x14ac:dyDescent="0.3">
      <c r="A8118" s="27"/>
      <c r="B8118" s="28"/>
      <c r="C8118" s="24"/>
      <c r="D8118" s="25"/>
      <c r="E8118" s="25"/>
      <c r="F8118" s="25"/>
      <c r="G8118" s="28"/>
      <c r="H8118" s="32"/>
    </row>
    <row r="8119" spans="1:8" x14ac:dyDescent="0.3">
      <c r="A8119" s="27"/>
      <c r="B8119" s="28"/>
      <c r="C8119" s="24"/>
      <c r="D8119" s="25"/>
      <c r="E8119" s="25"/>
      <c r="F8119" s="25"/>
      <c r="G8119" s="28"/>
      <c r="H8119" s="32"/>
    </row>
    <row r="8120" spans="1:8" x14ac:dyDescent="0.3">
      <c r="A8120" s="27"/>
      <c r="B8120" s="28"/>
      <c r="C8120" s="24"/>
      <c r="D8120" s="25"/>
      <c r="E8120" s="25"/>
      <c r="F8120" s="25"/>
      <c r="G8120" s="28"/>
      <c r="H8120" s="32"/>
    </row>
    <row r="8121" spans="1:8" x14ac:dyDescent="0.3">
      <c r="A8121" s="27"/>
      <c r="B8121" s="28"/>
      <c r="C8121" s="24"/>
      <c r="D8121" s="25"/>
      <c r="E8121" s="25"/>
      <c r="F8121" s="25"/>
      <c r="G8121" s="28"/>
      <c r="H8121" s="32"/>
    </row>
    <row r="8122" spans="1:8" x14ac:dyDescent="0.3">
      <c r="A8122" s="27"/>
      <c r="B8122" s="28"/>
      <c r="C8122" s="24"/>
      <c r="D8122" s="25"/>
      <c r="E8122" s="25"/>
      <c r="F8122" s="25"/>
      <c r="G8122" s="28"/>
      <c r="H8122" s="32"/>
    </row>
    <row r="8123" spans="1:8" x14ac:dyDescent="0.3">
      <c r="A8123" s="27"/>
      <c r="B8123" s="28"/>
      <c r="C8123" s="24"/>
      <c r="D8123" s="25"/>
      <c r="E8123" s="25"/>
      <c r="F8123" s="25"/>
      <c r="G8123" s="28"/>
      <c r="H8123" s="32"/>
    </row>
    <row r="8124" spans="1:8" x14ac:dyDescent="0.3">
      <c r="A8124" s="27"/>
      <c r="B8124" s="28"/>
      <c r="C8124" s="24"/>
      <c r="D8124" s="25"/>
      <c r="E8124" s="25"/>
      <c r="F8124" s="25"/>
      <c r="G8124" s="28"/>
      <c r="H8124" s="32"/>
    </row>
    <row r="8125" spans="1:8" x14ac:dyDescent="0.3">
      <c r="A8125" s="27"/>
      <c r="B8125" s="28"/>
      <c r="C8125" s="24"/>
      <c r="D8125" s="25"/>
      <c r="E8125" s="25"/>
      <c r="F8125" s="25"/>
      <c r="G8125" s="28"/>
      <c r="H8125" s="32"/>
    </row>
    <row r="8126" spans="1:8" x14ac:dyDescent="0.3">
      <c r="A8126" s="27"/>
      <c r="B8126" s="28"/>
      <c r="C8126" s="24"/>
      <c r="D8126" s="25"/>
      <c r="E8126" s="25"/>
      <c r="F8126" s="25"/>
      <c r="G8126" s="28"/>
      <c r="H8126" s="32"/>
    </row>
    <row r="8127" spans="1:8" ht="15.6" x14ac:dyDescent="0.3">
      <c r="A8127" s="497" t="s">
        <v>97</v>
      </c>
      <c r="B8127" s="498"/>
      <c r="C8127" s="24"/>
      <c r="D8127" s="25"/>
      <c r="E8127" s="25"/>
      <c r="F8127" s="116" t="s">
        <v>46</v>
      </c>
      <c r="G8127" s="26"/>
      <c r="H8127" s="66">
        <v>45940</v>
      </c>
    </row>
    <row r="8128" spans="1:8" ht="15.6" x14ac:dyDescent="0.3">
      <c r="A8128" s="497" t="s">
        <v>1433</v>
      </c>
      <c r="B8128" s="498"/>
      <c r="C8128" s="498"/>
      <c r="D8128" s="498"/>
      <c r="E8128" s="67"/>
      <c r="F8128" s="116" t="s">
        <v>47</v>
      </c>
      <c r="G8128" s="26"/>
      <c r="H8128" s="66">
        <f>H8129</f>
        <v>4134.5999999999995</v>
      </c>
    </row>
    <row r="8129" spans="1:8" ht="15.6" x14ac:dyDescent="0.3">
      <c r="A8129" s="27"/>
      <c r="B8129" s="28"/>
      <c r="C8129" s="24"/>
      <c r="D8129" s="25"/>
      <c r="E8129" s="25"/>
      <c r="F8129" s="116" t="s">
        <v>48</v>
      </c>
      <c r="G8129" s="26"/>
      <c r="H8129" s="66">
        <f>H8127*9%</f>
        <v>4134.5999999999995</v>
      </c>
    </row>
    <row r="8130" spans="1:8" ht="15.6" x14ac:dyDescent="0.3">
      <c r="A8130" s="497" t="s">
        <v>49</v>
      </c>
      <c r="B8130" s="498"/>
      <c r="C8130" s="498"/>
      <c r="D8130" s="25"/>
      <c r="E8130" s="25"/>
      <c r="F8130" s="116" t="s">
        <v>50</v>
      </c>
      <c r="G8130" s="26"/>
      <c r="H8130" s="66">
        <v>54209</v>
      </c>
    </row>
    <row r="8131" spans="1:8" ht="27" x14ac:dyDescent="0.3">
      <c r="A8131" s="68" t="s">
        <v>22</v>
      </c>
      <c r="B8131" s="69" t="s">
        <v>51</v>
      </c>
      <c r="C8131" s="70" t="s">
        <v>24</v>
      </c>
      <c r="D8131" s="31" t="s">
        <v>25</v>
      </c>
      <c r="E8131" s="528" t="s">
        <v>52</v>
      </c>
      <c r="F8131" s="528"/>
      <c r="G8131" s="28"/>
      <c r="H8131" s="32"/>
    </row>
    <row r="8132" spans="1:8" x14ac:dyDescent="0.3">
      <c r="A8132" s="72">
        <v>0.18</v>
      </c>
      <c r="B8132" s="73">
        <f>H8127</f>
        <v>45940</v>
      </c>
      <c r="C8132" s="74">
        <f>H8128</f>
        <v>4134.5999999999995</v>
      </c>
      <c r="D8132" s="74">
        <f>H8129</f>
        <v>4134.5999999999995</v>
      </c>
      <c r="E8132" s="507">
        <f>C8132+D8132</f>
        <v>8269.1999999999989</v>
      </c>
      <c r="F8132" s="507"/>
      <c r="G8132" s="74"/>
      <c r="H8132" s="75"/>
    </row>
    <row r="8133" spans="1:8" x14ac:dyDescent="0.3">
      <c r="A8133" s="452" t="s">
        <v>1434</v>
      </c>
      <c r="B8133" s="453"/>
      <c r="C8133" s="453"/>
      <c r="D8133" s="453"/>
      <c r="E8133" s="453"/>
      <c r="F8133" s="78"/>
      <c r="G8133" s="36"/>
      <c r="H8133" s="79"/>
    </row>
    <row r="8134" spans="1:8" ht="15.6" x14ac:dyDescent="0.3">
      <c r="A8134" s="455" t="s">
        <v>53</v>
      </c>
      <c r="B8134" s="456"/>
      <c r="C8134" s="456"/>
      <c r="D8134" s="117"/>
      <c r="E8134" s="118" t="s">
        <v>54</v>
      </c>
      <c r="F8134" s="37"/>
      <c r="G8134" s="37"/>
      <c r="H8134" s="38"/>
    </row>
    <row r="8135" spans="1:8" x14ac:dyDescent="0.3">
      <c r="A8135" s="100" t="s">
        <v>55</v>
      </c>
      <c r="B8135" s="101"/>
      <c r="C8135" s="101"/>
      <c r="D8135" s="102"/>
      <c r="E8135" s="25"/>
      <c r="F8135" s="25"/>
      <c r="G8135" s="28"/>
      <c r="H8135" s="32"/>
    </row>
    <row r="8136" spans="1:8" x14ac:dyDescent="0.3">
      <c r="A8136" s="461" t="s">
        <v>56</v>
      </c>
      <c r="B8136" s="462"/>
      <c r="C8136" s="462"/>
      <c r="D8136" s="463"/>
      <c r="E8136" s="25"/>
      <c r="F8136" s="25"/>
      <c r="G8136" s="28"/>
      <c r="H8136" s="32"/>
    </row>
    <row r="8137" spans="1:8" x14ac:dyDescent="0.3">
      <c r="A8137" s="461" t="s">
        <v>57</v>
      </c>
      <c r="B8137" s="462"/>
      <c r="C8137" s="462"/>
      <c r="D8137" s="463"/>
      <c r="E8137" s="25"/>
      <c r="F8137" s="25"/>
      <c r="G8137" s="28"/>
      <c r="H8137" s="32"/>
    </row>
    <row r="8138" spans="1:8" ht="15.6" x14ac:dyDescent="0.3">
      <c r="A8138" s="464" t="s">
        <v>58</v>
      </c>
      <c r="B8138" s="465"/>
      <c r="C8138" s="465"/>
      <c r="D8138" s="510"/>
      <c r="E8138" s="466" t="s">
        <v>59</v>
      </c>
      <c r="F8138" s="467"/>
      <c r="G8138" s="467"/>
      <c r="H8138" s="468"/>
    </row>
    <row r="8141" spans="1:8" ht="44.4" x14ac:dyDescent="0.7">
      <c r="A8141" s="469" t="s">
        <v>0</v>
      </c>
      <c r="B8141" s="470"/>
      <c r="C8141" s="470"/>
      <c r="D8141" s="470"/>
      <c r="E8141" s="531" t="s">
        <v>92</v>
      </c>
      <c r="F8141" s="531"/>
      <c r="G8141" s="531"/>
      <c r="H8141" s="532"/>
    </row>
    <row r="8142" spans="1:8" ht="20.399999999999999" x14ac:dyDescent="0.35">
      <c r="A8142" s="1"/>
      <c r="B8142" s="535" t="s">
        <v>2</v>
      </c>
      <c r="C8142" s="535"/>
      <c r="D8142" s="535"/>
      <c r="E8142" s="533"/>
      <c r="F8142" s="533"/>
      <c r="G8142" s="533"/>
      <c r="H8142" s="534"/>
    </row>
    <row r="8143" spans="1:8" x14ac:dyDescent="0.3">
      <c r="A8143" s="477" t="s">
        <v>3</v>
      </c>
      <c r="B8143" s="478"/>
      <c r="C8143" s="479" t="s">
        <v>4</v>
      </c>
      <c r="D8143" s="479"/>
      <c r="E8143" s="480" t="s">
        <v>5</v>
      </c>
      <c r="F8143" s="480"/>
      <c r="G8143" s="480"/>
      <c r="H8143" s="480"/>
    </row>
    <row r="8144" spans="1:8" ht="15.6" x14ac:dyDescent="0.3">
      <c r="A8144" s="4" t="s">
        <v>6</v>
      </c>
      <c r="B8144" s="5"/>
      <c r="C8144" s="536" t="s">
        <v>7</v>
      </c>
      <c r="D8144" s="516"/>
      <c r="E8144" s="489">
        <v>177</v>
      </c>
      <c r="F8144" s="491"/>
      <c r="G8144" s="44" t="s">
        <v>8</v>
      </c>
      <c r="H8144" s="109" t="s">
        <v>1430</v>
      </c>
    </row>
    <row r="8145" spans="1:8" ht="15.6" x14ac:dyDescent="0.3">
      <c r="A8145" s="121" t="s">
        <v>103</v>
      </c>
      <c r="B8145" s="107"/>
      <c r="C8145" s="536" t="s">
        <v>10</v>
      </c>
      <c r="D8145" s="516"/>
      <c r="E8145" s="489"/>
      <c r="F8145" s="491"/>
      <c r="G8145" s="44" t="s">
        <v>8</v>
      </c>
      <c r="H8145" s="122"/>
    </row>
    <row r="8146" spans="1:8" ht="15" x14ac:dyDescent="0.3">
      <c r="A8146" s="108" t="s">
        <v>104</v>
      </c>
      <c r="B8146" s="106"/>
      <c r="C8146" s="483" t="s">
        <v>12</v>
      </c>
      <c r="D8146" s="484"/>
      <c r="E8146" s="613" t="s">
        <v>1437</v>
      </c>
      <c r="F8146" s="614"/>
      <c r="G8146" s="48" t="s">
        <v>8</v>
      </c>
      <c r="H8146" s="109" t="s">
        <v>1436</v>
      </c>
    </row>
    <row r="8147" spans="1:8" ht="15.6" x14ac:dyDescent="0.3">
      <c r="A8147" s="108" t="s">
        <v>105</v>
      </c>
      <c r="B8147" s="106"/>
      <c r="C8147" s="536" t="s">
        <v>15</v>
      </c>
      <c r="D8147" s="516"/>
      <c r="E8147" s="110" t="s">
        <v>106</v>
      </c>
      <c r="F8147" s="111"/>
      <c r="G8147" s="112"/>
      <c r="H8147" s="49"/>
    </row>
    <row r="8148" spans="1:8" ht="15.6" x14ac:dyDescent="0.3">
      <c r="A8148" s="539" t="s">
        <v>107</v>
      </c>
      <c r="B8148" s="540"/>
      <c r="C8148" s="24"/>
      <c r="D8148" s="25"/>
      <c r="E8148" s="50"/>
      <c r="F8148" s="50"/>
      <c r="G8148" s="51"/>
      <c r="H8148" s="52"/>
    </row>
    <row r="8149" spans="1:8" ht="15" x14ac:dyDescent="0.3">
      <c r="A8149" s="493" t="s">
        <v>17</v>
      </c>
      <c r="B8149" s="495" t="s">
        <v>18</v>
      </c>
      <c r="C8149" s="495" t="s">
        <v>19</v>
      </c>
      <c r="D8149" s="495" t="s">
        <v>20</v>
      </c>
      <c r="E8149" s="495" t="s">
        <v>21</v>
      </c>
      <c r="F8149" s="541" t="s">
        <v>22</v>
      </c>
      <c r="G8149" s="542"/>
      <c r="H8149" s="493" t="s">
        <v>23</v>
      </c>
    </row>
    <row r="8150" spans="1:8" ht="27.6" x14ac:dyDescent="0.3">
      <c r="A8150" s="527"/>
      <c r="B8150" s="505"/>
      <c r="C8150" s="505"/>
      <c r="D8150" s="505"/>
      <c r="E8150" s="505"/>
      <c r="F8150" s="53" t="s">
        <v>24</v>
      </c>
      <c r="G8150" s="53" t="s">
        <v>25</v>
      </c>
      <c r="H8150" s="527"/>
    </row>
    <row r="8151" spans="1:8" x14ac:dyDescent="0.3">
      <c r="A8151" s="56">
        <v>1</v>
      </c>
      <c r="B8151" s="113" t="s">
        <v>1438</v>
      </c>
      <c r="C8151" s="114">
        <v>1</v>
      </c>
      <c r="D8151" s="17">
        <v>998719</v>
      </c>
      <c r="E8151" s="56">
        <v>15000</v>
      </c>
      <c r="F8151" s="56">
        <f>E8151*C8151*9%</f>
        <v>1350</v>
      </c>
      <c r="G8151" s="56">
        <f>F8151</f>
        <v>1350</v>
      </c>
      <c r="H8151" s="55">
        <f>G8151+F8151+E8151*C8151</f>
        <v>17700</v>
      </c>
    </row>
    <row r="8152" spans="1:8" x14ac:dyDescent="0.3">
      <c r="A8152" s="56"/>
      <c r="B8152" s="113"/>
      <c r="C8152" s="114"/>
      <c r="D8152" s="56"/>
      <c r="E8152" s="56"/>
      <c r="F8152" s="56"/>
      <c r="G8152" s="56"/>
      <c r="H8152" s="55"/>
    </row>
    <row r="8153" spans="1:8" x14ac:dyDescent="0.3">
      <c r="A8153" s="55"/>
      <c r="B8153" s="113"/>
      <c r="C8153" s="55"/>
      <c r="D8153" s="47"/>
      <c r="E8153" s="47"/>
      <c r="F8153" s="56"/>
      <c r="G8153" s="56"/>
      <c r="H8153" s="47"/>
    </row>
    <row r="8154" spans="1:8" x14ac:dyDescent="0.3">
      <c r="A8154" s="55"/>
      <c r="B8154" s="94"/>
      <c r="C8154" s="55"/>
      <c r="D8154" s="47"/>
      <c r="E8154" s="47"/>
      <c r="F8154" s="115"/>
      <c r="G8154" s="115"/>
      <c r="H8154" s="47"/>
    </row>
    <row r="8155" spans="1:8" x14ac:dyDescent="0.3">
      <c r="A8155" s="27"/>
      <c r="B8155" s="28"/>
      <c r="C8155" s="24"/>
      <c r="D8155" s="25"/>
      <c r="E8155" s="25"/>
      <c r="F8155" s="25"/>
      <c r="G8155" s="28"/>
      <c r="H8155" s="32"/>
    </row>
    <row r="8156" spans="1:8" x14ac:dyDescent="0.3">
      <c r="A8156" s="27"/>
      <c r="B8156" s="28"/>
      <c r="C8156" s="24"/>
      <c r="D8156" s="25"/>
      <c r="E8156" s="25"/>
      <c r="F8156" s="25"/>
      <c r="G8156" s="28"/>
      <c r="H8156" s="32"/>
    </row>
    <row r="8157" spans="1:8" x14ac:dyDescent="0.3">
      <c r="A8157" s="27"/>
      <c r="B8157" s="28"/>
      <c r="C8157" s="24"/>
      <c r="D8157" s="25"/>
      <c r="E8157" s="25"/>
      <c r="F8157" s="25"/>
      <c r="G8157" s="28"/>
      <c r="H8157" s="32"/>
    </row>
    <row r="8158" spans="1:8" x14ac:dyDescent="0.3">
      <c r="A8158" s="27"/>
      <c r="B8158" s="28"/>
      <c r="C8158" s="24"/>
      <c r="D8158" s="25"/>
      <c r="E8158" s="25"/>
      <c r="F8158" s="25"/>
      <c r="G8158" s="28"/>
      <c r="H8158" s="32"/>
    </row>
    <row r="8159" spans="1:8" x14ac:dyDescent="0.3">
      <c r="A8159" s="27"/>
      <c r="B8159" s="28"/>
      <c r="C8159" s="24"/>
      <c r="D8159" s="25"/>
      <c r="E8159" s="25"/>
      <c r="F8159" s="25"/>
      <c r="G8159" s="28"/>
      <c r="H8159" s="32"/>
    </row>
    <row r="8160" spans="1:8" x14ac:dyDescent="0.3">
      <c r="A8160" s="27"/>
      <c r="B8160" s="28"/>
      <c r="C8160" s="24"/>
      <c r="D8160" s="25"/>
      <c r="E8160" s="25"/>
      <c r="F8160" s="25"/>
      <c r="G8160" s="28"/>
      <c r="H8160" s="32"/>
    </row>
    <row r="8161" spans="1:8" x14ac:dyDescent="0.3">
      <c r="A8161" s="27"/>
      <c r="B8161" s="28"/>
      <c r="C8161" s="24"/>
      <c r="D8161" s="25"/>
      <c r="E8161" s="25"/>
      <c r="F8161" s="25"/>
      <c r="G8161" s="28"/>
      <c r="H8161" s="32"/>
    </row>
    <row r="8162" spans="1:8" x14ac:dyDescent="0.3">
      <c r="A8162" s="27"/>
      <c r="B8162" s="28"/>
      <c r="C8162" s="24"/>
      <c r="D8162" s="25"/>
      <c r="E8162" s="25"/>
      <c r="F8162" s="25"/>
      <c r="G8162" s="28"/>
      <c r="H8162" s="32"/>
    </row>
    <row r="8163" spans="1:8" x14ac:dyDescent="0.3">
      <c r="A8163" s="27"/>
      <c r="B8163" s="28"/>
      <c r="C8163" s="24"/>
      <c r="D8163" s="25"/>
      <c r="E8163" s="25"/>
      <c r="F8163" s="25"/>
      <c r="G8163" s="28"/>
      <c r="H8163" s="32"/>
    </row>
    <row r="8164" spans="1:8" x14ac:dyDescent="0.3">
      <c r="A8164" s="27"/>
      <c r="B8164" s="28"/>
      <c r="C8164" s="24"/>
      <c r="D8164" s="25"/>
      <c r="E8164" s="25"/>
      <c r="F8164" s="25"/>
      <c r="G8164" s="28"/>
      <c r="H8164" s="32"/>
    </row>
    <row r="8165" spans="1:8" x14ac:dyDescent="0.3">
      <c r="A8165" s="27"/>
      <c r="B8165" s="28"/>
      <c r="C8165" s="24"/>
      <c r="D8165" s="25"/>
      <c r="E8165" s="25"/>
      <c r="F8165" s="25"/>
      <c r="G8165" s="28"/>
      <c r="H8165" s="32"/>
    </row>
    <row r="8166" spans="1:8" x14ac:dyDescent="0.3">
      <c r="A8166" s="27"/>
      <c r="B8166" s="28"/>
      <c r="C8166" s="24"/>
      <c r="D8166" s="25"/>
      <c r="E8166" s="25"/>
      <c r="F8166" s="25"/>
      <c r="G8166" s="28"/>
      <c r="H8166" s="32"/>
    </row>
    <row r="8167" spans="1:8" x14ac:dyDescent="0.3">
      <c r="A8167" s="27"/>
      <c r="B8167" s="28"/>
      <c r="C8167" s="24"/>
      <c r="D8167" s="25"/>
      <c r="E8167" s="25"/>
      <c r="F8167" s="25"/>
      <c r="G8167" s="28"/>
      <c r="H8167" s="32"/>
    </row>
    <row r="8168" spans="1:8" x14ac:dyDescent="0.3">
      <c r="A8168" s="27"/>
      <c r="B8168" s="28"/>
      <c r="C8168" s="24"/>
      <c r="D8168" s="25"/>
      <c r="E8168" s="25"/>
      <c r="F8168" s="25"/>
      <c r="G8168" s="28"/>
      <c r="H8168" s="32"/>
    </row>
    <row r="8169" spans="1:8" x14ac:dyDescent="0.3">
      <c r="A8169" s="27"/>
      <c r="B8169" s="28"/>
      <c r="C8169" s="24"/>
      <c r="D8169" s="25"/>
      <c r="E8169" s="25"/>
      <c r="F8169" s="25"/>
      <c r="G8169" s="28"/>
      <c r="H8169" s="32"/>
    </row>
    <row r="8170" spans="1:8" x14ac:dyDescent="0.3">
      <c r="A8170" s="27"/>
      <c r="B8170" s="28"/>
      <c r="C8170" s="24"/>
      <c r="D8170" s="25"/>
      <c r="E8170" s="25"/>
      <c r="F8170" s="25"/>
      <c r="G8170" s="28"/>
      <c r="H8170" s="32"/>
    </row>
    <row r="8171" spans="1:8" x14ac:dyDescent="0.3">
      <c r="A8171" s="27"/>
      <c r="B8171" s="28"/>
      <c r="C8171" s="24"/>
      <c r="D8171" s="25"/>
      <c r="E8171" s="25"/>
      <c r="F8171" s="25"/>
      <c r="G8171" s="28"/>
      <c r="H8171" s="32"/>
    </row>
    <row r="8172" spans="1:8" x14ac:dyDescent="0.3">
      <c r="A8172" s="27"/>
      <c r="B8172" s="28"/>
      <c r="C8172" s="24"/>
      <c r="D8172" s="25"/>
      <c r="E8172" s="25"/>
      <c r="F8172" s="25"/>
      <c r="G8172" s="28"/>
      <c r="H8172" s="32"/>
    </row>
    <row r="8173" spans="1:8" x14ac:dyDescent="0.3">
      <c r="A8173" s="27"/>
      <c r="B8173" s="28"/>
      <c r="C8173" s="24"/>
      <c r="D8173" s="25"/>
      <c r="E8173" s="25"/>
      <c r="F8173" s="25"/>
      <c r="G8173" s="28"/>
      <c r="H8173" s="32"/>
    </row>
    <row r="8174" spans="1:8" ht="15.6" x14ac:dyDescent="0.3">
      <c r="A8174" s="497" t="s">
        <v>97</v>
      </c>
      <c r="B8174" s="498"/>
      <c r="C8174" s="24"/>
      <c r="D8174" s="25"/>
      <c r="E8174" s="25"/>
      <c r="F8174" s="116" t="s">
        <v>46</v>
      </c>
      <c r="G8174" s="26"/>
      <c r="H8174" s="66">
        <v>15000</v>
      </c>
    </row>
    <row r="8175" spans="1:8" ht="15.6" x14ac:dyDescent="0.3">
      <c r="A8175" s="497" t="s">
        <v>1439</v>
      </c>
      <c r="B8175" s="498"/>
      <c r="C8175" s="498"/>
      <c r="D8175" s="498"/>
      <c r="E8175" s="67"/>
      <c r="F8175" s="116" t="s">
        <v>47</v>
      </c>
      <c r="G8175" s="26"/>
      <c r="H8175" s="66">
        <f>H8176</f>
        <v>1350</v>
      </c>
    </row>
    <row r="8176" spans="1:8" ht="15.6" x14ac:dyDescent="0.3">
      <c r="A8176" s="27"/>
      <c r="B8176" s="28"/>
      <c r="C8176" s="24"/>
      <c r="D8176" s="25"/>
      <c r="E8176" s="25"/>
      <c r="F8176" s="116" t="s">
        <v>48</v>
      </c>
      <c r="G8176" s="26"/>
      <c r="H8176" s="66">
        <f>H8174*9%</f>
        <v>1350</v>
      </c>
    </row>
    <row r="8177" spans="1:8" ht="15.6" x14ac:dyDescent="0.3">
      <c r="A8177" s="497" t="s">
        <v>49</v>
      </c>
      <c r="B8177" s="498"/>
      <c r="C8177" s="498"/>
      <c r="D8177" s="25"/>
      <c r="E8177" s="25"/>
      <c r="F8177" s="116" t="s">
        <v>50</v>
      </c>
      <c r="G8177" s="26"/>
      <c r="H8177" s="66">
        <v>17700</v>
      </c>
    </row>
    <row r="8178" spans="1:8" ht="27" x14ac:dyDescent="0.3">
      <c r="A8178" s="68" t="s">
        <v>22</v>
      </c>
      <c r="B8178" s="69" t="s">
        <v>51</v>
      </c>
      <c r="C8178" s="70" t="s">
        <v>24</v>
      </c>
      <c r="D8178" s="31" t="s">
        <v>25</v>
      </c>
      <c r="E8178" s="528" t="s">
        <v>52</v>
      </c>
      <c r="F8178" s="528"/>
      <c r="G8178" s="28"/>
      <c r="H8178" s="32"/>
    </row>
    <row r="8179" spans="1:8" x14ac:dyDescent="0.3">
      <c r="A8179" s="72">
        <v>0.18</v>
      </c>
      <c r="B8179" s="73">
        <f>H8174</f>
        <v>15000</v>
      </c>
      <c r="C8179" s="74">
        <f>H8175</f>
        <v>1350</v>
      </c>
      <c r="D8179" s="74">
        <f>H8176</f>
        <v>1350</v>
      </c>
      <c r="E8179" s="507">
        <f>C8179+D8179</f>
        <v>2700</v>
      </c>
      <c r="F8179" s="507"/>
      <c r="G8179" s="74"/>
      <c r="H8179" s="75"/>
    </row>
    <row r="8180" spans="1:8" x14ac:dyDescent="0.3">
      <c r="A8180" s="452" t="s">
        <v>1440</v>
      </c>
      <c r="B8180" s="453"/>
      <c r="C8180" s="453"/>
      <c r="D8180" s="453"/>
      <c r="E8180" s="453"/>
      <c r="F8180" s="78"/>
      <c r="G8180" s="36"/>
      <c r="H8180" s="79"/>
    </row>
    <row r="8181" spans="1:8" ht="15.6" x14ac:dyDescent="0.3">
      <c r="A8181" s="455" t="s">
        <v>53</v>
      </c>
      <c r="B8181" s="456"/>
      <c r="C8181" s="456"/>
      <c r="D8181" s="117"/>
      <c r="E8181" s="118" t="s">
        <v>54</v>
      </c>
      <c r="F8181" s="37"/>
      <c r="G8181" s="37"/>
      <c r="H8181" s="38"/>
    </row>
    <row r="8182" spans="1:8" x14ac:dyDescent="0.3">
      <c r="A8182" s="100" t="s">
        <v>55</v>
      </c>
      <c r="B8182" s="101"/>
      <c r="C8182" s="101"/>
      <c r="D8182" s="102"/>
      <c r="E8182" s="25"/>
      <c r="F8182" s="25"/>
      <c r="G8182" s="28"/>
      <c r="H8182" s="32"/>
    </row>
    <row r="8183" spans="1:8" x14ac:dyDescent="0.3">
      <c r="A8183" s="461" t="s">
        <v>56</v>
      </c>
      <c r="B8183" s="462"/>
      <c r="C8183" s="462"/>
      <c r="D8183" s="463"/>
      <c r="E8183" s="25"/>
      <c r="F8183" s="25"/>
      <c r="G8183" s="28"/>
      <c r="H8183" s="32"/>
    </row>
    <row r="8184" spans="1:8" x14ac:dyDescent="0.3">
      <c r="A8184" s="461" t="s">
        <v>57</v>
      </c>
      <c r="B8184" s="462"/>
      <c r="C8184" s="462"/>
      <c r="D8184" s="463"/>
      <c r="E8184" s="25"/>
      <c r="F8184" s="25"/>
      <c r="G8184" s="28"/>
      <c r="H8184" s="32"/>
    </row>
    <row r="8185" spans="1:8" ht="15.6" x14ac:dyDescent="0.3">
      <c r="A8185" s="464" t="s">
        <v>58</v>
      </c>
      <c r="B8185" s="465"/>
      <c r="C8185" s="465"/>
      <c r="D8185" s="510"/>
      <c r="E8185" s="466" t="s">
        <v>59</v>
      </c>
      <c r="F8185" s="467"/>
      <c r="G8185" s="467"/>
      <c r="H8185" s="468"/>
    </row>
    <row r="8188" spans="1:8" ht="44.4" x14ac:dyDescent="0.7">
      <c r="A8188" s="469" t="s">
        <v>0</v>
      </c>
      <c r="B8188" s="470"/>
      <c r="C8188" s="470"/>
      <c r="D8188" s="470"/>
      <c r="E8188" s="531" t="s">
        <v>1</v>
      </c>
      <c r="F8188" s="544"/>
      <c r="G8188" s="544"/>
      <c r="H8188" s="545"/>
    </row>
    <row r="8189" spans="1:8" ht="20.399999999999999" x14ac:dyDescent="0.35">
      <c r="A8189" s="388"/>
      <c r="B8189" s="645" t="s">
        <v>2</v>
      </c>
      <c r="C8189" s="645"/>
      <c r="D8189" s="645"/>
      <c r="E8189" s="643"/>
      <c r="F8189" s="643"/>
      <c r="G8189" s="643"/>
      <c r="H8189" s="644"/>
    </row>
    <row r="8190" spans="1:8" x14ac:dyDescent="0.3">
      <c r="A8190" s="724" t="s">
        <v>3</v>
      </c>
      <c r="B8190" s="575"/>
      <c r="C8190" s="575"/>
      <c r="D8190" s="499" t="s">
        <v>4</v>
      </c>
      <c r="E8190" s="499"/>
      <c r="F8190" s="235"/>
      <c r="G8190" s="725" t="s">
        <v>567</v>
      </c>
      <c r="H8190" s="726"/>
    </row>
    <row r="8191" spans="1:8" ht="15.6" x14ac:dyDescent="0.3">
      <c r="A8191" s="389" t="s">
        <v>6</v>
      </c>
      <c r="B8191" s="5"/>
      <c r="C8191" s="481" t="s">
        <v>7</v>
      </c>
      <c r="D8191" s="481"/>
      <c r="E8191" s="482">
        <v>178</v>
      </c>
      <c r="F8191" s="482"/>
      <c r="G8191" s="44" t="s">
        <v>8</v>
      </c>
      <c r="H8191" s="283" t="s">
        <v>1446</v>
      </c>
    </row>
    <row r="8192" spans="1:8" ht="15.6" x14ac:dyDescent="0.3">
      <c r="A8192" s="556" t="s">
        <v>1441</v>
      </c>
      <c r="B8192" s="557"/>
      <c r="C8192" s="481" t="s">
        <v>10</v>
      </c>
      <c r="D8192" s="481"/>
      <c r="E8192" s="482"/>
      <c r="F8192" s="482"/>
      <c r="G8192" s="44" t="s">
        <v>8</v>
      </c>
      <c r="H8192" s="390"/>
    </row>
    <row r="8193" spans="1:8" ht="15" x14ac:dyDescent="0.3">
      <c r="A8193" s="747" t="s">
        <v>1442</v>
      </c>
      <c r="B8193" s="748"/>
      <c r="C8193" s="519" t="s">
        <v>12</v>
      </c>
      <c r="D8193" s="519"/>
      <c r="E8193" s="727"/>
      <c r="F8193" s="728"/>
      <c r="G8193" s="48" t="s">
        <v>8</v>
      </c>
      <c r="H8193" s="11"/>
    </row>
    <row r="8194" spans="1:8" ht="15.6" x14ac:dyDescent="0.3">
      <c r="A8194" s="747" t="s">
        <v>1443</v>
      </c>
      <c r="B8194" s="748"/>
      <c r="C8194" s="481" t="s">
        <v>15</v>
      </c>
      <c r="D8194" s="481"/>
      <c r="E8194" s="631" t="s">
        <v>1444</v>
      </c>
      <c r="F8194" s="632"/>
      <c r="G8194" s="633"/>
      <c r="H8194" s="49"/>
    </row>
    <row r="8195" spans="1:8" ht="15.6" x14ac:dyDescent="0.3">
      <c r="A8195" s="634" t="s">
        <v>1445</v>
      </c>
      <c r="B8195" s="635"/>
      <c r="C8195" s="24"/>
      <c r="D8195" s="25"/>
      <c r="E8195" s="50"/>
      <c r="F8195" s="50"/>
      <c r="G8195" s="51"/>
      <c r="H8195" s="52"/>
    </row>
    <row r="8196" spans="1:8" ht="15" x14ac:dyDescent="0.3">
      <c r="A8196" s="636" t="s">
        <v>17</v>
      </c>
      <c r="B8196" s="637" t="s">
        <v>18</v>
      </c>
      <c r="C8196" s="637" t="s">
        <v>19</v>
      </c>
      <c r="D8196" s="637" t="s">
        <v>20</v>
      </c>
      <c r="E8196" s="637" t="s">
        <v>21</v>
      </c>
      <c r="F8196" s="637" t="s">
        <v>22</v>
      </c>
      <c r="G8196" s="637"/>
      <c r="H8196" s="636" t="s">
        <v>23</v>
      </c>
    </row>
    <row r="8197" spans="1:8" ht="27.6" x14ac:dyDescent="0.3">
      <c r="A8197" s="636"/>
      <c r="B8197" s="637"/>
      <c r="C8197" s="637"/>
      <c r="D8197" s="637"/>
      <c r="E8197" s="637"/>
      <c r="F8197" s="391" t="s">
        <v>24</v>
      </c>
      <c r="G8197" s="391" t="s">
        <v>25</v>
      </c>
      <c r="H8197" s="636"/>
    </row>
    <row r="8198" spans="1:8" x14ac:dyDescent="0.3">
      <c r="A8198" s="57">
        <v>1</v>
      </c>
      <c r="B8198" s="60" t="s">
        <v>1447</v>
      </c>
      <c r="C8198" s="57">
        <v>1</v>
      </c>
      <c r="D8198" s="56">
        <v>853690</v>
      </c>
      <c r="E8198" s="57">
        <v>2150</v>
      </c>
      <c r="F8198" s="56">
        <f>E8198*9%*C8198</f>
        <v>193.5</v>
      </c>
      <c r="G8198" s="56">
        <f>E8198*C8198*9%</f>
        <v>193.5</v>
      </c>
      <c r="H8198" s="57">
        <f>G8198+F8198+E8198*C8198</f>
        <v>2537</v>
      </c>
    </row>
    <row r="8199" spans="1:8" x14ac:dyDescent="0.3">
      <c r="A8199" s="55"/>
      <c r="B8199" s="60"/>
      <c r="C8199" s="55"/>
      <c r="D8199" s="61"/>
      <c r="E8199" s="57"/>
      <c r="F8199" s="56"/>
      <c r="G8199" s="56"/>
      <c r="H8199" s="57"/>
    </row>
    <row r="8200" spans="1:8" x14ac:dyDescent="0.3">
      <c r="A8200" s="55"/>
      <c r="B8200" s="60"/>
      <c r="C8200" s="55"/>
      <c r="D8200" s="61"/>
      <c r="E8200" s="57"/>
      <c r="F8200" s="56"/>
      <c r="G8200" s="56"/>
      <c r="H8200" s="57"/>
    </row>
    <row r="8201" spans="1:8" x14ac:dyDescent="0.3">
      <c r="A8201" s="55"/>
      <c r="B8201" s="60"/>
      <c r="C8201" s="55"/>
      <c r="D8201" s="61"/>
      <c r="E8201" s="55"/>
      <c r="F8201" s="61"/>
      <c r="G8201" s="61"/>
      <c r="H8201" s="55"/>
    </row>
    <row r="8202" spans="1:8" x14ac:dyDescent="0.3">
      <c r="A8202" s="27"/>
      <c r="B8202" s="174"/>
      <c r="C8202" s="24"/>
      <c r="D8202" s="164"/>
      <c r="E8202" s="24"/>
      <c r="F8202" s="164"/>
      <c r="G8202" s="164"/>
      <c r="H8202" s="281"/>
    </row>
    <row r="8203" spans="1:8" x14ac:dyDescent="0.3">
      <c r="A8203" s="27"/>
      <c r="B8203" s="174"/>
      <c r="C8203" s="24"/>
      <c r="D8203" s="164"/>
      <c r="E8203" s="24"/>
      <c r="F8203" s="164"/>
      <c r="G8203" s="164"/>
      <c r="H8203" s="281"/>
    </row>
    <row r="8204" spans="1:8" x14ac:dyDescent="0.3">
      <c r="A8204" s="27"/>
      <c r="B8204" s="174"/>
      <c r="C8204" s="24"/>
      <c r="D8204" s="164"/>
      <c r="E8204" s="24"/>
      <c r="F8204" s="164"/>
      <c r="G8204" s="164"/>
      <c r="H8204" s="281"/>
    </row>
    <row r="8205" spans="1:8" x14ac:dyDescent="0.3">
      <c r="A8205" s="27"/>
      <c r="B8205" s="174"/>
      <c r="C8205" s="24"/>
      <c r="D8205" s="164"/>
      <c r="E8205" s="24"/>
      <c r="F8205" s="164"/>
      <c r="G8205" s="164"/>
      <c r="H8205" s="281"/>
    </row>
    <row r="8206" spans="1:8" x14ac:dyDescent="0.3">
      <c r="A8206" s="27"/>
      <c r="B8206" s="174"/>
      <c r="C8206" s="24"/>
      <c r="D8206" s="164"/>
      <c r="E8206" s="24"/>
      <c r="F8206" s="164"/>
      <c r="G8206" s="164"/>
      <c r="H8206" s="281"/>
    </row>
    <row r="8207" spans="1:8" x14ac:dyDescent="0.3">
      <c r="A8207" s="27"/>
      <c r="B8207" s="174"/>
      <c r="C8207" s="24"/>
      <c r="D8207" s="164"/>
      <c r="E8207" s="24"/>
      <c r="F8207" s="164"/>
      <c r="G8207" s="164"/>
      <c r="H8207" s="281"/>
    </row>
    <row r="8208" spans="1:8" x14ac:dyDescent="0.3">
      <c r="A8208" s="27"/>
      <c r="B8208" s="174"/>
      <c r="C8208" s="24"/>
      <c r="D8208" s="164"/>
      <c r="E8208" s="24"/>
      <c r="F8208" s="164"/>
      <c r="G8208" s="164"/>
      <c r="H8208" s="281"/>
    </row>
    <row r="8209" spans="1:8" x14ac:dyDescent="0.3">
      <c r="A8209" s="90"/>
      <c r="B8209" s="226"/>
      <c r="C8209" s="244"/>
      <c r="D8209" s="67"/>
      <c r="E8209" s="67"/>
      <c r="F8209" s="392"/>
      <c r="G8209" s="392"/>
      <c r="H8209" s="393"/>
    </row>
    <row r="8210" spans="1:8" x14ac:dyDescent="0.3">
      <c r="A8210" s="90"/>
      <c r="B8210" s="226"/>
      <c r="C8210" s="244"/>
      <c r="D8210" s="67"/>
      <c r="E8210" s="67"/>
      <c r="F8210" s="67"/>
      <c r="G8210" s="226"/>
      <c r="H8210" s="393"/>
    </row>
    <row r="8211" spans="1:8" x14ac:dyDescent="0.3">
      <c r="A8211" s="90"/>
      <c r="B8211" s="226"/>
      <c r="C8211" s="244"/>
      <c r="D8211" s="67"/>
      <c r="E8211" s="67"/>
      <c r="F8211" s="67"/>
      <c r="G8211" s="226"/>
      <c r="H8211" s="393"/>
    </row>
    <row r="8212" spans="1:8" x14ac:dyDescent="0.3">
      <c r="A8212" s="90"/>
      <c r="B8212" s="226"/>
      <c r="C8212" s="244"/>
      <c r="D8212" s="67"/>
      <c r="E8212" s="67"/>
      <c r="F8212" s="67"/>
      <c r="G8212" s="226"/>
      <c r="H8212" s="393"/>
    </row>
    <row r="8213" spans="1:8" x14ac:dyDescent="0.3">
      <c r="A8213" s="90"/>
      <c r="B8213" s="226"/>
      <c r="C8213" s="244"/>
      <c r="D8213" s="67"/>
      <c r="E8213" s="67"/>
      <c r="F8213" s="67"/>
      <c r="G8213" s="226"/>
      <c r="H8213" s="393"/>
    </row>
    <row r="8214" spans="1:8" x14ac:dyDescent="0.3">
      <c r="A8214" s="90"/>
      <c r="B8214" s="226"/>
      <c r="C8214" s="244"/>
      <c r="D8214" s="67"/>
      <c r="E8214" s="67"/>
      <c r="F8214" s="67"/>
      <c r="G8214" s="226"/>
      <c r="H8214" s="393"/>
    </row>
    <row r="8215" spans="1:8" x14ac:dyDescent="0.3">
      <c r="A8215" s="90"/>
      <c r="B8215" s="226"/>
      <c r="C8215" s="244"/>
      <c r="D8215" s="67"/>
      <c r="E8215" s="67"/>
      <c r="F8215" s="67"/>
      <c r="G8215" s="226"/>
      <c r="H8215" s="393"/>
    </row>
    <row r="8216" spans="1:8" x14ac:dyDescent="0.3">
      <c r="A8216" s="90"/>
      <c r="B8216" s="226"/>
      <c r="C8216" s="244"/>
      <c r="D8216" s="67"/>
      <c r="E8216" s="67"/>
      <c r="F8216" s="67"/>
      <c r="G8216" s="226"/>
      <c r="H8216" s="393"/>
    </row>
    <row r="8217" spans="1:8" x14ac:dyDescent="0.3">
      <c r="A8217" s="90"/>
      <c r="B8217" s="226"/>
      <c r="C8217" s="244"/>
      <c r="D8217" s="67"/>
      <c r="E8217" s="67"/>
      <c r="F8217" s="67"/>
      <c r="G8217" s="226"/>
      <c r="H8217" s="393"/>
    </row>
    <row r="8218" spans="1:8" x14ac:dyDescent="0.3">
      <c r="A8218" s="90"/>
      <c r="B8218" s="226"/>
      <c r="C8218" s="244"/>
      <c r="D8218" s="67"/>
      <c r="E8218" s="67"/>
      <c r="F8218" s="67"/>
      <c r="G8218" s="226"/>
      <c r="H8218" s="393"/>
    </row>
    <row r="8219" spans="1:8" x14ac:dyDescent="0.3">
      <c r="A8219" s="90"/>
      <c r="B8219" s="226"/>
      <c r="C8219" s="244"/>
      <c r="D8219" s="67"/>
      <c r="E8219" s="67"/>
      <c r="F8219" s="67"/>
      <c r="G8219" s="226"/>
      <c r="H8219" s="393"/>
    </row>
    <row r="8220" spans="1:8" x14ac:dyDescent="0.3">
      <c r="A8220" s="90"/>
      <c r="B8220" s="226"/>
      <c r="C8220" s="244"/>
      <c r="D8220" s="67"/>
      <c r="E8220" s="67"/>
      <c r="F8220" s="67"/>
      <c r="G8220" s="226"/>
      <c r="H8220" s="393"/>
    </row>
    <row r="8221" spans="1:8" ht="15.6" x14ac:dyDescent="0.3">
      <c r="A8221" s="497" t="s">
        <v>97</v>
      </c>
      <c r="B8221" s="498"/>
      <c r="C8221" s="244"/>
      <c r="D8221" s="67"/>
      <c r="E8221" s="67"/>
      <c r="F8221" s="116" t="s">
        <v>46</v>
      </c>
      <c r="G8221" s="26"/>
      <c r="H8221" s="66">
        <f>E8198*C8198+E8199*C8199+E8200*C8200+E8201*C8201*E8209*C8209</f>
        <v>2150</v>
      </c>
    </row>
    <row r="8222" spans="1:8" ht="15.6" x14ac:dyDescent="0.3">
      <c r="A8222" s="497" t="s">
        <v>1448</v>
      </c>
      <c r="B8222" s="498"/>
      <c r="C8222" s="498"/>
      <c r="D8222" s="498"/>
      <c r="E8222" s="67"/>
      <c r="F8222" s="116" t="s">
        <v>47</v>
      </c>
      <c r="G8222" s="26"/>
      <c r="H8222" s="66">
        <f>H8221*9%</f>
        <v>193.5</v>
      </c>
    </row>
    <row r="8223" spans="1:8" ht="15.6" x14ac:dyDescent="0.3">
      <c r="A8223" s="90"/>
      <c r="B8223" s="226"/>
      <c r="C8223" s="244"/>
      <c r="D8223" s="67"/>
      <c r="E8223" s="67"/>
      <c r="F8223" s="116" t="s">
        <v>48</v>
      </c>
      <c r="G8223" s="26"/>
      <c r="H8223" s="66">
        <f>H8222</f>
        <v>193.5</v>
      </c>
    </row>
    <row r="8224" spans="1:8" ht="15.6" x14ac:dyDescent="0.3">
      <c r="A8224" s="497" t="s">
        <v>49</v>
      </c>
      <c r="B8224" s="498"/>
      <c r="C8224" s="498"/>
      <c r="D8224" s="67"/>
      <c r="E8224" s="67"/>
      <c r="F8224" s="116" t="s">
        <v>50</v>
      </c>
      <c r="G8224" s="26"/>
      <c r="H8224" s="66">
        <f>H8221+H8222+H8223</f>
        <v>2537</v>
      </c>
    </row>
    <row r="8225" spans="1:80" ht="27" x14ac:dyDescent="0.3">
      <c r="A8225" s="68" t="s">
        <v>22</v>
      </c>
      <c r="B8225" s="30" t="s">
        <v>51</v>
      </c>
      <c r="C8225" s="70" t="s">
        <v>24</v>
      </c>
      <c r="D8225" s="31" t="s">
        <v>25</v>
      </c>
      <c r="E8225" s="543" t="s">
        <v>52</v>
      </c>
      <c r="F8225" s="543"/>
      <c r="G8225" s="226"/>
      <c r="H8225" s="393"/>
    </row>
    <row r="8226" spans="1:80" x14ac:dyDescent="0.3">
      <c r="A8226" s="96">
        <v>0.18</v>
      </c>
      <c r="B8226" s="73">
        <f>H8221</f>
        <v>2150</v>
      </c>
      <c r="C8226" s="74">
        <f>H8222</f>
        <v>193.5</v>
      </c>
      <c r="D8226" s="74">
        <f>H8223</f>
        <v>193.5</v>
      </c>
      <c r="E8226" s="507">
        <f>C8226+D8226</f>
        <v>387</v>
      </c>
      <c r="F8226" s="507"/>
      <c r="G8226" s="74"/>
      <c r="H8226" s="75"/>
    </row>
    <row r="8227" spans="1:80" x14ac:dyDescent="0.3">
      <c r="A8227" s="452" t="s">
        <v>1449</v>
      </c>
      <c r="B8227" s="453"/>
      <c r="C8227" s="453"/>
      <c r="D8227" s="453"/>
      <c r="E8227" s="453"/>
      <c r="F8227" s="78"/>
      <c r="G8227" s="36"/>
      <c r="H8227" s="79"/>
    </row>
    <row r="8228" spans="1:80" ht="15.6" x14ac:dyDescent="0.3">
      <c r="A8228" s="455" t="s">
        <v>53</v>
      </c>
      <c r="B8228" s="456"/>
      <c r="C8228" s="456"/>
      <c r="D8228" s="457"/>
      <c r="E8228" s="458" t="s">
        <v>54</v>
      </c>
      <c r="F8228" s="459"/>
      <c r="G8228" s="459"/>
      <c r="H8228" s="460"/>
    </row>
    <row r="8229" spans="1:80" x14ac:dyDescent="0.3">
      <c r="A8229" s="461" t="s">
        <v>55</v>
      </c>
      <c r="B8229" s="462"/>
      <c r="C8229" s="462"/>
      <c r="D8229" s="463"/>
      <c r="E8229" s="39"/>
      <c r="F8229" s="25"/>
      <c r="G8229" s="28"/>
      <c r="H8229" s="32"/>
    </row>
    <row r="8230" spans="1:80" x14ac:dyDescent="0.3">
      <c r="A8230" s="461" t="s">
        <v>56</v>
      </c>
      <c r="B8230" s="462"/>
      <c r="C8230" s="462"/>
      <c r="D8230" s="463"/>
      <c r="E8230" s="39"/>
      <c r="F8230" s="25"/>
      <c r="G8230" s="28"/>
      <c r="H8230" s="32"/>
    </row>
    <row r="8231" spans="1:80" x14ac:dyDescent="0.3">
      <c r="A8231" s="461" t="s">
        <v>57</v>
      </c>
      <c r="B8231" s="462"/>
      <c r="C8231" s="462"/>
      <c r="D8231" s="463"/>
      <c r="E8231" s="39"/>
      <c r="F8231" s="25"/>
      <c r="G8231" s="28"/>
      <c r="H8231" s="32"/>
    </row>
    <row r="8232" spans="1:80" ht="20.25" customHeight="1" x14ac:dyDescent="0.7">
      <c r="A8232" s="464" t="s">
        <v>58</v>
      </c>
      <c r="B8232" s="465"/>
      <c r="C8232" s="465"/>
      <c r="D8232" s="510"/>
      <c r="E8232" s="466" t="s">
        <v>59</v>
      </c>
      <c r="F8232" s="467"/>
      <c r="G8232" s="467"/>
      <c r="H8232" s="468"/>
      <c r="BU8232" s="469" t="s">
        <v>0</v>
      </c>
      <c r="BV8232" s="470"/>
      <c r="BW8232" s="470"/>
      <c r="BX8232" s="470"/>
      <c r="BY8232" s="531" t="s">
        <v>1</v>
      </c>
      <c r="BZ8232" s="544"/>
      <c r="CA8232" s="544"/>
      <c r="CB8232" s="545"/>
    </row>
    <row r="8233" spans="1:80" ht="20.399999999999999" x14ac:dyDescent="0.35">
      <c r="BU8233" s="1"/>
      <c r="BV8233" s="535" t="s">
        <v>2</v>
      </c>
      <c r="BW8233" s="535"/>
      <c r="BX8233" s="535"/>
      <c r="BY8233" s="546"/>
      <c r="BZ8233" s="546"/>
      <c r="CA8233" s="546"/>
      <c r="CB8233" s="547"/>
    </row>
    <row r="8234" spans="1:80" x14ac:dyDescent="0.3">
      <c r="BU8234" s="477" t="s">
        <v>3</v>
      </c>
      <c r="BV8234" s="478"/>
      <c r="BW8234" s="136"/>
      <c r="BX8234" s="499" t="s">
        <v>4</v>
      </c>
      <c r="BY8234" s="499"/>
      <c r="BZ8234" s="137"/>
      <c r="CA8234" s="360" t="s">
        <v>134</v>
      </c>
      <c r="CB8234" s="379"/>
    </row>
    <row r="8235" spans="1:80" ht="15.6" x14ac:dyDescent="0.3">
      <c r="BU8235" s="138" t="s">
        <v>6</v>
      </c>
      <c r="BV8235" s="5"/>
      <c r="BW8235" s="536" t="s">
        <v>7</v>
      </c>
      <c r="BX8235" s="516"/>
      <c r="BY8235" s="489">
        <v>155</v>
      </c>
      <c r="BZ8235" s="491"/>
      <c r="CA8235" s="123" t="s">
        <v>8</v>
      </c>
      <c r="CB8235" s="380">
        <v>45759</v>
      </c>
    </row>
    <row r="8236" spans="1:80" ht="45" thickBot="1" x14ac:dyDescent="0.75">
      <c r="A8236" s="469" t="s">
        <v>0</v>
      </c>
      <c r="B8236" s="470"/>
      <c r="C8236" s="470"/>
      <c r="D8236" s="470"/>
      <c r="E8236" s="531" t="s">
        <v>1</v>
      </c>
      <c r="F8236" s="544"/>
      <c r="G8236" s="544"/>
      <c r="H8236" s="545"/>
      <c r="BU8236" s="241" t="s">
        <v>275</v>
      </c>
      <c r="BV8236" s="242"/>
      <c r="BW8236" s="536" t="s">
        <v>276</v>
      </c>
      <c r="BX8236" s="516"/>
      <c r="BY8236" s="624">
        <v>4300585476</v>
      </c>
      <c r="BZ8236" s="625"/>
      <c r="CA8236" s="7"/>
      <c r="CB8236" s="178"/>
    </row>
    <row r="8237" spans="1:80" ht="20.399999999999999" x14ac:dyDescent="0.35">
      <c r="A8237" s="1"/>
      <c r="B8237" s="535" t="s">
        <v>2</v>
      </c>
      <c r="C8237" s="535"/>
      <c r="D8237" s="535"/>
      <c r="E8237" s="546"/>
      <c r="F8237" s="546"/>
      <c r="G8237" s="546"/>
      <c r="H8237" s="547"/>
      <c r="BU8237" s="626" t="s">
        <v>277</v>
      </c>
      <c r="BV8237" s="627"/>
      <c r="BW8237" s="628" t="s">
        <v>265</v>
      </c>
      <c r="BX8237" s="484"/>
      <c r="BY8237" s="489" t="s">
        <v>266</v>
      </c>
      <c r="BZ8237" s="491"/>
      <c r="CA8237" s="10"/>
      <c r="CB8237" s="82"/>
    </row>
    <row r="8238" spans="1:80" ht="15.6" x14ac:dyDescent="0.3">
      <c r="A8238" s="477" t="s">
        <v>3</v>
      </c>
      <c r="B8238" s="478"/>
      <c r="C8238" s="136"/>
      <c r="D8238" s="499" t="s">
        <v>4</v>
      </c>
      <c r="E8238" s="499"/>
      <c r="F8238" s="137"/>
      <c r="G8238" s="360" t="s">
        <v>134</v>
      </c>
      <c r="H8238" s="379"/>
      <c r="BU8238" s="629" t="s">
        <v>278</v>
      </c>
      <c r="BV8238" s="630"/>
      <c r="BW8238" s="536" t="s">
        <v>15</v>
      </c>
      <c r="BX8238" s="516"/>
      <c r="BY8238" s="631" t="s">
        <v>279</v>
      </c>
      <c r="BZ8238" s="632"/>
      <c r="CA8238" s="633"/>
      <c r="CB8238" s="126"/>
    </row>
    <row r="8239" spans="1:80" ht="15.6" x14ac:dyDescent="0.3">
      <c r="A8239" s="138" t="s">
        <v>6</v>
      </c>
      <c r="B8239" s="5"/>
      <c r="C8239" s="536" t="s">
        <v>7</v>
      </c>
      <c r="D8239" s="516"/>
      <c r="E8239" s="489">
        <v>179</v>
      </c>
      <c r="F8239" s="491"/>
      <c r="G8239" s="123" t="s">
        <v>8</v>
      </c>
      <c r="H8239" s="394">
        <v>46055</v>
      </c>
      <c r="BU8239" s="558"/>
      <c r="BV8239" s="559"/>
      <c r="BW8239" s="489"/>
      <c r="BX8239" s="490"/>
      <c r="BY8239" s="490"/>
      <c r="BZ8239" s="490"/>
      <c r="CA8239" s="490"/>
      <c r="CB8239" s="491"/>
    </row>
    <row r="8240" spans="1:80" ht="16.2" thickBot="1" x14ac:dyDescent="0.35">
      <c r="A8240" s="241" t="s">
        <v>275</v>
      </c>
      <c r="B8240" s="242"/>
      <c r="C8240" s="536" t="s">
        <v>276</v>
      </c>
      <c r="D8240" s="516"/>
      <c r="E8240" s="624">
        <v>4300591560</v>
      </c>
      <c r="F8240" s="625"/>
      <c r="G8240" s="7"/>
      <c r="H8240" s="178"/>
      <c r="BU8240" s="493" t="s">
        <v>17</v>
      </c>
      <c r="BV8240" s="495" t="s">
        <v>18</v>
      </c>
      <c r="BW8240" s="495" t="s">
        <v>19</v>
      </c>
      <c r="BX8240" s="495" t="s">
        <v>20</v>
      </c>
      <c r="BY8240" s="495" t="s">
        <v>21</v>
      </c>
      <c r="BZ8240" s="541" t="s">
        <v>22</v>
      </c>
      <c r="CA8240" s="542"/>
      <c r="CB8240" s="493" t="s">
        <v>23</v>
      </c>
    </row>
    <row r="8241" spans="1:80" ht="27.6" x14ac:dyDescent="0.3">
      <c r="A8241" s="626" t="s">
        <v>277</v>
      </c>
      <c r="B8241" s="627"/>
      <c r="C8241" s="628" t="s">
        <v>265</v>
      </c>
      <c r="D8241" s="484"/>
      <c r="E8241" s="489" t="s">
        <v>266</v>
      </c>
      <c r="F8241" s="491"/>
      <c r="G8241" s="10"/>
      <c r="H8241" s="82"/>
      <c r="BU8241" s="527"/>
      <c r="BV8241" s="505"/>
      <c r="BW8241" s="505"/>
      <c r="BX8241" s="505"/>
      <c r="BY8241" s="505"/>
      <c r="BZ8241" s="53" t="s">
        <v>24</v>
      </c>
      <c r="CA8241" s="53" t="s">
        <v>25</v>
      </c>
      <c r="CB8241" s="527"/>
    </row>
    <row r="8242" spans="1:80" ht="15.6" x14ac:dyDescent="0.3">
      <c r="A8242" s="629" t="s">
        <v>278</v>
      </c>
      <c r="B8242" s="630"/>
      <c r="C8242" s="536" t="s">
        <v>15</v>
      </c>
      <c r="D8242" s="516"/>
      <c r="E8242" s="631" t="s">
        <v>279</v>
      </c>
      <c r="F8242" s="632"/>
      <c r="G8242" s="633"/>
      <c r="H8242" s="126"/>
      <c r="BU8242" s="15">
        <v>1</v>
      </c>
      <c r="BV8242" s="190" t="s">
        <v>1306</v>
      </c>
      <c r="BW8242" s="191">
        <v>1</v>
      </c>
      <c r="BX8242" s="192">
        <v>998715</v>
      </c>
      <c r="BY8242" s="299">
        <v>3810</v>
      </c>
      <c r="BZ8242" s="193">
        <f>BY8242*BW8242*9%</f>
        <v>342.9</v>
      </c>
      <c r="CA8242" s="58">
        <f>BZ8242</f>
        <v>342.9</v>
      </c>
      <c r="CB8242" s="59">
        <f>CA8242+BZ8242+BY8242</f>
        <v>4495.8</v>
      </c>
    </row>
    <row r="8243" spans="1:80" ht="15.6" x14ac:dyDescent="0.3">
      <c r="A8243" s="558"/>
      <c r="B8243" s="559"/>
      <c r="C8243" s="489"/>
      <c r="D8243" s="490"/>
      <c r="E8243" s="490"/>
      <c r="F8243" s="490"/>
      <c r="G8243" s="490"/>
      <c r="H8243" s="491"/>
      <c r="BU8243" s="20"/>
      <c r="BV8243" s="60"/>
      <c r="BW8243" s="55"/>
      <c r="BX8243" s="55"/>
      <c r="BY8243" s="55"/>
      <c r="BZ8243" s="93"/>
      <c r="CA8243" s="93"/>
      <c r="CB8243" s="62"/>
    </row>
    <row r="8244" spans="1:80" ht="15" x14ac:dyDescent="0.3">
      <c r="A8244" s="493" t="s">
        <v>17</v>
      </c>
      <c r="B8244" s="495" t="s">
        <v>18</v>
      </c>
      <c r="C8244" s="495" t="s">
        <v>19</v>
      </c>
      <c r="D8244" s="495" t="s">
        <v>20</v>
      </c>
      <c r="E8244" s="495" t="s">
        <v>21</v>
      </c>
      <c r="F8244" s="541" t="s">
        <v>22</v>
      </c>
      <c r="G8244" s="542"/>
      <c r="H8244" s="493" t="s">
        <v>23</v>
      </c>
      <c r="BU8244" s="20"/>
      <c r="BV8244" s="60"/>
      <c r="BW8244" s="55"/>
      <c r="BX8244" s="55"/>
      <c r="BY8244" s="55"/>
      <c r="BZ8244" s="93"/>
      <c r="CA8244" s="93"/>
      <c r="CB8244" s="62"/>
    </row>
    <row r="8245" spans="1:80" ht="27.6" x14ac:dyDescent="0.3">
      <c r="A8245" s="527"/>
      <c r="B8245" s="505"/>
      <c r="C8245" s="505"/>
      <c r="D8245" s="505"/>
      <c r="E8245" s="505"/>
      <c r="F8245" s="53" t="s">
        <v>24</v>
      </c>
      <c r="G8245" s="53" t="s">
        <v>25</v>
      </c>
      <c r="H8245" s="527"/>
      <c r="BU8245" s="20"/>
      <c r="BV8245" s="63"/>
      <c r="BW8245" s="129"/>
      <c r="BX8245" s="55"/>
      <c r="BY8245" s="55"/>
      <c r="BZ8245" s="93"/>
      <c r="CA8245" s="93"/>
      <c r="CB8245" s="62"/>
    </row>
    <row r="8246" spans="1:80" x14ac:dyDescent="0.3">
      <c r="A8246" s="15">
        <v>1</v>
      </c>
      <c r="B8246" s="190" t="s">
        <v>1450</v>
      </c>
      <c r="C8246" s="191">
        <v>1</v>
      </c>
      <c r="D8246" s="192">
        <v>998715</v>
      </c>
      <c r="E8246" s="299">
        <v>3140</v>
      </c>
      <c r="F8246" s="193">
        <f>E8246*C8246*9%</f>
        <v>282.59999999999997</v>
      </c>
      <c r="G8246" s="58">
        <f>F8246</f>
        <v>282.59999999999997</v>
      </c>
      <c r="H8246" s="59">
        <f>G8246+F8246+E8246</f>
        <v>3705.2</v>
      </c>
      <c r="BU8246" s="20"/>
      <c r="BV8246" s="63"/>
      <c r="BW8246" s="129"/>
      <c r="BX8246" s="55"/>
      <c r="BY8246" s="55"/>
      <c r="BZ8246" s="93"/>
      <c r="CA8246" s="93"/>
      <c r="CB8246" s="62"/>
    </row>
    <row r="8247" spans="1:80" x14ac:dyDescent="0.3">
      <c r="A8247" s="20"/>
      <c r="B8247" s="60"/>
      <c r="C8247" s="55"/>
      <c r="D8247" s="55"/>
      <c r="E8247" s="55"/>
      <c r="F8247" s="93"/>
      <c r="G8247" s="93"/>
      <c r="H8247" s="62"/>
      <c r="BU8247" s="20"/>
      <c r="BV8247" s="130"/>
      <c r="BW8247" s="129"/>
      <c r="BX8247" s="55"/>
      <c r="BY8247" s="55"/>
      <c r="BZ8247" s="93"/>
      <c r="CA8247" s="93"/>
      <c r="CB8247" s="62"/>
    </row>
    <row r="8248" spans="1:80" x14ac:dyDescent="0.3">
      <c r="A8248" s="20"/>
      <c r="B8248" s="60"/>
      <c r="C8248" s="55"/>
      <c r="D8248" s="55"/>
      <c r="E8248" s="55"/>
      <c r="F8248" s="93"/>
      <c r="G8248" s="93"/>
      <c r="H8248" s="62"/>
      <c r="BU8248" s="20"/>
      <c r="BV8248" s="63"/>
      <c r="BW8248" s="129"/>
      <c r="BX8248" s="55"/>
      <c r="BY8248" s="55"/>
      <c r="BZ8248" s="93"/>
      <c r="CA8248" s="93"/>
      <c r="CB8248" s="62"/>
    </row>
    <row r="8249" spans="1:80" x14ac:dyDescent="0.3">
      <c r="A8249" s="20"/>
      <c r="B8249" s="63"/>
      <c r="C8249" s="129"/>
      <c r="D8249" s="55"/>
      <c r="E8249" s="55"/>
      <c r="F8249" s="93"/>
      <c r="G8249" s="93"/>
      <c r="H8249" s="62"/>
      <c r="BU8249" s="20"/>
      <c r="BV8249" s="63"/>
      <c r="BW8249" s="55"/>
      <c r="BX8249" s="55"/>
      <c r="BY8249" s="55"/>
      <c r="BZ8249" s="93"/>
      <c r="CA8249" s="93"/>
      <c r="CB8249" s="62"/>
    </row>
    <row r="8250" spans="1:80" x14ac:dyDescent="0.3">
      <c r="A8250" s="20"/>
      <c r="B8250" s="63"/>
      <c r="C8250" s="129"/>
      <c r="D8250" s="55"/>
      <c r="E8250" s="55"/>
      <c r="F8250" s="93"/>
      <c r="G8250" s="93"/>
      <c r="H8250" s="62"/>
      <c r="BU8250" s="27"/>
      <c r="BV8250" s="28"/>
      <c r="BW8250" s="24"/>
      <c r="BX8250" s="25"/>
      <c r="BY8250" s="25"/>
      <c r="BZ8250" s="28"/>
      <c r="CA8250" s="28"/>
      <c r="CB8250" s="32"/>
    </row>
    <row r="8251" spans="1:80" x14ac:dyDescent="0.3">
      <c r="A8251" s="20"/>
      <c r="B8251" s="130"/>
      <c r="C8251" s="129"/>
      <c r="D8251" s="55"/>
      <c r="E8251" s="55"/>
      <c r="F8251" s="93"/>
      <c r="G8251" s="93"/>
      <c r="H8251" s="62"/>
      <c r="BU8251" s="618" t="s">
        <v>267</v>
      </c>
      <c r="BV8251" s="619"/>
      <c r="BW8251" s="618" t="s">
        <v>268</v>
      </c>
      <c r="BX8251" s="620"/>
      <c r="BY8251" s="619"/>
      <c r="BZ8251" s="28"/>
      <c r="CA8251" s="28"/>
      <c r="CB8251" s="32"/>
    </row>
    <row r="8252" spans="1:80" x14ac:dyDescent="0.3">
      <c r="A8252" s="20"/>
      <c r="B8252" s="63"/>
      <c r="C8252" s="129"/>
      <c r="D8252" s="55"/>
      <c r="E8252" s="55"/>
      <c r="F8252" s="93"/>
      <c r="G8252" s="93"/>
      <c r="H8252" s="62"/>
      <c r="BU8252" s="178" t="s">
        <v>269</v>
      </c>
      <c r="BV8252" s="163"/>
      <c r="BW8252" s="621">
        <v>10142001000604</v>
      </c>
      <c r="BX8252" s="622"/>
      <c r="BY8252" s="623"/>
      <c r="BZ8252" s="28"/>
      <c r="CA8252" s="28"/>
      <c r="CB8252" s="32"/>
    </row>
    <row r="8253" spans="1:80" x14ac:dyDescent="0.3">
      <c r="A8253" s="20"/>
      <c r="B8253" s="63"/>
      <c r="C8253" s="55"/>
      <c r="D8253" s="55"/>
      <c r="E8253" s="55"/>
      <c r="F8253" s="93"/>
      <c r="G8253" s="93"/>
      <c r="H8253" s="62"/>
      <c r="BU8253" s="178" t="s">
        <v>270</v>
      </c>
      <c r="BV8253" s="163"/>
      <c r="BW8253" s="618" t="s">
        <v>271</v>
      </c>
      <c r="BX8253" s="620"/>
      <c r="BY8253" s="619"/>
      <c r="BZ8253" s="28"/>
      <c r="CA8253" s="28"/>
      <c r="CB8253" s="32"/>
    </row>
    <row r="8254" spans="1:80" x14ac:dyDescent="0.3">
      <c r="A8254" s="27"/>
      <c r="B8254" s="28"/>
      <c r="C8254" s="24"/>
      <c r="D8254" s="25"/>
      <c r="E8254" s="25"/>
      <c r="F8254" s="28"/>
      <c r="G8254" s="28"/>
      <c r="H8254" s="32"/>
      <c r="BU8254" s="618" t="s">
        <v>272</v>
      </c>
      <c r="BV8254" s="619"/>
      <c r="BW8254" s="618" t="s">
        <v>273</v>
      </c>
      <c r="BX8254" s="620"/>
      <c r="BY8254" s="619"/>
      <c r="BZ8254" s="28"/>
      <c r="CA8254" s="28"/>
      <c r="CB8254" s="32"/>
    </row>
    <row r="8255" spans="1:80" x14ac:dyDescent="0.3">
      <c r="A8255" s="618" t="s">
        <v>267</v>
      </c>
      <c r="B8255" s="619"/>
      <c r="C8255" s="618" t="s">
        <v>268</v>
      </c>
      <c r="D8255" s="620"/>
      <c r="E8255" s="619"/>
      <c r="F8255" s="28"/>
      <c r="G8255" s="28"/>
      <c r="H8255" s="32"/>
      <c r="BU8255" s="27"/>
      <c r="BV8255" s="28"/>
      <c r="BW8255" s="24"/>
      <c r="BX8255" s="25"/>
      <c r="BY8255" s="25"/>
      <c r="BZ8255" s="28"/>
      <c r="CA8255" s="28"/>
      <c r="CB8255" s="32"/>
    </row>
    <row r="8256" spans="1:80" x14ac:dyDescent="0.3">
      <c r="A8256" s="178" t="s">
        <v>269</v>
      </c>
      <c r="B8256" s="163"/>
      <c r="C8256" s="621">
        <v>10142001000604</v>
      </c>
      <c r="D8256" s="622"/>
      <c r="E8256" s="623"/>
      <c r="F8256" s="28"/>
      <c r="G8256" s="28"/>
      <c r="H8256" s="32"/>
      <c r="BU8256" s="27"/>
      <c r="BV8256" s="28"/>
      <c r="BW8256" s="24"/>
      <c r="BX8256" s="25"/>
      <c r="BY8256" s="25"/>
      <c r="BZ8256" s="28"/>
      <c r="CA8256" s="28"/>
      <c r="CB8256" s="32"/>
    </row>
    <row r="8257" spans="1:80" x14ac:dyDescent="0.3">
      <c r="A8257" s="178" t="s">
        <v>270</v>
      </c>
      <c r="B8257" s="163"/>
      <c r="C8257" s="618" t="s">
        <v>271</v>
      </c>
      <c r="D8257" s="620"/>
      <c r="E8257" s="619"/>
      <c r="F8257" s="28"/>
      <c r="G8257" s="28"/>
      <c r="H8257" s="32"/>
      <c r="BU8257" s="27"/>
      <c r="BV8257" s="28"/>
      <c r="BW8257" s="24"/>
      <c r="BX8257" s="25"/>
      <c r="BY8257" s="25"/>
      <c r="BZ8257" s="28"/>
      <c r="CA8257" s="28"/>
      <c r="CB8257" s="32"/>
    </row>
    <row r="8258" spans="1:80" ht="15.6" x14ac:dyDescent="0.3">
      <c r="A8258" s="618" t="s">
        <v>272</v>
      </c>
      <c r="B8258" s="619"/>
      <c r="C8258" s="618" t="s">
        <v>273</v>
      </c>
      <c r="D8258" s="620"/>
      <c r="E8258" s="619"/>
      <c r="F8258" s="28"/>
      <c r="G8258" s="28"/>
      <c r="H8258" s="32"/>
      <c r="BU8258" s="448" t="s">
        <v>45</v>
      </c>
      <c r="BV8258" s="449"/>
      <c r="BW8258" s="24"/>
      <c r="BX8258" s="25"/>
      <c r="BY8258" s="25"/>
      <c r="BZ8258" s="447" t="s">
        <v>46</v>
      </c>
      <c r="CA8258" s="447"/>
      <c r="CB8258" s="66">
        <v>3810</v>
      </c>
    </row>
    <row r="8259" spans="1:80" ht="15.6" x14ac:dyDescent="0.3">
      <c r="A8259" s="27"/>
      <c r="B8259" s="28"/>
      <c r="C8259" s="24"/>
      <c r="D8259" s="25"/>
      <c r="E8259" s="25"/>
      <c r="F8259" s="28"/>
      <c r="G8259" s="28"/>
      <c r="H8259" s="32"/>
      <c r="BU8259" s="497" t="s">
        <v>1307</v>
      </c>
      <c r="BV8259" s="498"/>
      <c r="BW8259" s="498"/>
      <c r="BX8259" s="498"/>
      <c r="BY8259" s="498"/>
      <c r="BZ8259" s="447" t="s">
        <v>47</v>
      </c>
      <c r="CA8259" s="447"/>
      <c r="CB8259" s="66">
        <v>343</v>
      </c>
    </row>
    <row r="8260" spans="1:80" ht="15.6" x14ac:dyDescent="0.3">
      <c r="A8260" s="27"/>
      <c r="B8260" s="28"/>
      <c r="C8260" s="24"/>
      <c r="D8260" s="25"/>
      <c r="E8260" s="25"/>
      <c r="F8260" s="28"/>
      <c r="G8260" s="28"/>
      <c r="H8260" s="32"/>
      <c r="BU8260" s="27"/>
      <c r="BV8260" s="28"/>
      <c r="BW8260" s="24"/>
      <c r="BX8260" s="25"/>
      <c r="BY8260" s="25"/>
      <c r="BZ8260" s="447" t="s">
        <v>48</v>
      </c>
      <c r="CA8260" s="447"/>
      <c r="CB8260" s="66">
        <v>343</v>
      </c>
    </row>
    <row r="8261" spans="1:80" ht="15.6" x14ac:dyDescent="0.3">
      <c r="A8261" s="27"/>
      <c r="B8261" s="28"/>
      <c r="C8261" s="24"/>
      <c r="D8261" s="25"/>
      <c r="E8261" s="25"/>
      <c r="F8261" s="28"/>
      <c r="G8261" s="28"/>
      <c r="H8261" s="32"/>
      <c r="BU8261" s="90" t="s">
        <v>49</v>
      </c>
      <c r="BV8261" s="28"/>
      <c r="BW8261" s="24"/>
      <c r="BX8261" s="25"/>
      <c r="BY8261" s="25"/>
      <c r="BZ8261" s="447" t="s">
        <v>50</v>
      </c>
      <c r="CA8261" s="447"/>
      <c r="CB8261" s="66">
        <v>4496</v>
      </c>
    </row>
    <row r="8262" spans="1:80" ht="27" x14ac:dyDescent="0.3">
      <c r="A8262" s="448" t="s">
        <v>45</v>
      </c>
      <c r="B8262" s="449"/>
      <c r="C8262" s="24"/>
      <c r="D8262" s="25"/>
      <c r="E8262" s="25"/>
      <c r="F8262" s="447" t="s">
        <v>46</v>
      </c>
      <c r="G8262" s="447"/>
      <c r="H8262" s="66">
        <v>3140</v>
      </c>
      <c r="BU8262" s="68" t="s">
        <v>22</v>
      </c>
      <c r="BV8262" s="30" t="s">
        <v>51</v>
      </c>
      <c r="BW8262" s="70" t="s">
        <v>24</v>
      </c>
      <c r="BX8262" s="31" t="s">
        <v>25</v>
      </c>
      <c r="BY8262" s="543" t="s">
        <v>52</v>
      </c>
      <c r="BZ8262" s="543"/>
      <c r="CA8262" s="28"/>
      <c r="CB8262" s="32"/>
    </row>
    <row r="8263" spans="1:80" ht="15.6" x14ac:dyDescent="0.3">
      <c r="A8263" s="497" t="s">
        <v>1451</v>
      </c>
      <c r="B8263" s="498"/>
      <c r="C8263" s="498"/>
      <c r="D8263" s="498"/>
      <c r="E8263" s="498"/>
      <c r="F8263" s="447" t="s">
        <v>47</v>
      </c>
      <c r="G8263" s="447"/>
      <c r="H8263" s="66">
        <v>282.60000000000002</v>
      </c>
      <c r="BU8263" s="72">
        <v>0.18</v>
      </c>
      <c r="BV8263" s="73">
        <f>CB8258</f>
        <v>3810</v>
      </c>
      <c r="BW8263" s="74">
        <f>CB8259</f>
        <v>343</v>
      </c>
      <c r="BX8263" s="74">
        <f>CB8259</f>
        <v>343</v>
      </c>
      <c r="BY8263" s="507">
        <f>BW8263+BX8263</f>
        <v>686</v>
      </c>
      <c r="BZ8263" s="507"/>
      <c r="CA8263" s="74"/>
      <c r="CB8263" s="75"/>
    </row>
    <row r="8264" spans="1:80" ht="15.6" x14ac:dyDescent="0.3">
      <c r="A8264" s="27"/>
      <c r="B8264" s="28"/>
      <c r="C8264" s="24"/>
      <c r="D8264" s="25"/>
      <c r="E8264" s="25"/>
      <c r="F8264" s="447" t="s">
        <v>48</v>
      </c>
      <c r="G8264" s="447"/>
      <c r="H8264" s="66">
        <v>282.60000000000002</v>
      </c>
      <c r="BU8264" s="508" t="s">
        <v>1308</v>
      </c>
      <c r="BV8264" s="509"/>
      <c r="BW8264" s="509"/>
      <c r="BX8264" s="509"/>
      <c r="BY8264" s="453"/>
      <c r="BZ8264" s="453"/>
      <c r="CA8264" s="453"/>
      <c r="CB8264" s="454"/>
    </row>
    <row r="8265" spans="1:80" ht="15.6" x14ac:dyDescent="0.3">
      <c r="A8265" s="90" t="s">
        <v>49</v>
      </c>
      <c r="B8265" s="28"/>
      <c r="C8265" s="24"/>
      <c r="D8265" s="25"/>
      <c r="E8265" s="25"/>
      <c r="F8265" s="447" t="s">
        <v>50</v>
      </c>
      <c r="G8265" s="447"/>
      <c r="H8265" s="66">
        <v>3705</v>
      </c>
      <c r="BU8265" s="455" t="s">
        <v>53</v>
      </c>
      <c r="BV8265" s="456"/>
      <c r="BW8265" s="456"/>
      <c r="BX8265" s="457"/>
      <c r="BY8265" s="458" t="s">
        <v>54</v>
      </c>
      <c r="BZ8265" s="459"/>
      <c r="CA8265" s="459"/>
      <c r="CB8265" s="460"/>
    </row>
    <row r="8266" spans="1:80" ht="27" x14ac:dyDescent="0.3">
      <c r="A8266" s="68" t="s">
        <v>22</v>
      </c>
      <c r="B8266" s="30" t="s">
        <v>51</v>
      </c>
      <c r="C8266" s="70" t="s">
        <v>24</v>
      </c>
      <c r="D8266" s="31" t="s">
        <v>25</v>
      </c>
      <c r="E8266" s="543" t="s">
        <v>52</v>
      </c>
      <c r="F8266" s="543"/>
      <c r="G8266" s="28"/>
      <c r="H8266" s="32"/>
      <c r="BU8266" s="461" t="s">
        <v>55</v>
      </c>
      <c r="BV8266" s="462"/>
      <c r="BW8266" s="462"/>
      <c r="BX8266" s="463"/>
      <c r="BY8266" s="39"/>
      <c r="BZ8266" s="28"/>
      <c r="CA8266" s="28"/>
      <c r="CB8266" s="32"/>
    </row>
    <row r="8267" spans="1:80" x14ac:dyDescent="0.3">
      <c r="A8267" s="72">
        <v>0.18</v>
      </c>
      <c r="B8267" s="73">
        <f>H8262</f>
        <v>3140</v>
      </c>
      <c r="C8267" s="74">
        <f>H8263</f>
        <v>282.60000000000002</v>
      </c>
      <c r="D8267" s="74">
        <f>H8263</f>
        <v>282.60000000000002</v>
      </c>
      <c r="E8267" s="507">
        <f>C8267+D8267</f>
        <v>565.20000000000005</v>
      </c>
      <c r="F8267" s="507"/>
      <c r="G8267" s="74"/>
      <c r="H8267" s="75"/>
      <c r="BU8267" s="461" t="s">
        <v>56</v>
      </c>
      <c r="BV8267" s="462"/>
      <c r="BW8267" s="462"/>
      <c r="BX8267" s="463"/>
      <c r="BY8267" s="39"/>
      <c r="BZ8267" s="28"/>
      <c r="CA8267" s="28"/>
      <c r="CB8267" s="32"/>
    </row>
    <row r="8268" spans="1:80" x14ac:dyDescent="0.3">
      <c r="A8268" s="508" t="s">
        <v>1452</v>
      </c>
      <c r="B8268" s="509"/>
      <c r="C8268" s="509"/>
      <c r="D8268" s="509"/>
      <c r="E8268" s="453"/>
      <c r="F8268" s="453"/>
      <c r="G8268" s="453"/>
      <c r="H8268" s="454"/>
      <c r="BU8268" s="461" t="s">
        <v>57</v>
      </c>
      <c r="BV8268" s="462"/>
      <c r="BW8268" s="462"/>
      <c r="BX8268" s="463"/>
      <c r="BY8268" s="39"/>
      <c r="BZ8268" s="28"/>
      <c r="CA8268" s="28"/>
      <c r="CB8268" s="32"/>
    </row>
    <row r="8269" spans="1:80" ht="15.6" x14ac:dyDescent="0.3">
      <c r="A8269" s="455" t="s">
        <v>53</v>
      </c>
      <c r="B8269" s="456"/>
      <c r="C8269" s="456"/>
      <c r="D8269" s="457"/>
      <c r="E8269" s="458" t="s">
        <v>54</v>
      </c>
      <c r="F8269" s="459"/>
      <c r="G8269" s="459"/>
      <c r="H8269" s="460"/>
      <c r="BU8269" s="464" t="s">
        <v>58</v>
      </c>
      <c r="BV8269" s="465"/>
      <c r="BW8269" s="465"/>
      <c r="BX8269" s="465"/>
      <c r="BY8269" s="466" t="s">
        <v>59</v>
      </c>
      <c r="BZ8269" s="467"/>
      <c r="CA8269" s="467"/>
      <c r="CB8269" s="468"/>
    </row>
    <row r="8270" spans="1:80" x14ac:dyDescent="0.3">
      <c r="A8270" s="461" t="s">
        <v>55</v>
      </c>
      <c r="B8270" s="462"/>
      <c r="C8270" s="462"/>
      <c r="D8270" s="463"/>
      <c r="E8270" s="39"/>
      <c r="F8270" s="28"/>
      <c r="G8270" s="28"/>
      <c r="H8270" s="32"/>
    </row>
    <row r="8271" spans="1:80" x14ac:dyDescent="0.3">
      <c r="A8271" s="461" t="s">
        <v>56</v>
      </c>
      <c r="B8271" s="462"/>
      <c r="C8271" s="462"/>
      <c r="D8271" s="463"/>
      <c r="E8271" s="39"/>
      <c r="F8271" s="28"/>
      <c r="G8271" s="28"/>
      <c r="H8271" s="32"/>
    </row>
    <row r="8272" spans="1:80" x14ac:dyDescent="0.3">
      <c r="A8272" s="461" t="s">
        <v>57</v>
      </c>
      <c r="B8272" s="462"/>
      <c r="C8272" s="462"/>
      <c r="D8272" s="463"/>
      <c r="E8272" s="39"/>
      <c r="F8272" s="28"/>
      <c r="G8272" s="28"/>
      <c r="H8272" s="32"/>
    </row>
    <row r="8273" spans="1:8" ht="15.6" x14ac:dyDescent="0.3">
      <c r="A8273" s="464" t="s">
        <v>58</v>
      </c>
      <c r="B8273" s="465"/>
      <c r="C8273" s="465"/>
      <c r="D8273" s="465"/>
      <c r="E8273" s="466" t="s">
        <v>59</v>
      </c>
      <c r="F8273" s="467"/>
      <c r="G8273" s="467"/>
      <c r="H8273" s="468"/>
    </row>
    <row r="8277" spans="1:8" ht="44.4" x14ac:dyDescent="0.7">
      <c r="A8277" s="469" t="s">
        <v>0</v>
      </c>
      <c r="B8277" s="470"/>
      <c r="C8277" s="470"/>
      <c r="D8277" s="470"/>
      <c r="E8277" s="531" t="s">
        <v>92</v>
      </c>
      <c r="F8277" s="531"/>
      <c r="G8277" s="531"/>
      <c r="H8277" s="532"/>
    </row>
    <row r="8278" spans="1:8" ht="20.399999999999999" x14ac:dyDescent="0.35">
      <c r="A8278" s="1"/>
      <c r="B8278" s="535" t="s">
        <v>2</v>
      </c>
      <c r="C8278" s="535"/>
      <c r="D8278" s="535"/>
      <c r="E8278" s="533"/>
      <c r="F8278" s="533"/>
      <c r="G8278" s="533"/>
      <c r="H8278" s="534"/>
    </row>
    <row r="8279" spans="1:8" x14ac:dyDescent="0.3">
      <c r="A8279" s="477" t="s">
        <v>3</v>
      </c>
      <c r="B8279" s="478"/>
      <c r="C8279" s="479" t="s">
        <v>4</v>
      </c>
      <c r="D8279" s="479"/>
      <c r="E8279" s="480" t="s">
        <v>5</v>
      </c>
      <c r="F8279" s="480"/>
      <c r="G8279" s="480"/>
      <c r="H8279" s="480"/>
    </row>
    <row r="8280" spans="1:8" ht="15.6" x14ac:dyDescent="0.3">
      <c r="A8280" s="4" t="s">
        <v>6</v>
      </c>
      <c r="B8280" s="5"/>
      <c r="C8280" s="536" t="s">
        <v>7</v>
      </c>
      <c r="D8280" s="516"/>
      <c r="E8280" s="489">
        <v>180</v>
      </c>
      <c r="F8280" s="491"/>
      <c r="G8280" s="44" t="s">
        <v>8</v>
      </c>
      <c r="H8280" s="109">
        <v>46083</v>
      </c>
    </row>
    <row r="8281" spans="1:8" ht="15.6" x14ac:dyDescent="0.3">
      <c r="A8281" s="108" t="s">
        <v>1453</v>
      </c>
      <c r="B8281" s="107"/>
      <c r="C8281" s="536" t="s">
        <v>10</v>
      </c>
      <c r="D8281" s="516"/>
      <c r="E8281" s="489"/>
      <c r="F8281" s="491"/>
      <c r="G8281" s="44" t="s">
        <v>8</v>
      </c>
      <c r="H8281" s="122"/>
    </row>
    <row r="8282" spans="1:8" ht="15" x14ac:dyDescent="0.3">
      <c r="A8282" s="108" t="s">
        <v>1454</v>
      </c>
      <c r="B8282" s="106"/>
      <c r="C8282" s="483" t="s">
        <v>12</v>
      </c>
      <c r="D8282" s="484"/>
      <c r="E8282" s="613"/>
      <c r="F8282" s="614"/>
      <c r="G8282" s="48" t="s">
        <v>8</v>
      </c>
      <c r="H8282" s="109"/>
    </row>
    <row r="8283" spans="1:8" ht="15.6" x14ac:dyDescent="0.3">
      <c r="A8283" s="108" t="s">
        <v>1455</v>
      </c>
      <c r="B8283" s="106"/>
      <c r="C8283" s="536" t="s">
        <v>15</v>
      </c>
      <c r="D8283" s="516"/>
      <c r="E8283" s="110" t="s">
        <v>1457</v>
      </c>
      <c r="F8283" s="111"/>
      <c r="G8283" s="112"/>
      <c r="H8283" s="49"/>
    </row>
    <row r="8284" spans="1:8" ht="15.6" x14ac:dyDescent="0.3">
      <c r="A8284" s="539" t="s">
        <v>1456</v>
      </c>
      <c r="B8284" s="540"/>
      <c r="C8284" s="24"/>
      <c r="D8284" s="25"/>
      <c r="E8284" s="50"/>
      <c r="F8284" s="50"/>
      <c r="G8284" s="51"/>
      <c r="H8284" s="52"/>
    </row>
    <row r="8285" spans="1:8" ht="15" x14ac:dyDescent="0.3">
      <c r="A8285" s="493" t="s">
        <v>17</v>
      </c>
      <c r="B8285" s="495" t="s">
        <v>18</v>
      </c>
      <c r="C8285" s="495" t="s">
        <v>19</v>
      </c>
      <c r="D8285" s="495" t="s">
        <v>20</v>
      </c>
      <c r="E8285" s="495" t="s">
        <v>21</v>
      </c>
      <c r="F8285" s="541" t="s">
        <v>22</v>
      </c>
      <c r="G8285" s="542"/>
      <c r="H8285" s="493" t="s">
        <v>23</v>
      </c>
    </row>
    <row r="8286" spans="1:8" ht="27.6" x14ac:dyDescent="0.3">
      <c r="A8286" s="527"/>
      <c r="B8286" s="505"/>
      <c r="C8286" s="505"/>
      <c r="D8286" s="505"/>
      <c r="E8286" s="505"/>
      <c r="F8286" s="53" t="s">
        <v>24</v>
      </c>
      <c r="G8286" s="53" t="s">
        <v>25</v>
      </c>
      <c r="H8286" s="527"/>
    </row>
    <row r="8287" spans="1:8" x14ac:dyDescent="0.3">
      <c r="A8287" s="56">
        <v>1</v>
      </c>
      <c r="B8287" s="113" t="s">
        <v>1458</v>
      </c>
      <c r="C8287" s="114">
        <v>1</v>
      </c>
      <c r="D8287" s="17">
        <v>998719</v>
      </c>
      <c r="E8287" s="56">
        <v>2500</v>
      </c>
      <c r="F8287" s="56">
        <f>E8287*C8287*9%</f>
        <v>225</v>
      </c>
      <c r="G8287" s="56">
        <f>F8287</f>
        <v>225</v>
      </c>
      <c r="H8287" s="55">
        <f>G8287+F8287+E8287*C8287</f>
        <v>2950</v>
      </c>
    </row>
    <row r="8288" spans="1:8" x14ac:dyDescent="0.3">
      <c r="A8288" s="56">
        <v>2</v>
      </c>
      <c r="B8288" s="113" t="s">
        <v>1459</v>
      </c>
      <c r="C8288" s="114">
        <v>1</v>
      </c>
      <c r="D8288" s="56">
        <v>9032990</v>
      </c>
      <c r="E8288" s="56">
        <v>1500</v>
      </c>
      <c r="F8288" s="56">
        <f>E8288*C8288*9%</f>
        <v>135</v>
      </c>
      <c r="G8288" s="56">
        <f>F8288</f>
        <v>135</v>
      </c>
      <c r="H8288" s="55">
        <f>G8288+F8288+E8288*C8288</f>
        <v>1770</v>
      </c>
    </row>
    <row r="8289" spans="1:8" x14ac:dyDescent="0.3">
      <c r="A8289" s="55"/>
      <c r="B8289" s="113"/>
      <c r="C8289" s="55"/>
      <c r="D8289" s="47"/>
      <c r="E8289" s="47"/>
      <c r="F8289" s="56"/>
      <c r="G8289" s="56"/>
      <c r="H8289" s="47"/>
    </row>
    <row r="8290" spans="1:8" x14ac:dyDescent="0.3">
      <c r="A8290" s="55"/>
      <c r="B8290" s="94"/>
      <c r="C8290" s="55"/>
      <c r="D8290" s="47"/>
      <c r="E8290" s="47"/>
      <c r="F8290" s="115"/>
      <c r="G8290" s="115"/>
      <c r="H8290" s="47"/>
    </row>
    <row r="8291" spans="1:8" x14ac:dyDescent="0.3">
      <c r="A8291" s="27"/>
      <c r="B8291" s="28"/>
      <c r="C8291" s="24"/>
      <c r="D8291" s="25"/>
      <c r="E8291" s="25"/>
      <c r="F8291" s="25"/>
      <c r="G8291" s="28"/>
      <c r="H8291" s="32"/>
    </row>
    <row r="8292" spans="1:8" x14ac:dyDescent="0.3">
      <c r="A8292" s="27"/>
      <c r="B8292" s="28"/>
      <c r="C8292" s="24"/>
      <c r="D8292" s="25"/>
      <c r="E8292" s="25"/>
      <c r="F8292" s="25"/>
      <c r="G8292" s="28"/>
      <c r="H8292" s="32"/>
    </row>
    <row r="8293" spans="1:8" x14ac:dyDescent="0.3">
      <c r="A8293" s="27"/>
      <c r="B8293" s="28"/>
      <c r="C8293" s="24"/>
      <c r="D8293" s="25"/>
      <c r="E8293" s="25"/>
      <c r="F8293" s="25"/>
      <c r="G8293" s="28"/>
      <c r="H8293" s="32"/>
    </row>
    <row r="8294" spans="1:8" x14ac:dyDescent="0.3">
      <c r="A8294" s="27"/>
      <c r="B8294" s="28"/>
      <c r="C8294" s="24"/>
      <c r="D8294" s="25"/>
      <c r="E8294" s="25"/>
      <c r="F8294" s="25"/>
      <c r="G8294" s="28"/>
      <c r="H8294" s="32"/>
    </row>
    <row r="8295" spans="1:8" x14ac:dyDescent="0.3">
      <c r="A8295" s="27"/>
      <c r="B8295" s="28"/>
      <c r="C8295" s="24"/>
      <c r="D8295" s="25"/>
      <c r="E8295" s="25"/>
      <c r="F8295" s="25"/>
      <c r="G8295" s="28"/>
      <c r="H8295" s="32"/>
    </row>
    <row r="8296" spans="1:8" x14ac:dyDescent="0.3">
      <c r="A8296" s="27"/>
      <c r="B8296" s="28"/>
      <c r="C8296" s="24"/>
      <c r="D8296" s="25"/>
      <c r="E8296" s="25"/>
      <c r="F8296" s="25"/>
      <c r="G8296" s="28"/>
      <c r="H8296" s="32"/>
    </row>
    <row r="8297" spans="1:8" x14ac:dyDescent="0.3">
      <c r="A8297" s="27"/>
      <c r="B8297" s="28"/>
      <c r="C8297" s="24"/>
      <c r="D8297" s="25"/>
      <c r="E8297" s="25"/>
      <c r="F8297" s="25"/>
      <c r="G8297" s="28"/>
      <c r="H8297" s="32"/>
    </row>
    <row r="8298" spans="1:8" x14ac:dyDescent="0.3">
      <c r="A8298" s="27"/>
      <c r="B8298" s="28"/>
      <c r="C8298" s="24"/>
      <c r="D8298" s="25"/>
      <c r="E8298" s="25"/>
      <c r="F8298" s="25"/>
      <c r="G8298" s="28"/>
      <c r="H8298" s="32"/>
    </row>
    <row r="8299" spans="1:8" x14ac:dyDescent="0.3">
      <c r="A8299" s="27"/>
      <c r="B8299" s="28"/>
      <c r="C8299" s="24"/>
      <c r="D8299" s="25"/>
      <c r="E8299" s="25"/>
      <c r="F8299" s="25"/>
      <c r="G8299" s="28"/>
      <c r="H8299" s="32"/>
    </row>
    <row r="8300" spans="1:8" x14ac:dyDescent="0.3">
      <c r="A8300" s="27"/>
      <c r="B8300" s="28"/>
      <c r="C8300" s="24"/>
      <c r="D8300" s="25"/>
      <c r="E8300" s="25"/>
      <c r="F8300" s="25"/>
      <c r="G8300" s="28"/>
      <c r="H8300" s="32"/>
    </row>
    <row r="8301" spans="1:8" x14ac:dyDescent="0.3">
      <c r="A8301" s="27"/>
      <c r="B8301" s="28"/>
      <c r="C8301" s="24"/>
      <c r="D8301" s="25"/>
      <c r="E8301" s="25"/>
      <c r="F8301" s="25"/>
      <c r="G8301" s="28"/>
      <c r="H8301" s="32"/>
    </row>
    <row r="8302" spans="1:8" x14ac:dyDescent="0.3">
      <c r="A8302" s="27"/>
      <c r="B8302" s="28"/>
      <c r="C8302" s="24"/>
      <c r="D8302" s="25"/>
      <c r="E8302" s="25"/>
      <c r="F8302" s="25"/>
      <c r="G8302" s="28"/>
      <c r="H8302" s="32"/>
    </row>
    <row r="8303" spans="1:8" x14ac:dyDescent="0.3">
      <c r="A8303" s="27"/>
      <c r="B8303" s="28"/>
      <c r="C8303" s="24"/>
      <c r="D8303" s="25"/>
      <c r="E8303" s="25"/>
      <c r="F8303" s="25"/>
      <c r="G8303" s="28"/>
      <c r="H8303" s="32"/>
    </row>
    <row r="8304" spans="1:8" x14ac:dyDescent="0.3">
      <c r="A8304" s="27"/>
      <c r="B8304" s="28"/>
      <c r="C8304" s="24"/>
      <c r="D8304" s="25"/>
      <c r="E8304" s="25"/>
      <c r="F8304" s="25"/>
      <c r="G8304" s="28"/>
      <c r="H8304" s="32"/>
    </row>
    <row r="8305" spans="1:8" x14ac:dyDescent="0.3">
      <c r="A8305" s="27"/>
      <c r="B8305" s="28"/>
      <c r="C8305" s="24"/>
      <c r="D8305" s="25"/>
      <c r="E8305" s="25"/>
      <c r="F8305" s="25"/>
      <c r="G8305" s="28"/>
      <c r="H8305" s="32"/>
    </row>
    <row r="8306" spans="1:8" x14ac:dyDescent="0.3">
      <c r="A8306" s="27"/>
      <c r="B8306" s="28"/>
      <c r="C8306" s="24"/>
      <c r="D8306" s="25"/>
      <c r="E8306" s="25"/>
      <c r="F8306" s="25"/>
      <c r="G8306" s="28"/>
      <c r="H8306" s="32"/>
    </row>
    <row r="8307" spans="1:8" x14ac:dyDescent="0.3">
      <c r="A8307" s="27"/>
      <c r="B8307" s="28"/>
      <c r="C8307" s="24"/>
      <c r="D8307" s="25"/>
      <c r="E8307" s="25"/>
      <c r="F8307" s="25"/>
      <c r="G8307" s="28"/>
      <c r="H8307" s="32"/>
    </row>
    <row r="8308" spans="1:8" x14ac:dyDescent="0.3">
      <c r="A8308" s="27"/>
      <c r="B8308" s="28"/>
      <c r="C8308" s="24"/>
      <c r="D8308" s="25"/>
      <c r="E8308" s="25"/>
      <c r="F8308" s="25"/>
      <c r="G8308" s="28"/>
      <c r="H8308" s="32"/>
    </row>
    <row r="8309" spans="1:8" x14ac:dyDescent="0.3">
      <c r="A8309" s="27"/>
      <c r="B8309" s="28"/>
      <c r="C8309" s="24"/>
      <c r="D8309" s="25"/>
      <c r="E8309" s="25"/>
      <c r="F8309" s="25"/>
      <c r="G8309" s="28"/>
      <c r="H8309" s="32"/>
    </row>
    <row r="8310" spans="1:8" ht="15.6" x14ac:dyDescent="0.3">
      <c r="A8310" s="497" t="s">
        <v>97</v>
      </c>
      <c r="B8310" s="498"/>
      <c r="C8310" s="24"/>
      <c r="D8310" s="25"/>
      <c r="E8310" s="25"/>
      <c r="F8310" s="116" t="s">
        <v>46</v>
      </c>
      <c r="G8310" s="26"/>
      <c r="H8310" s="66">
        <v>4000</v>
      </c>
    </row>
    <row r="8311" spans="1:8" ht="15.6" x14ac:dyDescent="0.3">
      <c r="A8311" s="497" t="s">
        <v>1468</v>
      </c>
      <c r="B8311" s="498"/>
      <c r="C8311" s="498"/>
      <c r="D8311" s="498"/>
      <c r="E8311" s="67"/>
      <c r="F8311" s="116" t="s">
        <v>47</v>
      </c>
      <c r="G8311" s="26"/>
      <c r="H8311" s="66">
        <f>H8312</f>
        <v>360</v>
      </c>
    </row>
    <row r="8312" spans="1:8" ht="15.6" x14ac:dyDescent="0.3">
      <c r="A8312" s="27"/>
      <c r="B8312" s="28"/>
      <c r="C8312" s="24"/>
      <c r="D8312" s="25"/>
      <c r="E8312" s="25"/>
      <c r="F8312" s="116" t="s">
        <v>48</v>
      </c>
      <c r="G8312" s="26"/>
      <c r="H8312" s="66">
        <f>H8310*9%</f>
        <v>360</v>
      </c>
    </row>
    <row r="8313" spans="1:8" ht="15.6" x14ac:dyDescent="0.3">
      <c r="A8313" s="497" t="s">
        <v>49</v>
      </c>
      <c r="B8313" s="498"/>
      <c r="C8313" s="498"/>
      <c r="D8313" s="25"/>
      <c r="E8313" s="25"/>
      <c r="F8313" s="116" t="s">
        <v>50</v>
      </c>
      <c r="G8313" s="26"/>
      <c r="H8313" s="66">
        <v>4720</v>
      </c>
    </row>
    <row r="8314" spans="1:8" ht="27" x14ac:dyDescent="0.3">
      <c r="A8314" s="68" t="s">
        <v>22</v>
      </c>
      <c r="B8314" s="69" t="s">
        <v>51</v>
      </c>
      <c r="C8314" s="70" t="s">
        <v>24</v>
      </c>
      <c r="D8314" s="31" t="s">
        <v>25</v>
      </c>
      <c r="E8314" s="528" t="s">
        <v>52</v>
      </c>
      <c r="F8314" s="528"/>
      <c r="G8314" s="28"/>
      <c r="H8314" s="32"/>
    </row>
    <row r="8315" spans="1:8" x14ac:dyDescent="0.3">
      <c r="A8315" s="72">
        <v>0.18</v>
      </c>
      <c r="B8315" s="73">
        <f>H8310</f>
        <v>4000</v>
      </c>
      <c r="C8315" s="74">
        <f>H8311</f>
        <v>360</v>
      </c>
      <c r="D8315" s="74">
        <f>H8312</f>
        <v>360</v>
      </c>
      <c r="E8315" s="507">
        <f>C8315+D8315</f>
        <v>720</v>
      </c>
      <c r="F8315" s="507"/>
      <c r="G8315" s="74"/>
      <c r="H8315" s="75"/>
    </row>
    <row r="8316" spans="1:8" x14ac:dyDescent="0.3">
      <c r="A8316" s="452" t="s">
        <v>1469</v>
      </c>
      <c r="B8316" s="453"/>
      <c r="C8316" s="453"/>
      <c r="D8316" s="453"/>
      <c r="E8316" s="453"/>
      <c r="F8316" s="78"/>
      <c r="G8316" s="36"/>
      <c r="H8316" s="79"/>
    </row>
    <row r="8317" spans="1:8" ht="15.6" x14ac:dyDescent="0.3">
      <c r="A8317" s="455" t="s">
        <v>53</v>
      </c>
      <c r="B8317" s="456"/>
      <c r="C8317" s="456"/>
      <c r="D8317" s="117"/>
      <c r="E8317" s="118" t="s">
        <v>54</v>
      </c>
      <c r="F8317" s="37"/>
      <c r="G8317" s="37"/>
      <c r="H8317" s="38"/>
    </row>
    <row r="8318" spans="1:8" x14ac:dyDescent="0.3">
      <c r="A8318" s="100" t="s">
        <v>55</v>
      </c>
      <c r="B8318" s="101"/>
      <c r="C8318" s="101"/>
      <c r="D8318" s="102"/>
      <c r="E8318" s="25"/>
      <c r="F8318" s="25"/>
      <c r="G8318" s="28"/>
      <c r="H8318" s="32"/>
    </row>
    <row r="8319" spans="1:8" x14ac:dyDescent="0.3">
      <c r="A8319" s="461" t="s">
        <v>56</v>
      </c>
      <c r="B8319" s="462"/>
      <c r="C8319" s="462"/>
      <c r="D8319" s="463"/>
      <c r="E8319" s="25"/>
      <c r="F8319" s="25"/>
      <c r="G8319" s="28"/>
      <c r="H8319" s="32"/>
    </row>
    <row r="8320" spans="1:8" x14ac:dyDescent="0.3">
      <c r="A8320" s="461" t="s">
        <v>57</v>
      </c>
      <c r="B8320" s="462"/>
      <c r="C8320" s="462"/>
      <c r="D8320" s="463"/>
      <c r="E8320" s="25"/>
      <c r="F8320" s="25"/>
      <c r="G8320" s="28"/>
      <c r="H8320" s="32"/>
    </row>
    <row r="8321" spans="1:9" ht="15.6" x14ac:dyDescent="0.3">
      <c r="A8321" s="464" t="s">
        <v>58</v>
      </c>
      <c r="B8321" s="465"/>
      <c r="C8321" s="465"/>
      <c r="D8321" s="510"/>
      <c r="E8321" s="466" t="s">
        <v>59</v>
      </c>
      <c r="F8321" s="467"/>
      <c r="G8321" s="467"/>
      <c r="H8321" s="468"/>
    </row>
    <row r="8325" spans="1:9" ht="44.4" x14ac:dyDescent="0.7">
      <c r="A8325" s="469" t="s">
        <v>0</v>
      </c>
      <c r="B8325" s="470"/>
      <c r="C8325" s="470"/>
      <c r="D8325" s="470"/>
      <c r="E8325" s="531" t="s">
        <v>1</v>
      </c>
      <c r="F8325" s="544"/>
      <c r="G8325" s="544"/>
      <c r="H8325" s="545"/>
    </row>
    <row r="8326" spans="1:9" ht="20.399999999999999" x14ac:dyDescent="0.35">
      <c r="A8326" s="1"/>
      <c r="B8326" s="476" t="s">
        <v>2</v>
      </c>
      <c r="C8326" s="476"/>
      <c r="D8326" s="476"/>
      <c r="E8326" s="546"/>
      <c r="F8326" s="546"/>
      <c r="G8326" s="546"/>
      <c r="H8326" s="547"/>
    </row>
    <row r="8327" spans="1:9" x14ac:dyDescent="0.3">
      <c r="A8327" s="477" t="s">
        <v>3</v>
      </c>
      <c r="B8327" s="511"/>
      <c r="C8327" s="136"/>
      <c r="D8327" s="499" t="s">
        <v>4</v>
      </c>
      <c r="E8327" s="499"/>
      <c r="F8327" s="235"/>
      <c r="G8327" s="137" t="s">
        <v>134</v>
      </c>
      <c r="H8327" s="120"/>
    </row>
    <row r="8328" spans="1:9" ht="15.6" x14ac:dyDescent="0.3">
      <c r="A8328" s="4" t="s">
        <v>6</v>
      </c>
      <c r="B8328" s="5"/>
      <c r="C8328" s="512" t="s">
        <v>7</v>
      </c>
      <c r="D8328" s="513"/>
      <c r="E8328" s="482">
        <v>181</v>
      </c>
      <c r="F8328" s="482"/>
      <c r="G8328" s="7" t="s">
        <v>8</v>
      </c>
      <c r="H8328" s="9">
        <v>46083</v>
      </c>
    </row>
    <row r="8329" spans="1:9" ht="15.6" x14ac:dyDescent="0.3">
      <c r="A8329" s="514" t="s">
        <v>540</v>
      </c>
      <c r="B8329" s="515"/>
      <c r="C8329" s="516" t="s">
        <v>10</v>
      </c>
      <c r="D8329" s="481"/>
      <c r="E8329" s="482"/>
      <c r="F8329" s="482"/>
      <c r="G8329" s="7" t="s">
        <v>8</v>
      </c>
      <c r="H8329" s="9"/>
    </row>
    <row r="8330" spans="1:9" ht="15" x14ac:dyDescent="0.3">
      <c r="A8330" s="517" t="s">
        <v>541</v>
      </c>
      <c r="B8330" s="518"/>
      <c r="C8330" s="484" t="s">
        <v>12</v>
      </c>
      <c r="D8330" s="519"/>
      <c r="E8330" s="520"/>
      <c r="F8330" s="520"/>
      <c r="G8330" s="10" t="s">
        <v>8</v>
      </c>
      <c r="H8330" s="11"/>
    </row>
    <row r="8331" spans="1:9" ht="15.6" x14ac:dyDescent="0.3">
      <c r="A8331" s="517"/>
      <c r="B8331" s="518"/>
      <c r="C8331" s="521" t="s">
        <v>15</v>
      </c>
      <c r="D8331" s="522"/>
      <c r="E8331" s="523" t="s">
        <v>542</v>
      </c>
      <c r="F8331" s="524"/>
      <c r="G8331" s="524"/>
      <c r="H8331" s="6"/>
    </row>
    <row r="8332" spans="1:9" ht="15.6" x14ac:dyDescent="0.3">
      <c r="A8332" s="12" t="s">
        <v>13</v>
      </c>
      <c r="B8332" s="13" t="s">
        <v>14</v>
      </c>
      <c r="C8332" s="230"/>
      <c r="D8332" s="231"/>
      <c r="E8332" s="232"/>
      <c r="F8332" s="233"/>
      <c r="G8332" s="233"/>
      <c r="H8332" s="231"/>
    </row>
    <row r="8333" spans="1:9" ht="15" x14ac:dyDescent="0.3">
      <c r="A8333" s="527" t="s">
        <v>17</v>
      </c>
      <c r="B8333" s="505" t="s">
        <v>18</v>
      </c>
      <c r="C8333" s="494" t="s">
        <v>19</v>
      </c>
      <c r="D8333" s="494" t="s">
        <v>20</v>
      </c>
      <c r="E8333" s="494" t="s">
        <v>21</v>
      </c>
      <c r="F8333" s="494" t="s">
        <v>22</v>
      </c>
      <c r="G8333" s="494"/>
      <c r="H8333" s="492" t="s">
        <v>23</v>
      </c>
    </row>
    <row r="8334" spans="1:9" ht="27.6" x14ac:dyDescent="0.3">
      <c r="A8334" s="492"/>
      <c r="B8334" s="494"/>
      <c r="C8334" s="494"/>
      <c r="D8334" s="494"/>
      <c r="E8334" s="494"/>
      <c r="F8334" s="53" t="s">
        <v>24</v>
      </c>
      <c r="G8334" s="53" t="s">
        <v>25</v>
      </c>
      <c r="H8334" s="492"/>
    </row>
    <row r="8335" spans="1:9" x14ac:dyDescent="0.3">
      <c r="A8335" s="57">
        <v>1</v>
      </c>
      <c r="B8335" s="60" t="s">
        <v>1460</v>
      </c>
      <c r="C8335" s="57">
        <v>1</v>
      </c>
      <c r="D8335" s="56">
        <v>998719</v>
      </c>
      <c r="E8335" s="57">
        <v>13000</v>
      </c>
      <c r="F8335" s="93">
        <f>E8335*C8335*9%</f>
        <v>1170</v>
      </c>
      <c r="G8335" s="93">
        <f t="shared" ref="G8335:G8341" si="203">F8335</f>
        <v>1170</v>
      </c>
      <c r="H8335" s="62">
        <f t="shared" ref="H8335:H8341" si="204">G8335+F8335+E8335*C8335</f>
        <v>15340</v>
      </c>
      <c r="I8335" s="362">
        <f>E8335*C8335</f>
        <v>13000</v>
      </c>
    </row>
    <row r="8336" spans="1:9" x14ac:dyDescent="0.3">
      <c r="A8336" s="57">
        <v>2</v>
      </c>
      <c r="B8336" s="60" t="s">
        <v>1461</v>
      </c>
      <c r="C8336" s="57">
        <v>1</v>
      </c>
      <c r="D8336" s="56">
        <v>998719</v>
      </c>
      <c r="E8336" s="185">
        <v>14500</v>
      </c>
      <c r="F8336" s="93">
        <f t="shared" ref="F8336:F8341" si="205">E8336*C8336*9%</f>
        <v>1305</v>
      </c>
      <c r="G8336" s="93">
        <f t="shared" si="203"/>
        <v>1305</v>
      </c>
      <c r="H8336" s="62">
        <f t="shared" si="204"/>
        <v>17110</v>
      </c>
      <c r="I8336" s="362">
        <f t="shared" ref="I8336:I8341" si="206">E8336*C8336</f>
        <v>14500</v>
      </c>
    </row>
    <row r="8337" spans="1:9" x14ac:dyDescent="0.3">
      <c r="A8337" s="57">
        <v>3</v>
      </c>
      <c r="B8337" s="395" t="s">
        <v>1458</v>
      </c>
      <c r="C8337" s="188">
        <v>4</v>
      </c>
      <c r="D8337" s="56">
        <v>998719</v>
      </c>
      <c r="E8337" s="185">
        <v>3000</v>
      </c>
      <c r="F8337" s="93">
        <f t="shared" ref="F8337" si="207">E8337*C8337*9%</f>
        <v>1080</v>
      </c>
      <c r="G8337" s="93">
        <f t="shared" ref="G8337" si="208">F8337</f>
        <v>1080</v>
      </c>
      <c r="H8337" s="62">
        <f t="shared" si="204"/>
        <v>14160</v>
      </c>
      <c r="I8337" s="362">
        <f t="shared" si="206"/>
        <v>12000</v>
      </c>
    </row>
    <row r="8338" spans="1:9" x14ac:dyDescent="0.3">
      <c r="A8338" s="57">
        <v>3</v>
      </c>
      <c r="B8338" s="237" t="s">
        <v>1463</v>
      </c>
      <c r="C8338" s="188">
        <v>20</v>
      </c>
      <c r="D8338" s="56">
        <v>998719</v>
      </c>
      <c r="E8338" s="57">
        <v>100</v>
      </c>
      <c r="F8338" s="93">
        <f t="shared" si="205"/>
        <v>180</v>
      </c>
      <c r="G8338" s="93">
        <f t="shared" si="203"/>
        <v>180</v>
      </c>
      <c r="H8338" s="62">
        <f t="shared" si="204"/>
        <v>2360</v>
      </c>
      <c r="I8338" s="362">
        <f t="shared" si="206"/>
        <v>2000</v>
      </c>
    </row>
    <row r="8339" spans="1:9" x14ac:dyDescent="0.3">
      <c r="A8339" s="57">
        <v>4</v>
      </c>
      <c r="B8339" s="238" t="s">
        <v>1464</v>
      </c>
      <c r="C8339" s="57">
        <v>2</v>
      </c>
      <c r="D8339" s="56">
        <v>998719</v>
      </c>
      <c r="E8339" s="57">
        <v>5000</v>
      </c>
      <c r="F8339" s="93">
        <f t="shared" si="205"/>
        <v>900</v>
      </c>
      <c r="G8339" s="93">
        <f t="shared" si="203"/>
        <v>900</v>
      </c>
      <c r="H8339" s="62">
        <f t="shared" si="204"/>
        <v>11800</v>
      </c>
      <c r="I8339" s="362">
        <f t="shared" si="206"/>
        <v>10000</v>
      </c>
    </row>
    <row r="8340" spans="1:9" x14ac:dyDescent="0.3">
      <c r="A8340" s="57">
        <v>5</v>
      </c>
      <c r="B8340" s="238" t="s">
        <v>1462</v>
      </c>
      <c r="C8340" s="57">
        <v>70</v>
      </c>
      <c r="D8340" s="56">
        <v>27101985</v>
      </c>
      <c r="E8340" s="57">
        <v>150</v>
      </c>
      <c r="F8340" s="58">
        <f t="shared" si="205"/>
        <v>945</v>
      </c>
      <c r="G8340" s="58">
        <f t="shared" si="203"/>
        <v>945</v>
      </c>
      <c r="H8340" s="59">
        <f t="shared" si="204"/>
        <v>12390</v>
      </c>
      <c r="I8340" s="362">
        <f t="shared" si="206"/>
        <v>10500</v>
      </c>
    </row>
    <row r="8341" spans="1:9" x14ac:dyDescent="0.3">
      <c r="A8341" s="57">
        <v>6</v>
      </c>
      <c r="B8341" s="60" t="s">
        <v>1465</v>
      </c>
      <c r="C8341" s="239">
        <v>4</v>
      </c>
      <c r="D8341" s="56">
        <v>998719</v>
      </c>
      <c r="E8341" s="57">
        <v>1500</v>
      </c>
      <c r="F8341" s="58">
        <f t="shared" si="205"/>
        <v>540</v>
      </c>
      <c r="G8341" s="58">
        <f t="shared" si="203"/>
        <v>540</v>
      </c>
      <c r="H8341" s="59">
        <f t="shared" si="204"/>
        <v>7080</v>
      </c>
      <c r="I8341" s="362">
        <f t="shared" si="206"/>
        <v>6000</v>
      </c>
    </row>
    <row r="8342" spans="1:9" x14ac:dyDescent="0.3">
      <c r="A8342" s="173"/>
      <c r="B8342" s="174"/>
      <c r="C8342" s="264"/>
      <c r="D8342" s="152"/>
      <c r="E8342" s="175"/>
      <c r="F8342" s="165"/>
      <c r="G8342" s="165"/>
      <c r="H8342" s="166"/>
    </row>
    <row r="8343" spans="1:9" x14ac:dyDescent="0.3">
      <c r="A8343" s="173"/>
      <c r="B8343" s="174"/>
      <c r="C8343" s="264"/>
      <c r="D8343" s="152"/>
      <c r="E8343" s="175"/>
      <c r="F8343" s="165"/>
      <c r="G8343" s="165"/>
      <c r="H8343" s="166"/>
    </row>
    <row r="8344" spans="1:9" x14ac:dyDescent="0.3">
      <c r="A8344" s="173"/>
      <c r="B8344" s="174"/>
      <c r="C8344" s="264"/>
      <c r="D8344" s="152"/>
      <c r="E8344" s="175"/>
      <c r="F8344" s="165"/>
      <c r="G8344" s="165"/>
      <c r="H8344" s="166"/>
    </row>
    <row r="8345" spans="1:9" x14ac:dyDescent="0.3">
      <c r="A8345" s="173"/>
      <c r="B8345" s="174"/>
      <c r="C8345" s="264"/>
      <c r="D8345" s="152"/>
      <c r="E8345" s="175"/>
      <c r="F8345" s="165"/>
      <c r="G8345" s="165"/>
      <c r="H8345" s="166"/>
    </row>
    <row r="8346" spans="1:9" x14ac:dyDescent="0.3">
      <c r="A8346" s="173"/>
      <c r="B8346" s="174"/>
      <c r="C8346" s="264"/>
      <c r="D8346" s="152"/>
      <c r="E8346" s="175"/>
      <c r="F8346" s="165"/>
      <c r="G8346" s="165"/>
      <c r="H8346" s="166"/>
    </row>
    <row r="8347" spans="1:9" x14ac:dyDescent="0.3">
      <c r="A8347" s="173"/>
      <c r="B8347" s="174"/>
      <c r="C8347" s="264"/>
      <c r="D8347" s="152"/>
      <c r="E8347" s="175"/>
      <c r="F8347" s="165"/>
      <c r="G8347" s="165"/>
      <c r="H8347" s="166"/>
    </row>
    <row r="8348" spans="1:9" x14ac:dyDescent="0.3">
      <c r="A8348" s="173"/>
      <c r="B8348" s="174"/>
      <c r="C8348" s="264"/>
      <c r="D8348" s="152"/>
      <c r="E8348" s="175"/>
      <c r="F8348" s="165"/>
      <c r="G8348" s="165"/>
      <c r="H8348" s="166"/>
    </row>
    <row r="8349" spans="1:9" x14ac:dyDescent="0.3">
      <c r="A8349" s="173"/>
      <c r="B8349" s="174"/>
      <c r="C8349" s="264"/>
      <c r="D8349" s="152"/>
      <c r="E8349" s="175"/>
      <c r="F8349" s="165"/>
      <c r="G8349" s="165"/>
      <c r="H8349" s="166"/>
    </row>
    <row r="8350" spans="1:9" x14ac:dyDescent="0.3">
      <c r="A8350" s="173"/>
      <c r="B8350" s="174"/>
      <c r="C8350" s="264"/>
      <c r="D8350" s="152"/>
      <c r="E8350" s="175"/>
      <c r="F8350" s="165"/>
      <c r="G8350" s="165"/>
      <c r="H8350" s="166"/>
    </row>
    <row r="8351" spans="1:9" x14ac:dyDescent="0.3">
      <c r="A8351" s="173"/>
      <c r="B8351" s="174"/>
      <c r="C8351" s="264"/>
      <c r="D8351" s="152"/>
      <c r="E8351" s="175"/>
      <c r="F8351" s="165"/>
      <c r="G8351" s="165"/>
      <c r="H8351" s="166"/>
    </row>
    <row r="8352" spans="1:9" x14ac:dyDescent="0.3">
      <c r="A8352" s="173"/>
      <c r="B8352" s="174"/>
      <c r="C8352" s="175"/>
      <c r="D8352" s="152"/>
      <c r="E8352" s="175"/>
      <c r="F8352" s="165"/>
      <c r="G8352" s="165"/>
      <c r="H8352" s="166"/>
    </row>
    <row r="8353" spans="1:8" x14ac:dyDescent="0.3">
      <c r="A8353" s="173"/>
      <c r="B8353" s="174"/>
      <c r="C8353" s="175"/>
      <c r="D8353" s="152"/>
      <c r="E8353" s="175"/>
      <c r="F8353" s="165"/>
      <c r="G8353" s="165"/>
      <c r="H8353" s="166"/>
    </row>
    <row r="8354" spans="1:8" x14ac:dyDescent="0.3">
      <c r="A8354" s="27"/>
      <c r="B8354" s="174"/>
      <c r="C8354" s="24"/>
      <c r="D8354" s="152"/>
      <c r="E8354" s="175"/>
      <c r="F8354" s="175"/>
      <c r="G8354" s="162"/>
      <c r="H8354" s="154"/>
    </row>
    <row r="8355" spans="1:8" x14ac:dyDescent="0.3">
      <c r="A8355" s="27"/>
      <c r="B8355" s="174"/>
      <c r="C8355" s="24"/>
      <c r="D8355" s="152"/>
      <c r="E8355" s="25"/>
      <c r="F8355" s="175"/>
      <c r="G8355" s="162"/>
      <c r="H8355" s="154"/>
    </row>
    <row r="8356" spans="1:8" x14ac:dyDescent="0.3">
      <c r="A8356" s="27"/>
      <c r="B8356" s="28"/>
      <c r="C8356" s="24"/>
      <c r="D8356" s="152"/>
      <c r="E8356" s="25"/>
      <c r="F8356" s="175"/>
      <c r="G8356" s="162"/>
      <c r="H8356" s="154"/>
    </row>
    <row r="8357" spans="1:8" x14ac:dyDescent="0.3">
      <c r="A8357" s="27"/>
      <c r="B8357" s="28"/>
      <c r="C8357" s="24"/>
      <c r="D8357" s="25"/>
      <c r="E8357" s="25"/>
      <c r="F8357" s="25"/>
      <c r="G8357" s="28"/>
      <c r="H8357" s="32"/>
    </row>
    <row r="8358" spans="1:8" ht="15.6" x14ac:dyDescent="0.3">
      <c r="A8358" s="448" t="s">
        <v>45</v>
      </c>
      <c r="B8358" s="449"/>
      <c r="C8358" s="24"/>
      <c r="D8358" s="25"/>
      <c r="E8358" s="25"/>
      <c r="F8358" s="447" t="s">
        <v>46</v>
      </c>
      <c r="G8358" s="447"/>
      <c r="H8358" s="66">
        <v>68000</v>
      </c>
    </row>
    <row r="8359" spans="1:8" ht="15.6" x14ac:dyDescent="0.3">
      <c r="A8359" s="497" t="s">
        <v>1466</v>
      </c>
      <c r="B8359" s="498"/>
      <c r="C8359" s="498"/>
      <c r="D8359" s="498"/>
      <c r="E8359" s="498"/>
      <c r="F8359" s="447" t="s">
        <v>47</v>
      </c>
      <c r="G8359" s="447"/>
      <c r="H8359" s="66">
        <f>H8358*9%</f>
        <v>6120</v>
      </c>
    </row>
    <row r="8360" spans="1:8" ht="15.6" x14ac:dyDescent="0.3">
      <c r="A8360" s="27"/>
      <c r="B8360" s="28"/>
      <c r="C8360" s="24"/>
      <c r="D8360" s="25"/>
      <c r="E8360" s="25"/>
      <c r="F8360" s="447" t="s">
        <v>48</v>
      </c>
      <c r="G8360" s="447"/>
      <c r="H8360" s="66">
        <f>H8359</f>
        <v>6120</v>
      </c>
    </row>
    <row r="8361" spans="1:8" ht="15.6" x14ac:dyDescent="0.3">
      <c r="A8361" s="448" t="s">
        <v>49</v>
      </c>
      <c r="B8361" s="449"/>
      <c r="C8361" s="24"/>
      <c r="D8361" s="25"/>
      <c r="E8361" s="25"/>
      <c r="F8361" s="447" t="s">
        <v>50</v>
      </c>
      <c r="G8361" s="447"/>
      <c r="H8361" s="66">
        <v>80240</v>
      </c>
    </row>
    <row r="8362" spans="1:8" ht="15.6" x14ac:dyDescent="0.3">
      <c r="A8362" s="260"/>
      <c r="B8362" s="177"/>
      <c r="C8362" s="24"/>
      <c r="D8362" s="25"/>
      <c r="E8362" s="25"/>
      <c r="F8362" s="26"/>
      <c r="G8362" s="26"/>
      <c r="H8362" s="66"/>
    </row>
    <row r="8363" spans="1:8" ht="27" x14ac:dyDescent="0.3">
      <c r="A8363" s="29" t="s">
        <v>22</v>
      </c>
      <c r="B8363" s="30" t="s">
        <v>51</v>
      </c>
      <c r="C8363" s="31" t="s">
        <v>24</v>
      </c>
      <c r="D8363" s="31" t="s">
        <v>25</v>
      </c>
      <c r="E8363" s="528" t="s">
        <v>52</v>
      </c>
      <c r="F8363" s="528"/>
      <c r="G8363" s="28"/>
      <c r="H8363" s="32"/>
    </row>
    <row r="8364" spans="1:8" x14ac:dyDescent="0.3">
      <c r="A8364" s="33">
        <v>0.18</v>
      </c>
      <c r="B8364" s="34">
        <f>H8358</f>
        <v>68000</v>
      </c>
      <c r="C8364" s="240">
        <f>H8359</f>
        <v>6120</v>
      </c>
      <c r="D8364" s="240">
        <f>H8360</f>
        <v>6120</v>
      </c>
      <c r="E8364" s="529">
        <f>C8364+D8364</f>
        <v>12240</v>
      </c>
      <c r="F8364" s="530"/>
      <c r="G8364" s="28"/>
      <c r="H8364" s="32"/>
    </row>
    <row r="8365" spans="1:8" x14ac:dyDescent="0.3">
      <c r="A8365" s="452" t="s">
        <v>1467</v>
      </c>
      <c r="B8365" s="453"/>
      <c r="C8365" s="453"/>
      <c r="D8365" s="453"/>
      <c r="E8365" s="453"/>
      <c r="F8365" s="453"/>
      <c r="G8365" s="453"/>
      <c r="H8365" s="454"/>
    </row>
    <row r="8366" spans="1:8" ht="15.6" x14ac:dyDescent="0.3">
      <c r="A8366" s="455" t="s">
        <v>53</v>
      </c>
      <c r="B8366" s="456"/>
      <c r="C8366" s="456"/>
      <c r="D8366" s="117"/>
      <c r="E8366" s="458" t="s">
        <v>54</v>
      </c>
      <c r="F8366" s="459"/>
      <c r="G8366" s="459"/>
      <c r="H8366" s="460"/>
    </row>
    <row r="8367" spans="1:8" x14ac:dyDescent="0.3">
      <c r="A8367" s="100" t="s">
        <v>55</v>
      </c>
      <c r="B8367" s="101"/>
      <c r="C8367" s="101"/>
      <c r="D8367" s="102"/>
      <c r="E8367" s="39"/>
      <c r="F8367" s="25"/>
      <c r="G8367" s="28"/>
      <c r="H8367" s="32"/>
    </row>
    <row r="8368" spans="1:8" x14ac:dyDescent="0.3">
      <c r="A8368" s="461" t="s">
        <v>56</v>
      </c>
      <c r="B8368" s="462"/>
      <c r="C8368" s="462"/>
      <c r="D8368" s="463"/>
      <c r="E8368" s="39"/>
      <c r="F8368" s="25"/>
      <c r="G8368" s="28"/>
      <c r="H8368" s="32"/>
    </row>
    <row r="8369" spans="1:8" x14ac:dyDescent="0.3">
      <c r="A8369" s="461" t="s">
        <v>57</v>
      </c>
      <c r="B8369" s="462"/>
      <c r="C8369" s="462"/>
      <c r="D8369" s="463"/>
      <c r="E8369" s="25"/>
      <c r="F8369" s="25"/>
      <c r="G8369" s="28"/>
      <c r="H8369" s="32"/>
    </row>
    <row r="8370" spans="1:8" ht="15.6" x14ac:dyDescent="0.3">
      <c r="A8370" s="464" t="s">
        <v>58</v>
      </c>
      <c r="B8370" s="465"/>
      <c r="C8370" s="465"/>
      <c r="D8370" s="510"/>
      <c r="E8370" s="466" t="s">
        <v>59</v>
      </c>
      <c r="F8370" s="467"/>
      <c r="G8370" s="467"/>
      <c r="H8370" s="468"/>
    </row>
    <row r="8371" spans="1:8" ht="15.6" x14ac:dyDescent="0.3">
      <c r="A8371" s="24"/>
      <c r="B8371" s="28"/>
      <c r="C8371" s="24"/>
      <c r="D8371" s="25"/>
      <c r="E8371" s="105"/>
      <c r="F8371" s="105"/>
      <c r="G8371" s="105"/>
      <c r="H8371" s="105"/>
    </row>
    <row r="8373" spans="1:8" ht="44.4" x14ac:dyDescent="0.7">
      <c r="A8373" s="469" t="s">
        <v>0</v>
      </c>
      <c r="B8373" s="470"/>
      <c r="C8373" s="470"/>
      <c r="D8373" s="470"/>
      <c r="E8373" s="531" t="s">
        <v>1</v>
      </c>
      <c r="F8373" s="544"/>
      <c r="G8373" s="544"/>
      <c r="H8373" s="545"/>
    </row>
    <row r="8374" spans="1:8" ht="20.399999999999999" x14ac:dyDescent="0.35">
      <c r="A8374" s="1"/>
      <c r="B8374" s="476" t="s">
        <v>2</v>
      </c>
      <c r="C8374" s="476"/>
      <c r="D8374" s="476"/>
      <c r="E8374" s="546"/>
      <c r="F8374" s="546"/>
      <c r="G8374" s="546"/>
      <c r="H8374" s="547"/>
    </row>
    <row r="8375" spans="1:8" x14ac:dyDescent="0.3">
      <c r="A8375" s="477" t="s">
        <v>3</v>
      </c>
      <c r="B8375" s="478"/>
      <c r="C8375" s="136"/>
      <c r="D8375" s="499" t="s">
        <v>4</v>
      </c>
      <c r="E8375" s="499"/>
      <c r="F8375" s="137"/>
      <c r="G8375" s="137" t="s">
        <v>134</v>
      </c>
      <c r="H8375" s="120"/>
    </row>
    <row r="8376" spans="1:8" ht="15.6" x14ac:dyDescent="0.3">
      <c r="A8376" s="138" t="s">
        <v>6</v>
      </c>
      <c r="B8376" s="5"/>
      <c r="C8376" s="481" t="s">
        <v>7</v>
      </c>
      <c r="D8376" s="481"/>
      <c r="E8376" s="482">
        <v>182</v>
      </c>
      <c r="F8376" s="482"/>
      <c r="G8376" s="7" t="s">
        <v>8</v>
      </c>
      <c r="H8376" s="9">
        <v>46114</v>
      </c>
    </row>
    <row r="8377" spans="1:8" ht="15.6" x14ac:dyDescent="0.3">
      <c r="A8377" s="551" t="s">
        <v>135</v>
      </c>
      <c r="B8377" s="552"/>
      <c r="C8377" s="481" t="s">
        <v>10</v>
      </c>
      <c r="D8377" s="481"/>
      <c r="E8377" s="482"/>
      <c r="F8377" s="482"/>
      <c r="G8377" s="7" t="s">
        <v>8</v>
      </c>
      <c r="H8377" s="9"/>
    </row>
    <row r="8378" spans="1:8" ht="15" x14ac:dyDescent="0.3">
      <c r="A8378" s="517" t="s">
        <v>136</v>
      </c>
      <c r="B8378" s="553"/>
      <c r="C8378" s="483" t="s">
        <v>12</v>
      </c>
      <c r="D8378" s="484"/>
      <c r="E8378" s="615"/>
      <c r="F8378" s="616"/>
      <c r="G8378" s="10" t="s">
        <v>8</v>
      </c>
      <c r="H8378" s="57"/>
    </row>
    <row r="8379" spans="1:8" ht="15.6" x14ac:dyDescent="0.3">
      <c r="A8379" s="556" t="s">
        <v>137</v>
      </c>
      <c r="B8379" s="557"/>
      <c r="C8379" s="481" t="s">
        <v>15</v>
      </c>
      <c r="D8379" s="481"/>
      <c r="E8379" s="536" t="s">
        <v>138</v>
      </c>
      <c r="F8379" s="617"/>
      <c r="G8379" s="617"/>
      <c r="H8379" s="516"/>
    </row>
    <row r="8380" spans="1:8" ht="15.6" x14ac:dyDescent="0.3">
      <c r="A8380" s="558" t="s">
        <v>1470</v>
      </c>
      <c r="B8380" s="559"/>
      <c r="C8380" s="489"/>
      <c r="D8380" s="490"/>
      <c r="E8380" s="490"/>
      <c r="F8380" s="490"/>
      <c r="G8380" s="490"/>
      <c r="H8380" s="491"/>
    </row>
    <row r="8381" spans="1:8" ht="15" x14ac:dyDescent="0.3">
      <c r="A8381" s="492" t="s">
        <v>17</v>
      </c>
      <c r="B8381" s="494" t="s">
        <v>18</v>
      </c>
      <c r="C8381" s="494" t="s">
        <v>19</v>
      </c>
      <c r="D8381" s="494" t="s">
        <v>20</v>
      </c>
      <c r="E8381" s="494" t="s">
        <v>21</v>
      </c>
      <c r="F8381" s="494" t="s">
        <v>22</v>
      </c>
      <c r="G8381" s="494"/>
      <c r="H8381" s="492" t="s">
        <v>23</v>
      </c>
    </row>
    <row r="8382" spans="1:8" ht="27.6" x14ac:dyDescent="0.3">
      <c r="A8382" s="492"/>
      <c r="B8382" s="495"/>
      <c r="C8382" s="494"/>
      <c r="D8382" s="494"/>
      <c r="E8382" s="494"/>
      <c r="F8382" s="53" t="s">
        <v>24</v>
      </c>
      <c r="G8382" s="53" t="s">
        <v>25</v>
      </c>
      <c r="H8382" s="492"/>
    </row>
    <row r="8383" spans="1:8" x14ac:dyDescent="0.3">
      <c r="A8383" s="139">
        <v>1</v>
      </c>
      <c r="B8383" s="140" t="s">
        <v>1471</v>
      </c>
      <c r="C8383" s="141">
        <v>1</v>
      </c>
      <c r="D8383" s="86">
        <v>998719</v>
      </c>
      <c r="E8383" s="55">
        <v>3500</v>
      </c>
      <c r="F8383" s="93">
        <f>E8383*C8383*9%</f>
        <v>315</v>
      </c>
      <c r="G8383" s="93">
        <f>F8383</f>
        <v>315</v>
      </c>
      <c r="H8383" s="62">
        <f>G8383+F8383+E8383*C8383</f>
        <v>4130</v>
      </c>
    </row>
    <row r="8384" spans="1:8" x14ac:dyDescent="0.3">
      <c r="A8384" s="139"/>
      <c r="B8384" s="140"/>
      <c r="C8384" s="141"/>
      <c r="D8384" s="86"/>
      <c r="E8384" s="55"/>
      <c r="F8384" s="93"/>
      <c r="G8384" s="93"/>
      <c r="H8384" s="62"/>
    </row>
    <row r="8385" spans="1:8" x14ac:dyDescent="0.3">
      <c r="A8385" s="139"/>
      <c r="B8385" s="140"/>
      <c r="C8385" s="142"/>
      <c r="D8385" s="86"/>
      <c r="E8385" s="55"/>
      <c r="F8385" s="93"/>
      <c r="G8385" s="93"/>
      <c r="H8385" s="62"/>
    </row>
    <row r="8386" spans="1:8" x14ac:dyDescent="0.3">
      <c r="A8386" s="143"/>
      <c r="B8386" s="140"/>
      <c r="C8386" s="142"/>
      <c r="D8386" s="144"/>
      <c r="E8386" s="129"/>
      <c r="F8386" s="145"/>
      <c r="G8386" s="145"/>
      <c r="H8386" s="146"/>
    </row>
    <row r="8387" spans="1:8" x14ac:dyDescent="0.3">
      <c r="A8387" s="147"/>
      <c r="B8387" s="140"/>
      <c r="C8387" s="141"/>
      <c r="D8387" s="86"/>
      <c r="E8387" s="55"/>
      <c r="F8387" s="93"/>
      <c r="G8387" s="93"/>
      <c r="H8387" s="62"/>
    </row>
    <row r="8388" spans="1:8" x14ac:dyDescent="0.3">
      <c r="A8388" s="55"/>
      <c r="B8388" s="148"/>
      <c r="C8388" s="55"/>
      <c r="D8388" s="86"/>
      <c r="E8388" s="55"/>
      <c r="F8388" s="93"/>
      <c r="G8388" s="93"/>
      <c r="H8388" s="62"/>
    </row>
    <row r="8389" spans="1:8" x14ac:dyDescent="0.3">
      <c r="A8389" s="27"/>
      <c r="B8389" s="28"/>
      <c r="C8389" s="24"/>
      <c r="D8389" s="25"/>
      <c r="E8389" s="25"/>
      <c r="F8389" s="28"/>
      <c r="G8389" s="28"/>
      <c r="H8389" s="32"/>
    </row>
    <row r="8390" spans="1:8" x14ac:dyDescent="0.3">
      <c r="A8390" s="27"/>
      <c r="B8390" s="28"/>
      <c r="C8390" s="24"/>
      <c r="D8390" s="25"/>
      <c r="E8390" s="25"/>
      <c r="F8390" s="28"/>
      <c r="G8390" s="28"/>
      <c r="H8390" s="32"/>
    </row>
    <row r="8391" spans="1:8" x14ac:dyDescent="0.3">
      <c r="A8391" s="27"/>
      <c r="B8391" s="28"/>
      <c r="C8391" s="24"/>
      <c r="D8391" s="25"/>
      <c r="E8391" s="25"/>
      <c r="F8391" s="28"/>
      <c r="G8391" s="28"/>
      <c r="H8391" s="32"/>
    </row>
    <row r="8392" spans="1:8" x14ac:dyDescent="0.3">
      <c r="A8392" s="27"/>
      <c r="B8392" s="28"/>
      <c r="C8392" s="24"/>
      <c r="D8392" s="25"/>
      <c r="E8392" s="25"/>
      <c r="F8392" s="28"/>
      <c r="G8392" s="28"/>
      <c r="H8392" s="32"/>
    </row>
    <row r="8393" spans="1:8" x14ac:dyDescent="0.3">
      <c r="A8393" s="27"/>
      <c r="B8393" s="28"/>
      <c r="C8393" s="24"/>
      <c r="D8393" s="25"/>
      <c r="E8393" s="25"/>
      <c r="F8393" s="28"/>
      <c r="G8393" s="28"/>
      <c r="H8393" s="32"/>
    </row>
    <row r="8394" spans="1:8" x14ac:dyDescent="0.3">
      <c r="A8394" s="27"/>
      <c r="B8394" s="28"/>
      <c r="C8394" s="24"/>
      <c r="D8394" s="25"/>
      <c r="E8394" s="25"/>
      <c r="F8394" s="28"/>
      <c r="G8394" s="28"/>
      <c r="H8394" s="32"/>
    </row>
    <row r="8395" spans="1:8" x14ac:dyDescent="0.3">
      <c r="A8395" s="27"/>
      <c r="B8395" s="28"/>
      <c r="C8395" s="24"/>
      <c r="D8395" s="25"/>
      <c r="E8395" s="25"/>
      <c r="F8395" s="28"/>
      <c r="G8395" s="28"/>
      <c r="H8395" s="32"/>
    </row>
    <row r="8396" spans="1:8" x14ac:dyDescent="0.3">
      <c r="A8396" s="27"/>
      <c r="B8396" s="28"/>
      <c r="C8396" s="24"/>
      <c r="D8396" s="25"/>
      <c r="E8396" s="25"/>
      <c r="F8396" s="28"/>
      <c r="G8396" s="28"/>
      <c r="H8396" s="32"/>
    </row>
    <row r="8397" spans="1:8" x14ac:dyDescent="0.3">
      <c r="A8397" s="27"/>
      <c r="B8397" s="28"/>
      <c r="C8397" s="24"/>
      <c r="D8397" s="25"/>
      <c r="E8397" s="25"/>
      <c r="F8397" s="28"/>
      <c r="G8397" s="28"/>
      <c r="H8397" s="32"/>
    </row>
    <row r="8398" spans="1:8" x14ac:dyDescent="0.3">
      <c r="A8398" s="27"/>
      <c r="B8398" s="28"/>
      <c r="C8398" s="24"/>
      <c r="D8398" s="25"/>
      <c r="E8398" s="25"/>
      <c r="F8398" s="28"/>
      <c r="G8398" s="28"/>
      <c r="H8398" s="32"/>
    </row>
    <row r="8399" spans="1:8" x14ac:dyDescent="0.3">
      <c r="A8399" s="27"/>
      <c r="B8399" s="28"/>
      <c r="C8399" s="24"/>
      <c r="D8399" s="25"/>
      <c r="E8399" s="25"/>
      <c r="F8399" s="28"/>
      <c r="G8399" s="28"/>
      <c r="H8399" s="32"/>
    </row>
    <row r="8400" spans="1:8" x14ac:dyDescent="0.3">
      <c r="A8400" s="27"/>
      <c r="B8400" s="28"/>
      <c r="C8400" s="24"/>
      <c r="D8400" s="25"/>
      <c r="E8400" s="25"/>
      <c r="F8400" s="28"/>
      <c r="G8400" s="28"/>
      <c r="H8400" s="32"/>
    </row>
    <row r="8401" spans="1:8" x14ac:dyDescent="0.3">
      <c r="A8401" s="27"/>
      <c r="B8401" s="28"/>
      <c r="C8401" s="24"/>
      <c r="D8401" s="25"/>
      <c r="E8401" s="25"/>
      <c r="F8401" s="28"/>
      <c r="G8401" s="28"/>
      <c r="H8401" s="32"/>
    </row>
    <row r="8402" spans="1:8" x14ac:dyDescent="0.3">
      <c r="A8402" s="27"/>
      <c r="B8402" s="28"/>
      <c r="C8402" s="24"/>
      <c r="D8402" s="25"/>
      <c r="E8402" s="25"/>
      <c r="F8402" s="28"/>
      <c r="G8402" s="28"/>
      <c r="H8402" s="32"/>
    </row>
    <row r="8403" spans="1:8" x14ac:dyDescent="0.3">
      <c r="A8403" s="27"/>
      <c r="B8403" s="28"/>
      <c r="C8403" s="24"/>
      <c r="D8403" s="25"/>
      <c r="E8403" s="25"/>
      <c r="F8403" s="28"/>
      <c r="G8403" s="28"/>
      <c r="H8403" s="32"/>
    </row>
    <row r="8404" spans="1:8" x14ac:dyDescent="0.3">
      <c r="A8404" s="27"/>
      <c r="B8404" s="28"/>
      <c r="C8404" s="24"/>
      <c r="D8404" s="25"/>
      <c r="E8404" s="25"/>
      <c r="F8404" s="28"/>
      <c r="G8404" s="28"/>
      <c r="H8404" s="32"/>
    </row>
    <row r="8405" spans="1:8" ht="15.6" x14ac:dyDescent="0.3">
      <c r="A8405" s="448" t="s">
        <v>45</v>
      </c>
      <c r="B8405" s="449"/>
      <c r="C8405" s="449"/>
      <c r="D8405" s="25"/>
      <c r="E8405" s="25"/>
      <c r="F8405" s="447" t="s">
        <v>46</v>
      </c>
      <c r="G8405" s="447"/>
      <c r="H8405" s="66">
        <v>3500</v>
      </c>
    </row>
    <row r="8406" spans="1:8" ht="15.6" x14ac:dyDescent="0.3">
      <c r="A8406" s="497" t="s">
        <v>384</v>
      </c>
      <c r="B8406" s="498"/>
      <c r="C8406" s="498"/>
      <c r="D8406" s="498"/>
      <c r="E8406" s="498"/>
      <c r="F8406" s="447" t="s">
        <v>47</v>
      </c>
      <c r="G8406" s="447"/>
      <c r="H8406" s="66">
        <f>H8405*9%</f>
        <v>315</v>
      </c>
    </row>
    <row r="8407" spans="1:8" ht="15.6" x14ac:dyDescent="0.3">
      <c r="A8407" s="27"/>
      <c r="B8407" s="28"/>
      <c r="C8407" s="24"/>
      <c r="D8407" s="25"/>
      <c r="E8407" s="25"/>
      <c r="F8407" s="447" t="s">
        <v>48</v>
      </c>
      <c r="G8407" s="447"/>
      <c r="H8407" s="66">
        <f>H8405*9%</f>
        <v>315</v>
      </c>
    </row>
    <row r="8408" spans="1:8" ht="15.6" x14ac:dyDescent="0.3">
      <c r="A8408" s="448" t="s">
        <v>49</v>
      </c>
      <c r="B8408" s="449"/>
      <c r="C8408" s="24"/>
      <c r="D8408" s="25"/>
      <c r="E8408" s="25"/>
      <c r="F8408" s="447" t="s">
        <v>50</v>
      </c>
      <c r="G8408" s="447"/>
      <c r="H8408" s="66">
        <f>H8405+H8407+H8406</f>
        <v>4130</v>
      </c>
    </row>
    <row r="8409" spans="1:8" ht="27" x14ac:dyDescent="0.3">
      <c r="A8409" s="68" t="s">
        <v>22</v>
      </c>
      <c r="B8409" s="30" t="s">
        <v>51</v>
      </c>
      <c r="C8409" s="70" t="s">
        <v>24</v>
      </c>
      <c r="D8409" s="31" t="s">
        <v>25</v>
      </c>
      <c r="E8409" s="450" t="s">
        <v>52</v>
      </c>
      <c r="F8409" s="450"/>
      <c r="G8409" s="28"/>
      <c r="H8409" s="32"/>
    </row>
    <row r="8410" spans="1:8" x14ac:dyDescent="0.3">
      <c r="A8410" s="72">
        <v>0.18</v>
      </c>
      <c r="B8410" s="73">
        <f>H8405</f>
        <v>3500</v>
      </c>
      <c r="C8410" s="74">
        <f>H8406</f>
        <v>315</v>
      </c>
      <c r="D8410" s="74">
        <f>H8406</f>
        <v>315</v>
      </c>
      <c r="E8410" s="507">
        <f>C8410+D8410</f>
        <v>630</v>
      </c>
      <c r="F8410" s="507"/>
      <c r="G8410" s="74"/>
      <c r="H8410" s="75"/>
    </row>
    <row r="8411" spans="1:8" x14ac:dyDescent="0.3">
      <c r="A8411" s="508" t="s">
        <v>1472</v>
      </c>
      <c r="B8411" s="509"/>
      <c r="C8411" s="509"/>
      <c r="D8411" s="509"/>
      <c r="E8411" s="453"/>
      <c r="F8411" s="453"/>
      <c r="G8411" s="453"/>
      <c r="H8411" s="454"/>
    </row>
    <row r="8412" spans="1:8" ht="15.6" x14ac:dyDescent="0.3">
      <c r="A8412" s="455" t="s">
        <v>53</v>
      </c>
      <c r="B8412" s="456"/>
      <c r="C8412" s="456"/>
      <c r="D8412" s="457"/>
      <c r="E8412" s="458" t="s">
        <v>54</v>
      </c>
      <c r="F8412" s="459"/>
      <c r="G8412" s="459"/>
      <c r="H8412" s="460"/>
    </row>
    <row r="8413" spans="1:8" x14ac:dyDescent="0.3">
      <c r="A8413" s="461" t="s">
        <v>55</v>
      </c>
      <c r="B8413" s="462"/>
      <c r="C8413" s="462"/>
      <c r="D8413" s="463"/>
      <c r="E8413" s="39"/>
      <c r="F8413" s="28"/>
      <c r="G8413" s="28"/>
      <c r="H8413" s="32"/>
    </row>
    <row r="8414" spans="1:8" x14ac:dyDescent="0.3">
      <c r="A8414" s="461" t="s">
        <v>56</v>
      </c>
      <c r="B8414" s="462"/>
      <c r="C8414" s="462"/>
      <c r="D8414" s="463"/>
      <c r="E8414" s="39"/>
      <c r="F8414" s="28"/>
      <c r="G8414" s="28"/>
      <c r="H8414" s="32"/>
    </row>
    <row r="8415" spans="1:8" x14ac:dyDescent="0.3">
      <c r="A8415" s="461" t="s">
        <v>57</v>
      </c>
      <c r="B8415" s="462"/>
      <c r="C8415" s="462"/>
      <c r="D8415" s="463"/>
      <c r="E8415" s="39"/>
      <c r="F8415" s="28"/>
      <c r="G8415" s="28"/>
      <c r="H8415" s="32"/>
    </row>
    <row r="8416" spans="1:8" ht="15.6" x14ac:dyDescent="0.3">
      <c r="A8416" s="464" t="s">
        <v>58</v>
      </c>
      <c r="B8416" s="465"/>
      <c r="C8416" s="465"/>
      <c r="D8416" s="510"/>
      <c r="E8416" s="466" t="s">
        <v>59</v>
      </c>
      <c r="F8416" s="467"/>
      <c r="G8416" s="467"/>
      <c r="H8416" s="468"/>
    </row>
    <row r="8419" spans="1:8" ht="44.4" x14ac:dyDescent="0.7">
      <c r="A8419" s="469" t="s">
        <v>0</v>
      </c>
      <c r="B8419" s="470"/>
      <c r="C8419" s="470"/>
      <c r="D8419" s="470"/>
      <c r="E8419" s="531" t="s">
        <v>1</v>
      </c>
      <c r="F8419" s="544"/>
      <c r="G8419" s="544"/>
      <c r="H8419" s="545"/>
    </row>
    <row r="8420" spans="1:8" ht="20.399999999999999" x14ac:dyDescent="0.35">
      <c r="A8420" s="156"/>
      <c r="B8420" s="476" t="s">
        <v>2</v>
      </c>
      <c r="C8420" s="476"/>
      <c r="D8420" s="476"/>
      <c r="E8420" s="546"/>
      <c r="F8420" s="546"/>
      <c r="G8420" s="546"/>
      <c r="H8420" s="547"/>
    </row>
    <row r="8421" spans="1:8" x14ac:dyDescent="0.3">
      <c r="A8421" s="157" t="s">
        <v>3</v>
      </c>
      <c r="B8421" s="137"/>
      <c r="C8421" s="136"/>
      <c r="D8421" s="499" t="s">
        <v>4</v>
      </c>
      <c r="E8421" s="499"/>
      <c r="F8421" s="137"/>
      <c r="G8421" s="137" t="s">
        <v>134</v>
      </c>
      <c r="H8421" s="120"/>
    </row>
    <row r="8422" spans="1:8" ht="15.6" x14ac:dyDescent="0.3">
      <c r="A8422" s="158" t="s">
        <v>6</v>
      </c>
      <c r="B8422" s="5"/>
      <c r="C8422" s="481" t="s">
        <v>7</v>
      </c>
      <c r="D8422" s="481"/>
      <c r="E8422" s="482">
        <v>183</v>
      </c>
      <c r="F8422" s="482"/>
      <c r="G8422" s="7" t="s">
        <v>8</v>
      </c>
      <c r="H8422" s="9">
        <v>46114</v>
      </c>
    </row>
    <row r="8423" spans="1:8" ht="15.6" x14ac:dyDescent="0.3">
      <c r="A8423" s="551" t="s">
        <v>1183</v>
      </c>
      <c r="B8423" s="552"/>
      <c r="C8423" s="481" t="s">
        <v>10</v>
      </c>
      <c r="D8423" s="481"/>
      <c r="E8423" s="482"/>
      <c r="F8423" s="482"/>
      <c r="G8423" s="7" t="s">
        <v>8</v>
      </c>
      <c r="H8423" s="9"/>
    </row>
    <row r="8424" spans="1:8" ht="15" x14ac:dyDescent="0.3">
      <c r="A8424" s="517" t="s">
        <v>1395</v>
      </c>
      <c r="B8424" s="553"/>
      <c r="C8424" s="483" t="s">
        <v>12</v>
      </c>
      <c r="D8424" s="484"/>
      <c r="E8424" s="584"/>
      <c r="F8424" s="585"/>
      <c r="G8424" s="10" t="s">
        <v>8</v>
      </c>
      <c r="H8424" s="82"/>
    </row>
    <row r="8425" spans="1:8" ht="15.6" x14ac:dyDescent="0.3">
      <c r="A8425" s="556" t="s">
        <v>153</v>
      </c>
      <c r="B8425" s="557"/>
      <c r="C8425" s="481" t="s">
        <v>15</v>
      </c>
      <c r="D8425" s="481"/>
      <c r="E8425" s="502" t="s">
        <v>1182</v>
      </c>
      <c r="F8425" s="503"/>
      <c r="G8425" s="503"/>
      <c r="H8425" s="504"/>
    </row>
    <row r="8426" spans="1:8" ht="15.6" x14ac:dyDescent="0.3">
      <c r="A8426" s="558" t="s">
        <v>1473</v>
      </c>
      <c r="B8426" s="559"/>
      <c r="C8426" s="489"/>
      <c r="D8426" s="490"/>
      <c r="E8426" s="490"/>
      <c r="F8426" s="490"/>
      <c r="G8426" s="490"/>
      <c r="H8426" s="491"/>
    </row>
    <row r="8427" spans="1:8" ht="15" x14ac:dyDescent="0.3">
      <c r="A8427" s="492" t="s">
        <v>17</v>
      </c>
      <c r="B8427" s="494" t="s">
        <v>18</v>
      </c>
      <c r="C8427" s="494" t="s">
        <v>19</v>
      </c>
      <c r="D8427" s="494" t="s">
        <v>20</v>
      </c>
      <c r="E8427" s="494" t="s">
        <v>21</v>
      </c>
      <c r="F8427" s="494" t="s">
        <v>22</v>
      </c>
      <c r="G8427" s="494"/>
      <c r="H8427" s="493" t="s">
        <v>23</v>
      </c>
    </row>
    <row r="8428" spans="1:8" ht="27.6" x14ac:dyDescent="0.3">
      <c r="A8428" s="492"/>
      <c r="B8428" s="494"/>
      <c r="C8428" s="494"/>
      <c r="D8428" s="494"/>
      <c r="E8428" s="494"/>
      <c r="F8428" s="53" t="s">
        <v>24</v>
      </c>
      <c r="G8428" s="53" t="s">
        <v>25</v>
      </c>
      <c r="H8428" s="527"/>
    </row>
    <row r="8429" spans="1:8" ht="27.6" x14ac:dyDescent="0.3">
      <c r="A8429" s="55">
        <v>1</v>
      </c>
      <c r="B8429" s="130" t="s">
        <v>1474</v>
      </c>
      <c r="C8429" s="55">
        <v>1</v>
      </c>
      <c r="D8429" s="86">
        <v>998719</v>
      </c>
      <c r="E8429" s="55">
        <v>2500</v>
      </c>
      <c r="F8429" s="93">
        <f>E8429*C8429*9%</f>
        <v>225</v>
      </c>
      <c r="G8429" s="93">
        <f>F8429</f>
        <v>225</v>
      </c>
      <c r="H8429" s="62">
        <f>G8429+F8429+E8429*C8429</f>
        <v>2950</v>
      </c>
    </row>
    <row r="8430" spans="1:8" x14ac:dyDescent="0.3">
      <c r="A8430" s="57">
        <v>2</v>
      </c>
      <c r="B8430" s="130" t="s">
        <v>1475</v>
      </c>
      <c r="C8430" s="57">
        <v>1</v>
      </c>
      <c r="D8430" s="86">
        <v>998719</v>
      </c>
      <c r="E8430" s="57">
        <v>4500</v>
      </c>
      <c r="F8430" s="93">
        <f>E8430*C8430*9%</f>
        <v>405</v>
      </c>
      <c r="G8430" s="93">
        <f>F8430</f>
        <v>405</v>
      </c>
      <c r="H8430" s="62">
        <f>G8430+F8430+E8430*C8430</f>
        <v>5310</v>
      </c>
    </row>
    <row r="8431" spans="1:8" x14ac:dyDescent="0.3">
      <c r="A8431" s="57"/>
      <c r="B8431" s="60"/>
      <c r="C8431" s="57"/>
      <c r="D8431" s="86"/>
      <c r="E8431" s="57"/>
      <c r="F8431" s="93"/>
      <c r="G8431" s="93"/>
      <c r="H8431" s="62"/>
    </row>
    <row r="8432" spans="1:8" x14ac:dyDescent="0.3">
      <c r="A8432" s="57"/>
      <c r="B8432" s="60"/>
      <c r="C8432" s="57"/>
      <c r="D8432" s="83"/>
      <c r="E8432" s="57"/>
      <c r="F8432" s="58"/>
      <c r="G8432" s="58"/>
      <c r="H8432" s="59"/>
    </row>
    <row r="8433" spans="1:8" x14ac:dyDescent="0.3">
      <c r="A8433" s="27"/>
      <c r="B8433" s="88"/>
      <c r="C8433" s="24"/>
      <c r="D8433" s="89"/>
      <c r="E8433" s="24"/>
      <c r="F8433" s="133"/>
      <c r="G8433" s="133"/>
      <c r="H8433" s="134"/>
    </row>
    <row r="8434" spans="1:8" x14ac:dyDescent="0.3">
      <c r="A8434" s="27"/>
      <c r="B8434" s="88"/>
      <c r="C8434" s="24"/>
      <c r="D8434" s="89"/>
      <c r="E8434" s="24"/>
      <c r="F8434" s="133"/>
      <c r="G8434" s="133"/>
      <c r="H8434" s="134"/>
    </row>
    <row r="8435" spans="1:8" x14ac:dyDescent="0.3">
      <c r="A8435" s="27"/>
      <c r="B8435" s="88"/>
      <c r="C8435" s="24"/>
      <c r="D8435" s="89"/>
      <c r="E8435" s="24"/>
      <c r="F8435" s="133"/>
      <c r="G8435" s="133"/>
      <c r="H8435" s="134"/>
    </row>
    <row r="8436" spans="1:8" x14ac:dyDescent="0.3">
      <c r="A8436" s="27"/>
      <c r="B8436" s="88"/>
      <c r="C8436" s="24"/>
      <c r="D8436" s="89"/>
      <c r="E8436" s="24"/>
      <c r="F8436" s="133"/>
      <c r="G8436" s="133"/>
      <c r="H8436" s="134"/>
    </row>
    <row r="8437" spans="1:8" x14ac:dyDescent="0.3">
      <c r="A8437" s="27"/>
      <c r="B8437" s="88"/>
      <c r="C8437" s="24"/>
      <c r="D8437" s="89"/>
      <c r="E8437" s="24"/>
      <c r="F8437" s="133"/>
      <c r="G8437" s="133"/>
      <c r="H8437" s="134"/>
    </row>
    <row r="8438" spans="1:8" x14ac:dyDescent="0.3">
      <c r="A8438" s="27"/>
      <c r="B8438" s="88"/>
      <c r="C8438" s="24"/>
      <c r="D8438" s="89"/>
      <c r="E8438" s="24"/>
      <c r="F8438" s="133"/>
      <c r="G8438" s="133"/>
      <c r="H8438" s="134"/>
    </row>
    <row r="8439" spans="1:8" x14ac:dyDescent="0.3">
      <c r="A8439" s="27"/>
      <c r="B8439" s="28"/>
      <c r="C8439" s="24"/>
      <c r="D8439" s="89"/>
      <c r="E8439" s="25"/>
      <c r="F8439" s="25"/>
      <c r="G8439" s="25"/>
      <c r="H8439" s="32"/>
    </row>
    <row r="8440" spans="1:8" x14ac:dyDescent="0.3">
      <c r="A8440" s="27"/>
      <c r="B8440" s="28"/>
      <c r="C8440" s="24"/>
      <c r="D8440" s="89"/>
      <c r="E8440" s="25"/>
      <c r="F8440" s="25"/>
      <c r="G8440" s="25"/>
      <c r="H8440" s="32"/>
    </row>
    <row r="8441" spans="1:8" x14ac:dyDescent="0.3">
      <c r="A8441" s="27"/>
      <c r="B8441" s="28"/>
      <c r="C8441" s="24"/>
      <c r="D8441" s="89"/>
      <c r="E8441" s="25"/>
      <c r="F8441" s="25"/>
      <c r="G8441" s="25"/>
      <c r="H8441" s="32"/>
    </row>
    <row r="8442" spans="1:8" x14ac:dyDescent="0.3">
      <c r="A8442" s="27"/>
      <c r="B8442" s="28"/>
      <c r="C8442" s="24"/>
      <c r="D8442" s="89"/>
      <c r="E8442" s="25"/>
      <c r="F8442" s="25"/>
      <c r="G8442" s="25"/>
      <c r="H8442" s="32"/>
    </row>
    <row r="8443" spans="1:8" x14ac:dyDescent="0.3">
      <c r="A8443" s="27"/>
      <c r="B8443" s="28"/>
      <c r="C8443" s="24"/>
      <c r="D8443" s="89"/>
      <c r="E8443" s="25"/>
      <c r="F8443" s="25"/>
      <c r="G8443" s="25"/>
      <c r="H8443" s="32"/>
    </row>
    <row r="8444" spans="1:8" x14ac:dyDescent="0.3">
      <c r="A8444" s="27"/>
      <c r="B8444" s="28"/>
      <c r="C8444" s="24"/>
      <c r="D8444" s="89"/>
      <c r="E8444" s="25"/>
      <c r="F8444" s="25"/>
      <c r="G8444" s="25"/>
      <c r="H8444" s="32"/>
    </row>
    <row r="8445" spans="1:8" x14ac:dyDescent="0.3">
      <c r="A8445" s="27"/>
      <c r="B8445" s="28"/>
      <c r="C8445" s="24"/>
      <c r="D8445" s="89"/>
      <c r="E8445" s="25"/>
      <c r="F8445" s="25"/>
      <c r="G8445" s="25"/>
      <c r="H8445" s="32"/>
    </row>
    <row r="8446" spans="1:8" x14ac:dyDescent="0.3">
      <c r="A8446" s="27"/>
      <c r="B8446" s="28"/>
      <c r="C8446" s="24"/>
      <c r="D8446" s="89"/>
      <c r="E8446" s="25"/>
      <c r="F8446" s="25"/>
      <c r="G8446" s="25"/>
      <c r="H8446" s="32"/>
    </row>
    <row r="8447" spans="1:8" x14ac:dyDescent="0.3">
      <c r="A8447" s="159"/>
      <c r="B8447" s="28"/>
      <c r="C8447" s="24"/>
      <c r="D8447" s="25"/>
      <c r="E8447" s="25"/>
      <c r="F8447" s="28"/>
      <c r="G8447" s="28"/>
      <c r="H8447" s="32"/>
    </row>
    <row r="8448" spans="1:8" x14ac:dyDescent="0.3">
      <c r="A8448" s="159"/>
      <c r="B8448" s="28"/>
      <c r="C8448" s="24"/>
      <c r="D8448" s="25"/>
      <c r="E8448" s="25"/>
      <c r="F8448" s="28"/>
      <c r="G8448" s="28"/>
      <c r="H8448" s="32"/>
    </row>
    <row r="8449" spans="1:8" x14ac:dyDescent="0.3">
      <c r="A8449" s="159"/>
      <c r="B8449" s="28"/>
      <c r="C8449" s="24"/>
      <c r="D8449" s="25"/>
      <c r="E8449" s="25"/>
      <c r="F8449" s="28"/>
      <c r="G8449" s="28"/>
      <c r="H8449" s="32"/>
    </row>
    <row r="8450" spans="1:8" ht="15.6" x14ac:dyDescent="0.3">
      <c r="A8450" s="64" t="s">
        <v>45</v>
      </c>
      <c r="B8450" s="28"/>
      <c r="C8450" s="24"/>
      <c r="D8450" s="25"/>
      <c r="E8450" s="25"/>
      <c r="F8450" s="447" t="s">
        <v>46</v>
      </c>
      <c r="G8450" s="447"/>
      <c r="H8450" s="66">
        <v>7000</v>
      </c>
    </row>
    <row r="8451" spans="1:8" ht="15.6" x14ac:dyDescent="0.3">
      <c r="A8451" s="497" t="s">
        <v>1476</v>
      </c>
      <c r="B8451" s="498"/>
      <c r="C8451" s="498"/>
      <c r="D8451" s="498"/>
      <c r="E8451" s="498"/>
      <c r="F8451" s="447" t="s">
        <v>47</v>
      </c>
      <c r="G8451" s="447"/>
      <c r="H8451" s="66">
        <f>H8450*9%</f>
        <v>630</v>
      </c>
    </row>
    <row r="8452" spans="1:8" ht="15.6" x14ac:dyDescent="0.3">
      <c r="A8452" s="159"/>
      <c r="B8452" s="28"/>
      <c r="C8452" s="24"/>
      <c r="D8452" s="25"/>
      <c r="E8452" s="25"/>
      <c r="F8452" s="447" t="s">
        <v>48</v>
      </c>
      <c r="G8452" s="447"/>
      <c r="H8452" s="66">
        <f>H8450*9%</f>
        <v>630</v>
      </c>
    </row>
    <row r="8453" spans="1:8" ht="15.6" x14ac:dyDescent="0.3">
      <c r="A8453" s="64" t="s">
        <v>49</v>
      </c>
      <c r="B8453" s="28"/>
      <c r="C8453" s="24"/>
      <c r="D8453" s="25"/>
      <c r="E8453" s="25"/>
      <c r="F8453" s="447" t="s">
        <v>50</v>
      </c>
      <c r="G8453" s="447"/>
      <c r="H8453" s="66">
        <f>H8450+H8451+H8452</f>
        <v>8260</v>
      </c>
    </row>
    <row r="8454" spans="1:8" ht="26.4" x14ac:dyDescent="0.3">
      <c r="A8454" s="160" t="s">
        <v>22</v>
      </c>
      <c r="B8454" s="71" t="s">
        <v>51</v>
      </c>
      <c r="C8454" s="161" t="s">
        <v>24</v>
      </c>
      <c r="D8454" s="161" t="s">
        <v>25</v>
      </c>
      <c r="E8454" s="528" t="s">
        <v>52</v>
      </c>
      <c r="F8454" s="528"/>
      <c r="G8454" s="162"/>
      <c r="H8454" s="154"/>
    </row>
    <row r="8455" spans="1:8" x14ac:dyDescent="0.3">
      <c r="A8455" s="72">
        <v>0.18</v>
      </c>
      <c r="B8455" s="73">
        <f>H8450</f>
        <v>7000</v>
      </c>
      <c r="C8455" s="74">
        <f>H8451</f>
        <v>630</v>
      </c>
      <c r="D8455" s="74">
        <f>H8451</f>
        <v>630</v>
      </c>
      <c r="E8455" s="507">
        <f>C8455+D8455</f>
        <v>1260</v>
      </c>
      <c r="F8455" s="507"/>
      <c r="G8455" s="74"/>
      <c r="H8455" s="75"/>
    </row>
    <row r="8456" spans="1:8" x14ac:dyDescent="0.3">
      <c r="A8456" s="508" t="s">
        <v>1477</v>
      </c>
      <c r="B8456" s="509"/>
      <c r="C8456" s="509"/>
      <c r="D8456" s="509"/>
      <c r="E8456" s="453"/>
      <c r="F8456" s="453"/>
      <c r="G8456" s="453"/>
      <c r="H8456" s="454"/>
    </row>
    <row r="8457" spans="1:8" ht="15.6" x14ac:dyDescent="0.3">
      <c r="A8457" s="455" t="s">
        <v>53</v>
      </c>
      <c r="B8457" s="456"/>
      <c r="C8457" s="456"/>
      <c r="D8457" s="457"/>
      <c r="E8457" s="458" t="s">
        <v>54</v>
      </c>
      <c r="F8457" s="459"/>
      <c r="G8457" s="459"/>
      <c r="H8457" s="460"/>
    </row>
    <row r="8458" spans="1:8" x14ac:dyDescent="0.3">
      <c r="A8458" s="461" t="s">
        <v>55</v>
      </c>
      <c r="B8458" s="462"/>
      <c r="C8458" s="462"/>
      <c r="D8458" s="463"/>
      <c r="E8458" s="39"/>
      <c r="F8458" s="25"/>
      <c r="G8458" s="28"/>
      <c r="H8458" s="32"/>
    </row>
    <row r="8459" spans="1:8" x14ac:dyDescent="0.3">
      <c r="A8459" s="461" t="s">
        <v>56</v>
      </c>
      <c r="B8459" s="462"/>
      <c r="C8459" s="462"/>
      <c r="D8459" s="463"/>
      <c r="E8459" s="39"/>
      <c r="F8459" s="25"/>
      <c r="G8459" s="28"/>
      <c r="H8459" s="32"/>
    </row>
    <row r="8460" spans="1:8" x14ac:dyDescent="0.3">
      <c r="A8460" s="461" t="s">
        <v>57</v>
      </c>
      <c r="B8460" s="462"/>
      <c r="C8460" s="462"/>
      <c r="D8460" s="463"/>
      <c r="E8460" s="25"/>
      <c r="F8460" s="25"/>
      <c r="G8460" s="28"/>
      <c r="H8460" s="32"/>
    </row>
    <row r="8461" spans="1:8" ht="15.6" x14ac:dyDescent="0.3">
      <c r="A8461" s="464" t="s">
        <v>58</v>
      </c>
      <c r="B8461" s="465"/>
      <c r="C8461" s="465"/>
      <c r="D8461" s="510"/>
      <c r="E8461" s="466" t="s">
        <v>59</v>
      </c>
      <c r="F8461" s="467"/>
      <c r="G8461" s="467"/>
      <c r="H8461" s="468"/>
    </row>
    <row r="8465" spans="1:8" ht="44.4" x14ac:dyDescent="0.7">
      <c r="A8465" s="469" t="s">
        <v>0</v>
      </c>
      <c r="B8465" s="470"/>
      <c r="C8465" s="470"/>
      <c r="D8465" s="470"/>
      <c r="E8465" s="531" t="s">
        <v>1</v>
      </c>
      <c r="F8465" s="544"/>
      <c r="G8465" s="544"/>
      <c r="H8465" s="545"/>
    </row>
    <row r="8466" spans="1:8" ht="20.399999999999999" x14ac:dyDescent="0.35">
      <c r="A8466" s="1"/>
      <c r="B8466" s="476" t="s">
        <v>2</v>
      </c>
      <c r="C8466" s="476"/>
      <c r="D8466" s="476"/>
      <c r="E8466" s="546"/>
      <c r="F8466" s="546"/>
      <c r="G8466" s="546"/>
      <c r="H8466" s="547"/>
    </row>
    <row r="8467" spans="1:8" x14ac:dyDescent="0.3">
      <c r="A8467" s="477" t="s">
        <v>3</v>
      </c>
      <c r="B8467" s="478"/>
      <c r="C8467" s="136"/>
      <c r="D8467" s="499" t="s">
        <v>4</v>
      </c>
      <c r="E8467" s="499"/>
      <c r="F8467" s="137"/>
      <c r="G8467" s="137" t="s">
        <v>134</v>
      </c>
      <c r="H8467" s="120"/>
    </row>
    <row r="8468" spans="1:8" ht="15.6" x14ac:dyDescent="0.3">
      <c r="A8468" s="138" t="s">
        <v>6</v>
      </c>
      <c r="B8468" s="5"/>
      <c r="C8468" s="481" t="s">
        <v>7</v>
      </c>
      <c r="D8468" s="481"/>
      <c r="E8468" s="482">
        <v>184</v>
      </c>
      <c r="F8468" s="482"/>
      <c r="G8468" s="7" t="s">
        <v>8</v>
      </c>
      <c r="H8468" s="9">
        <v>46267</v>
      </c>
    </row>
    <row r="8469" spans="1:8" ht="15.6" x14ac:dyDescent="0.3">
      <c r="A8469" s="551" t="s">
        <v>1478</v>
      </c>
      <c r="B8469" s="552"/>
      <c r="C8469" s="481" t="s">
        <v>10</v>
      </c>
      <c r="D8469" s="481"/>
      <c r="E8469" s="482"/>
      <c r="F8469" s="482"/>
      <c r="G8469" s="7" t="s">
        <v>8</v>
      </c>
      <c r="H8469" s="9"/>
    </row>
    <row r="8470" spans="1:8" ht="15" x14ac:dyDescent="0.3">
      <c r="A8470" s="517" t="s">
        <v>1479</v>
      </c>
      <c r="B8470" s="553"/>
      <c r="C8470" s="483" t="s">
        <v>12</v>
      </c>
      <c r="D8470" s="484"/>
      <c r="E8470" s="615"/>
      <c r="F8470" s="616"/>
      <c r="G8470" s="10" t="s">
        <v>8</v>
      </c>
      <c r="H8470" s="57"/>
    </row>
    <row r="8471" spans="1:8" ht="15.6" x14ac:dyDescent="0.3">
      <c r="A8471" s="556" t="s">
        <v>1480</v>
      </c>
      <c r="B8471" s="557"/>
      <c r="C8471" s="481" t="s">
        <v>15</v>
      </c>
      <c r="D8471" s="481"/>
      <c r="E8471" s="536" t="s">
        <v>1482</v>
      </c>
      <c r="F8471" s="617"/>
      <c r="G8471" s="617"/>
      <c r="H8471" s="516"/>
    </row>
    <row r="8472" spans="1:8" ht="15.6" x14ac:dyDescent="0.3">
      <c r="A8472" s="558" t="s">
        <v>1481</v>
      </c>
      <c r="B8472" s="559"/>
      <c r="C8472" s="489"/>
      <c r="D8472" s="490"/>
      <c r="E8472" s="490"/>
      <c r="F8472" s="490"/>
      <c r="G8472" s="490"/>
      <c r="H8472" s="491"/>
    </row>
    <row r="8473" spans="1:8" ht="15" x14ac:dyDescent="0.3">
      <c r="A8473" s="492" t="s">
        <v>17</v>
      </c>
      <c r="B8473" s="494" t="s">
        <v>18</v>
      </c>
      <c r="C8473" s="494" t="s">
        <v>19</v>
      </c>
      <c r="D8473" s="494" t="s">
        <v>20</v>
      </c>
      <c r="E8473" s="494" t="s">
        <v>21</v>
      </c>
      <c r="F8473" s="494" t="s">
        <v>22</v>
      </c>
      <c r="G8473" s="494"/>
      <c r="H8473" s="492" t="s">
        <v>23</v>
      </c>
    </row>
    <row r="8474" spans="1:8" ht="27.6" x14ac:dyDescent="0.3">
      <c r="A8474" s="492"/>
      <c r="B8474" s="495"/>
      <c r="C8474" s="494"/>
      <c r="D8474" s="494"/>
      <c r="E8474" s="494"/>
      <c r="F8474" s="53" t="s">
        <v>24</v>
      </c>
      <c r="G8474" s="53" t="s">
        <v>25</v>
      </c>
      <c r="H8474" s="492"/>
    </row>
    <row r="8475" spans="1:8" x14ac:dyDescent="0.3">
      <c r="A8475" s="139">
        <v>1</v>
      </c>
      <c r="B8475" s="140" t="s">
        <v>1483</v>
      </c>
      <c r="C8475" s="141">
        <v>1</v>
      </c>
      <c r="D8475" s="86">
        <v>998719</v>
      </c>
      <c r="E8475" s="55">
        <v>8700</v>
      </c>
      <c r="F8475" s="93">
        <f>E8475*C8475*9%</f>
        <v>783</v>
      </c>
      <c r="G8475" s="93">
        <f>F8475</f>
        <v>783</v>
      </c>
      <c r="H8475" s="62">
        <f>G8475+F8475+E8475*C8475</f>
        <v>10266</v>
      </c>
    </row>
    <row r="8476" spans="1:8" x14ac:dyDescent="0.3">
      <c r="A8476" s="139"/>
      <c r="B8476" s="140"/>
      <c r="C8476" s="141"/>
      <c r="D8476" s="86"/>
      <c r="E8476" s="55"/>
      <c r="F8476" s="93"/>
      <c r="G8476" s="93"/>
      <c r="H8476" s="62"/>
    </row>
    <row r="8477" spans="1:8" x14ac:dyDescent="0.3">
      <c r="A8477" s="139"/>
      <c r="B8477" s="140"/>
      <c r="C8477" s="142"/>
      <c r="D8477" s="86"/>
      <c r="E8477" s="55"/>
      <c r="F8477" s="93"/>
      <c r="G8477" s="93"/>
      <c r="H8477" s="62"/>
    </row>
    <row r="8478" spans="1:8" x14ac:dyDescent="0.3">
      <c r="A8478" s="143"/>
      <c r="B8478" s="140"/>
      <c r="C8478" s="142"/>
      <c r="D8478" s="144"/>
      <c r="E8478" s="129"/>
      <c r="F8478" s="145"/>
      <c r="G8478" s="145"/>
      <c r="H8478" s="146"/>
    </row>
    <row r="8479" spans="1:8" x14ac:dyDescent="0.3">
      <c r="A8479" s="147"/>
      <c r="B8479" s="140"/>
      <c r="C8479" s="141"/>
      <c r="D8479" s="86"/>
      <c r="E8479" s="55"/>
      <c r="F8479" s="93"/>
      <c r="G8479" s="93"/>
      <c r="H8479" s="62"/>
    </row>
    <row r="8480" spans="1:8" x14ac:dyDescent="0.3">
      <c r="A8480" s="55"/>
      <c r="B8480" s="148"/>
      <c r="C8480" s="55"/>
      <c r="D8480" s="86"/>
      <c r="E8480" s="55"/>
      <c r="F8480" s="93"/>
      <c r="G8480" s="93"/>
      <c r="H8480" s="62"/>
    </row>
    <row r="8481" spans="1:8" x14ac:dyDescent="0.3">
      <c r="A8481" s="27"/>
      <c r="B8481" s="28"/>
      <c r="C8481" s="24"/>
      <c r="D8481" s="25"/>
      <c r="E8481" s="25"/>
      <c r="F8481" s="28"/>
      <c r="G8481" s="28"/>
      <c r="H8481" s="32"/>
    </row>
    <row r="8482" spans="1:8" x14ac:dyDescent="0.3">
      <c r="A8482" s="27"/>
      <c r="B8482" s="28"/>
      <c r="C8482" s="24"/>
      <c r="D8482" s="25"/>
      <c r="E8482" s="25"/>
      <c r="F8482" s="28"/>
      <c r="G8482" s="28"/>
      <c r="H8482" s="32"/>
    </row>
    <row r="8483" spans="1:8" x14ac:dyDescent="0.3">
      <c r="A8483" s="27"/>
      <c r="B8483" s="28"/>
      <c r="C8483" s="24"/>
      <c r="D8483" s="25"/>
      <c r="E8483" s="25"/>
      <c r="F8483" s="28"/>
      <c r="G8483" s="28"/>
      <c r="H8483" s="32"/>
    </row>
    <row r="8484" spans="1:8" x14ac:dyDescent="0.3">
      <c r="A8484" s="27"/>
      <c r="B8484" s="28"/>
      <c r="C8484" s="24"/>
      <c r="D8484" s="25"/>
      <c r="E8484" s="25"/>
      <c r="F8484" s="28"/>
      <c r="G8484" s="28"/>
      <c r="H8484" s="32"/>
    </row>
    <row r="8485" spans="1:8" x14ac:dyDescent="0.3">
      <c r="A8485" s="27"/>
      <c r="B8485" s="28"/>
      <c r="C8485" s="24"/>
      <c r="D8485" s="25"/>
      <c r="E8485" s="25"/>
      <c r="F8485" s="28"/>
      <c r="G8485" s="28"/>
      <c r="H8485" s="32"/>
    </row>
    <row r="8486" spans="1:8" x14ac:dyDescent="0.3">
      <c r="A8486" s="27"/>
      <c r="B8486" s="28"/>
      <c r="C8486" s="24"/>
      <c r="D8486" s="25"/>
      <c r="E8486" s="25"/>
      <c r="F8486" s="28"/>
      <c r="G8486" s="28"/>
      <c r="H8486" s="32"/>
    </row>
    <row r="8487" spans="1:8" x14ac:dyDescent="0.3">
      <c r="A8487" s="27"/>
      <c r="B8487" s="28"/>
      <c r="C8487" s="24"/>
      <c r="D8487" s="25"/>
      <c r="E8487" s="25"/>
      <c r="F8487" s="28"/>
      <c r="G8487" s="28"/>
      <c r="H8487" s="32"/>
    </row>
    <row r="8488" spans="1:8" x14ac:dyDescent="0.3">
      <c r="A8488" s="27"/>
      <c r="B8488" s="28"/>
      <c r="C8488" s="24"/>
      <c r="D8488" s="25"/>
      <c r="E8488" s="25"/>
      <c r="F8488" s="28"/>
      <c r="G8488" s="28"/>
      <c r="H8488" s="32"/>
    </row>
    <row r="8489" spans="1:8" x14ac:dyDescent="0.3">
      <c r="A8489" s="27"/>
      <c r="B8489" s="28"/>
      <c r="C8489" s="24"/>
      <c r="D8489" s="25"/>
      <c r="E8489" s="25"/>
      <c r="F8489" s="28"/>
      <c r="G8489" s="28"/>
      <c r="H8489" s="32"/>
    </row>
    <row r="8490" spans="1:8" x14ac:dyDescent="0.3">
      <c r="A8490" s="27"/>
      <c r="B8490" s="28"/>
      <c r="C8490" s="24"/>
      <c r="D8490" s="25"/>
      <c r="E8490" s="25"/>
      <c r="F8490" s="28"/>
      <c r="G8490" s="28"/>
      <c r="H8490" s="32"/>
    </row>
    <row r="8491" spans="1:8" x14ac:dyDescent="0.3">
      <c r="A8491" s="27"/>
      <c r="B8491" s="28"/>
      <c r="C8491" s="24"/>
      <c r="D8491" s="25"/>
      <c r="E8491" s="25"/>
      <c r="F8491" s="28"/>
      <c r="G8491" s="28"/>
      <c r="H8491" s="32"/>
    </row>
    <row r="8492" spans="1:8" x14ac:dyDescent="0.3">
      <c r="A8492" s="27"/>
      <c r="B8492" s="28"/>
      <c r="C8492" s="24"/>
      <c r="D8492" s="25"/>
      <c r="E8492" s="25"/>
      <c r="F8492" s="28"/>
      <c r="G8492" s="28"/>
      <c r="H8492" s="32"/>
    </row>
    <row r="8493" spans="1:8" x14ac:dyDescent="0.3">
      <c r="A8493" s="27"/>
      <c r="B8493" s="28"/>
      <c r="C8493" s="24"/>
      <c r="D8493" s="25"/>
      <c r="E8493" s="25"/>
      <c r="F8493" s="28"/>
      <c r="G8493" s="28"/>
      <c r="H8493" s="32"/>
    </row>
    <row r="8494" spans="1:8" x14ac:dyDescent="0.3">
      <c r="A8494" s="27"/>
      <c r="B8494" s="28"/>
      <c r="C8494" s="24"/>
      <c r="D8494" s="25"/>
      <c r="E8494" s="25"/>
      <c r="F8494" s="28"/>
      <c r="G8494" s="28"/>
      <c r="H8494" s="32"/>
    </row>
    <row r="8495" spans="1:8" x14ac:dyDescent="0.3">
      <c r="A8495" s="27"/>
      <c r="B8495" s="28"/>
      <c r="C8495" s="24"/>
      <c r="D8495" s="25"/>
      <c r="E8495" s="25"/>
      <c r="F8495" s="28"/>
      <c r="G8495" s="28"/>
      <c r="H8495" s="32"/>
    </row>
    <row r="8496" spans="1:8" x14ac:dyDescent="0.3">
      <c r="A8496" s="27"/>
      <c r="B8496" s="28"/>
      <c r="C8496" s="24"/>
      <c r="D8496" s="25"/>
      <c r="E8496" s="25"/>
      <c r="F8496" s="28"/>
      <c r="G8496" s="28"/>
      <c r="H8496" s="32"/>
    </row>
    <row r="8497" spans="1:8" ht="15.6" x14ac:dyDescent="0.3">
      <c r="A8497" s="448" t="s">
        <v>45</v>
      </c>
      <c r="B8497" s="449"/>
      <c r="C8497" s="449"/>
      <c r="D8497" s="25"/>
      <c r="E8497" s="25"/>
      <c r="F8497" s="447" t="s">
        <v>46</v>
      </c>
      <c r="G8497" s="447"/>
      <c r="H8497" s="66">
        <v>8700</v>
      </c>
    </row>
    <row r="8498" spans="1:8" ht="15.6" x14ac:dyDescent="0.3">
      <c r="A8498" s="497" t="s">
        <v>1484</v>
      </c>
      <c r="B8498" s="498"/>
      <c r="C8498" s="498"/>
      <c r="D8498" s="498"/>
      <c r="E8498" s="498"/>
      <c r="F8498" s="447" t="s">
        <v>47</v>
      </c>
      <c r="G8498" s="447"/>
      <c r="H8498" s="66">
        <f>H8497*9%</f>
        <v>783</v>
      </c>
    </row>
    <row r="8499" spans="1:8" ht="15.6" x14ac:dyDescent="0.3">
      <c r="A8499" s="27"/>
      <c r="B8499" s="28"/>
      <c r="C8499" s="24"/>
      <c r="D8499" s="25"/>
      <c r="E8499" s="25"/>
      <c r="F8499" s="447" t="s">
        <v>48</v>
      </c>
      <c r="G8499" s="447"/>
      <c r="H8499" s="66">
        <f>H8497*9%</f>
        <v>783</v>
      </c>
    </row>
    <row r="8500" spans="1:8" ht="15.6" x14ac:dyDescent="0.3">
      <c r="A8500" s="448" t="s">
        <v>49</v>
      </c>
      <c r="B8500" s="449"/>
      <c r="C8500" s="24"/>
      <c r="D8500" s="25"/>
      <c r="E8500" s="25"/>
      <c r="F8500" s="447" t="s">
        <v>50</v>
      </c>
      <c r="G8500" s="447"/>
      <c r="H8500" s="66">
        <f>H8497+H8499+H8498</f>
        <v>10266</v>
      </c>
    </row>
    <row r="8501" spans="1:8" ht="27" x14ac:dyDescent="0.3">
      <c r="A8501" s="68" t="s">
        <v>22</v>
      </c>
      <c r="B8501" s="30" t="s">
        <v>51</v>
      </c>
      <c r="C8501" s="70" t="s">
        <v>24</v>
      </c>
      <c r="D8501" s="31" t="s">
        <v>25</v>
      </c>
      <c r="E8501" s="450" t="s">
        <v>52</v>
      </c>
      <c r="F8501" s="450"/>
      <c r="G8501" s="28"/>
      <c r="H8501" s="32"/>
    </row>
    <row r="8502" spans="1:8" x14ac:dyDescent="0.3">
      <c r="A8502" s="72">
        <v>0.18</v>
      </c>
      <c r="B8502" s="73">
        <f>H8497</f>
        <v>8700</v>
      </c>
      <c r="C8502" s="74">
        <f>H8498</f>
        <v>783</v>
      </c>
      <c r="D8502" s="74">
        <f>H8498</f>
        <v>783</v>
      </c>
      <c r="E8502" s="507">
        <f>C8502+D8502</f>
        <v>1566</v>
      </c>
      <c r="F8502" s="507"/>
      <c r="G8502" s="74"/>
      <c r="H8502" s="75"/>
    </row>
    <row r="8503" spans="1:8" x14ac:dyDescent="0.3">
      <c r="A8503" s="508" t="s">
        <v>1485</v>
      </c>
      <c r="B8503" s="509"/>
      <c r="C8503" s="509"/>
      <c r="D8503" s="509"/>
      <c r="E8503" s="453"/>
      <c r="F8503" s="453"/>
      <c r="G8503" s="453"/>
      <c r="H8503" s="454"/>
    </row>
    <row r="8504" spans="1:8" ht="15.6" x14ac:dyDescent="0.3">
      <c r="A8504" s="455" t="s">
        <v>53</v>
      </c>
      <c r="B8504" s="456"/>
      <c r="C8504" s="456"/>
      <c r="D8504" s="457"/>
      <c r="E8504" s="458" t="s">
        <v>54</v>
      </c>
      <c r="F8504" s="459"/>
      <c r="G8504" s="459"/>
      <c r="H8504" s="460"/>
    </row>
    <row r="8505" spans="1:8" x14ac:dyDescent="0.3">
      <c r="A8505" s="461" t="s">
        <v>55</v>
      </c>
      <c r="B8505" s="462"/>
      <c r="C8505" s="462"/>
      <c r="D8505" s="463"/>
      <c r="E8505" s="39"/>
      <c r="F8505" s="28"/>
      <c r="G8505" s="28"/>
      <c r="H8505" s="32"/>
    </row>
    <row r="8506" spans="1:8" x14ac:dyDescent="0.3">
      <c r="A8506" s="461" t="s">
        <v>56</v>
      </c>
      <c r="B8506" s="462"/>
      <c r="C8506" s="462"/>
      <c r="D8506" s="463"/>
      <c r="E8506" s="39"/>
      <c r="F8506" s="28"/>
      <c r="G8506" s="28"/>
      <c r="H8506" s="32"/>
    </row>
    <row r="8507" spans="1:8" x14ac:dyDescent="0.3">
      <c r="A8507" s="461" t="s">
        <v>57</v>
      </c>
      <c r="B8507" s="462"/>
      <c r="C8507" s="462"/>
      <c r="D8507" s="463"/>
      <c r="E8507" s="39"/>
      <c r="F8507" s="28"/>
      <c r="G8507" s="28"/>
      <c r="H8507" s="32"/>
    </row>
    <row r="8508" spans="1:8" ht="15.6" x14ac:dyDescent="0.3">
      <c r="A8508" s="464" t="s">
        <v>58</v>
      </c>
      <c r="B8508" s="465"/>
      <c r="C8508" s="465"/>
      <c r="D8508" s="510"/>
      <c r="E8508" s="466" t="s">
        <v>59</v>
      </c>
      <c r="F8508" s="467"/>
      <c r="G8508" s="467"/>
      <c r="H8508" s="468"/>
    </row>
    <row r="8512" spans="1:8" ht="44.4" x14ac:dyDescent="0.7">
      <c r="A8512" s="469" t="s">
        <v>0</v>
      </c>
      <c r="B8512" s="470"/>
      <c r="C8512" s="470"/>
      <c r="D8512" s="470"/>
      <c r="E8512" s="531" t="s">
        <v>1</v>
      </c>
      <c r="F8512" s="544"/>
      <c r="G8512" s="544"/>
      <c r="H8512" s="545"/>
    </row>
    <row r="8513" spans="1:9" ht="20.399999999999999" x14ac:dyDescent="0.35">
      <c r="A8513" s="1"/>
      <c r="B8513" s="476" t="s">
        <v>2</v>
      </c>
      <c r="C8513" s="476"/>
      <c r="D8513" s="476"/>
      <c r="E8513" s="546"/>
      <c r="F8513" s="546"/>
      <c r="G8513" s="546"/>
      <c r="H8513" s="547"/>
    </row>
    <row r="8514" spans="1:9" x14ac:dyDescent="0.3">
      <c r="A8514" s="477" t="s">
        <v>3</v>
      </c>
      <c r="B8514" s="478"/>
      <c r="C8514" s="136"/>
      <c r="D8514" s="499" t="s">
        <v>4</v>
      </c>
      <c r="E8514" s="499"/>
      <c r="F8514" s="137"/>
      <c r="G8514" s="137" t="s">
        <v>134</v>
      </c>
      <c r="H8514" s="120"/>
    </row>
    <row r="8515" spans="1:9" ht="15.6" x14ac:dyDescent="0.3">
      <c r="A8515" s="4" t="s">
        <v>6</v>
      </c>
      <c r="B8515" s="5"/>
      <c r="C8515" s="481" t="s">
        <v>7</v>
      </c>
      <c r="D8515" s="481"/>
      <c r="E8515" s="482">
        <v>185</v>
      </c>
      <c r="F8515" s="482"/>
      <c r="G8515" s="7" t="s">
        <v>8</v>
      </c>
      <c r="H8515" s="8">
        <v>46358</v>
      </c>
    </row>
    <row r="8516" spans="1:9" ht="15.6" x14ac:dyDescent="0.3">
      <c r="A8516" s="551" t="s">
        <v>1486</v>
      </c>
      <c r="B8516" s="552"/>
      <c r="C8516" s="481" t="s">
        <v>10</v>
      </c>
      <c r="D8516" s="481"/>
      <c r="E8516" s="482"/>
      <c r="F8516" s="482"/>
      <c r="G8516" s="7" t="s">
        <v>8</v>
      </c>
      <c r="H8516" s="8"/>
    </row>
    <row r="8517" spans="1:9" ht="15" x14ac:dyDescent="0.3">
      <c r="A8517" s="517" t="s">
        <v>1487</v>
      </c>
      <c r="B8517" s="553"/>
      <c r="C8517" s="483" t="s">
        <v>12</v>
      </c>
      <c r="D8517" s="484"/>
      <c r="E8517" s="745">
        <v>7200036331</v>
      </c>
      <c r="F8517" s="746"/>
      <c r="G8517" s="10" t="s">
        <v>8</v>
      </c>
      <c r="H8517" s="109" t="s">
        <v>1427</v>
      </c>
    </row>
    <row r="8518" spans="1:9" ht="15.6" x14ac:dyDescent="0.3">
      <c r="A8518" s="556" t="s">
        <v>1488</v>
      </c>
      <c r="B8518" s="557"/>
      <c r="C8518" s="481" t="s">
        <v>15</v>
      </c>
      <c r="D8518" s="481"/>
      <c r="E8518" s="123" t="s">
        <v>1489</v>
      </c>
      <c r="F8518" s="44"/>
      <c r="G8518" s="44"/>
      <c r="H8518" s="246"/>
    </row>
    <row r="8519" spans="1:9" ht="15.6" x14ac:dyDescent="0.3">
      <c r="A8519" s="558" t="s">
        <v>1490</v>
      </c>
      <c r="B8519" s="559"/>
      <c r="C8519" s="489"/>
      <c r="D8519" s="490"/>
      <c r="E8519" s="490"/>
      <c r="F8519" s="490"/>
      <c r="G8519" s="490"/>
      <c r="H8519" s="491"/>
    </row>
    <row r="8520" spans="1:9" ht="15" x14ac:dyDescent="0.3">
      <c r="A8520" s="492" t="s">
        <v>17</v>
      </c>
      <c r="B8520" s="494" t="s">
        <v>18</v>
      </c>
      <c r="C8520" s="494" t="s">
        <v>19</v>
      </c>
      <c r="D8520" s="495" t="s">
        <v>20</v>
      </c>
      <c r="E8520" s="494" t="s">
        <v>21</v>
      </c>
      <c r="F8520" s="494" t="s">
        <v>22</v>
      </c>
      <c r="G8520" s="494"/>
      <c r="H8520" s="492" t="s">
        <v>23</v>
      </c>
    </row>
    <row r="8521" spans="1:9" ht="27.6" x14ac:dyDescent="0.3">
      <c r="A8521" s="492"/>
      <c r="B8521" s="494"/>
      <c r="C8521" s="494"/>
      <c r="D8521" s="505"/>
      <c r="E8521" s="494"/>
      <c r="F8521" s="53" t="s">
        <v>24</v>
      </c>
      <c r="G8521" s="53" t="s">
        <v>25</v>
      </c>
      <c r="H8521" s="492"/>
    </row>
    <row r="8522" spans="1:9" x14ac:dyDescent="0.3">
      <c r="A8522" s="57">
        <v>1</v>
      </c>
      <c r="B8522" s="60" t="s">
        <v>333</v>
      </c>
      <c r="C8522" s="57">
        <v>3</v>
      </c>
      <c r="D8522" s="57">
        <v>998719</v>
      </c>
      <c r="E8522" s="57">
        <v>2500</v>
      </c>
      <c r="F8522" s="57">
        <f>E8522*C8522*9%</f>
        <v>675</v>
      </c>
      <c r="G8522" s="57">
        <f>F8522</f>
        <v>675</v>
      </c>
      <c r="H8522" s="57">
        <f>G8522+F8522+E8522*C8522</f>
        <v>8850</v>
      </c>
      <c r="I8522" s="362">
        <f>E8522*C8522</f>
        <v>7500</v>
      </c>
    </row>
    <row r="8523" spans="1:9" x14ac:dyDescent="0.3">
      <c r="A8523" s="55">
        <v>2</v>
      </c>
      <c r="B8523" s="60" t="s">
        <v>1491</v>
      </c>
      <c r="C8523" s="57">
        <v>1</v>
      </c>
      <c r="D8523" s="57">
        <v>998719</v>
      </c>
      <c r="E8523" s="57">
        <v>8000</v>
      </c>
      <c r="F8523" s="57">
        <f>E8523*C8523*9%</f>
        <v>720</v>
      </c>
      <c r="G8523" s="57">
        <f>F8523</f>
        <v>720</v>
      </c>
      <c r="H8523" s="57">
        <f t="shared" ref="H8523:H8525" si="209">G8523+F8523+E8523*C8523</f>
        <v>9440</v>
      </c>
      <c r="I8523" s="362">
        <f t="shared" ref="I8523:I8525" si="210">E8523*C8523</f>
        <v>8000</v>
      </c>
    </row>
    <row r="8524" spans="1:9" x14ac:dyDescent="0.3">
      <c r="A8524" s="55">
        <v>3</v>
      </c>
      <c r="B8524" s="130" t="s">
        <v>1492</v>
      </c>
      <c r="C8524" s="57">
        <v>3</v>
      </c>
      <c r="D8524" s="57">
        <v>998719</v>
      </c>
      <c r="E8524" s="57">
        <v>800</v>
      </c>
      <c r="F8524" s="57">
        <f t="shared" ref="F8524:F8525" si="211">E8524*C8524*9%</f>
        <v>216</v>
      </c>
      <c r="G8524" s="57">
        <f t="shared" ref="G8524:G8525" si="212">F8524</f>
        <v>216</v>
      </c>
      <c r="H8524" s="57">
        <f t="shared" si="209"/>
        <v>2832</v>
      </c>
      <c r="I8524" s="362">
        <f t="shared" si="210"/>
        <v>2400</v>
      </c>
    </row>
    <row r="8525" spans="1:9" x14ac:dyDescent="0.3">
      <c r="A8525" s="55">
        <v>4</v>
      </c>
      <c r="B8525" s="130" t="s">
        <v>1493</v>
      </c>
      <c r="C8525" s="57">
        <v>3</v>
      </c>
      <c r="D8525" s="57">
        <v>998719</v>
      </c>
      <c r="E8525" s="57">
        <v>2500</v>
      </c>
      <c r="F8525" s="57">
        <f t="shared" si="211"/>
        <v>675</v>
      </c>
      <c r="G8525" s="57">
        <f t="shared" si="212"/>
        <v>675</v>
      </c>
      <c r="H8525" s="57">
        <f t="shared" si="209"/>
        <v>8850</v>
      </c>
      <c r="I8525" s="362">
        <f t="shared" si="210"/>
        <v>7500</v>
      </c>
    </row>
    <row r="8526" spans="1:9" x14ac:dyDescent="0.3">
      <c r="A8526" s="57"/>
      <c r="B8526" s="84"/>
      <c r="C8526" s="85"/>
      <c r="D8526" s="86"/>
      <c r="E8526" s="87"/>
      <c r="F8526" s="47"/>
      <c r="G8526" s="47"/>
      <c r="H8526" s="47"/>
    </row>
    <row r="8527" spans="1:9" x14ac:dyDescent="0.3">
      <c r="A8527" s="57"/>
      <c r="B8527" s="84"/>
      <c r="C8527" s="85"/>
      <c r="D8527" s="86"/>
      <c r="E8527" s="87"/>
      <c r="F8527" s="58"/>
      <c r="G8527" s="58"/>
      <c r="H8527" s="59"/>
    </row>
    <row r="8528" spans="1:9" x14ac:dyDescent="0.3">
      <c r="A8528" s="57"/>
      <c r="B8528" s="84"/>
      <c r="C8528" s="85"/>
      <c r="D8528" s="86"/>
      <c r="E8528" s="87"/>
      <c r="F8528" s="58"/>
      <c r="G8528" s="58"/>
      <c r="H8528" s="59"/>
    </row>
    <row r="8529" spans="1:8" x14ac:dyDescent="0.3">
      <c r="A8529" s="57"/>
      <c r="B8529" s="84"/>
      <c r="C8529" s="85"/>
      <c r="D8529" s="86"/>
      <c r="E8529" s="87"/>
      <c r="F8529" s="58"/>
      <c r="G8529" s="58"/>
      <c r="H8529" s="59"/>
    </row>
    <row r="8530" spans="1:8" x14ac:dyDescent="0.3">
      <c r="A8530" s="57"/>
      <c r="B8530" s="84"/>
      <c r="C8530" s="85"/>
      <c r="D8530" s="86"/>
      <c r="E8530" s="87"/>
      <c r="F8530" s="93"/>
      <c r="G8530" s="58"/>
      <c r="H8530" s="59"/>
    </row>
    <row r="8531" spans="1:8" x14ac:dyDescent="0.3">
      <c r="A8531" s="57"/>
      <c r="B8531" s="84"/>
      <c r="C8531" s="85"/>
      <c r="D8531" s="86"/>
      <c r="E8531" s="87"/>
      <c r="F8531" s="47"/>
      <c r="G8531" s="58"/>
      <c r="H8531" s="47"/>
    </row>
    <row r="8532" spans="1:8" x14ac:dyDescent="0.3">
      <c r="A8532" s="57"/>
      <c r="B8532" s="84"/>
      <c r="C8532" s="85"/>
      <c r="D8532" s="86"/>
      <c r="E8532" s="87"/>
      <c r="F8532" s="47"/>
      <c r="G8532" s="47"/>
      <c r="H8532" s="47"/>
    </row>
    <row r="8533" spans="1:8" x14ac:dyDescent="0.3">
      <c r="A8533" s="178"/>
      <c r="B8533" s="163"/>
      <c r="C8533" s="178"/>
      <c r="D8533" s="178"/>
      <c r="E8533" s="178"/>
      <c r="F8533" s="163"/>
      <c r="G8533" s="163"/>
      <c r="H8533" s="178"/>
    </row>
    <row r="8534" spans="1:8" x14ac:dyDescent="0.3">
      <c r="A8534" s="57"/>
      <c r="B8534" s="84"/>
      <c r="C8534" s="85"/>
      <c r="D8534" s="86"/>
      <c r="E8534" s="87"/>
      <c r="F8534" s="47"/>
      <c r="G8534" s="47"/>
      <c r="H8534" s="47"/>
    </row>
    <row r="8535" spans="1:8" x14ac:dyDescent="0.3">
      <c r="A8535" s="57"/>
      <c r="B8535" s="84"/>
      <c r="C8535" s="85"/>
      <c r="D8535" s="86"/>
      <c r="E8535" s="87"/>
      <c r="F8535" s="47"/>
      <c r="G8535" s="47"/>
      <c r="H8535" s="47"/>
    </row>
    <row r="8536" spans="1:8" x14ac:dyDescent="0.3">
      <c r="A8536" s="57"/>
      <c r="B8536" s="84"/>
      <c r="C8536" s="85"/>
      <c r="D8536" s="86"/>
      <c r="E8536" s="87"/>
      <c r="F8536" s="47"/>
      <c r="G8536" s="47"/>
      <c r="H8536" s="47"/>
    </row>
    <row r="8537" spans="1:8" x14ac:dyDescent="0.3">
      <c r="A8537" s="57"/>
      <c r="B8537" s="84"/>
      <c r="C8537" s="85"/>
      <c r="D8537" s="86"/>
      <c r="E8537" s="87"/>
      <c r="F8537" s="47"/>
      <c r="G8537" s="47"/>
      <c r="H8537" s="47"/>
    </row>
    <row r="8538" spans="1:8" x14ac:dyDescent="0.3">
      <c r="A8538" s="57"/>
      <c r="B8538" s="84"/>
      <c r="C8538" s="85"/>
      <c r="D8538" s="86"/>
      <c r="E8538" s="47"/>
      <c r="F8538" s="47"/>
      <c r="G8538" s="47"/>
      <c r="H8538" s="47"/>
    </row>
    <row r="8539" spans="1:8" x14ac:dyDescent="0.3">
      <c r="A8539" s="55"/>
      <c r="B8539" s="84"/>
      <c r="C8539" s="55"/>
      <c r="D8539" s="86"/>
      <c r="E8539" s="47"/>
      <c r="F8539" s="47"/>
      <c r="G8539" s="47"/>
      <c r="H8539" s="47"/>
    </row>
    <row r="8540" spans="1:8" x14ac:dyDescent="0.3">
      <c r="A8540" s="27"/>
      <c r="B8540" s="28"/>
      <c r="C8540" s="24"/>
      <c r="D8540" s="25"/>
      <c r="E8540" s="25"/>
      <c r="F8540" s="28"/>
      <c r="G8540" s="28"/>
      <c r="H8540" s="32"/>
    </row>
    <row r="8541" spans="1:8" ht="15.6" x14ac:dyDescent="0.3">
      <c r="A8541" s="448" t="s">
        <v>45</v>
      </c>
      <c r="B8541" s="449"/>
      <c r="C8541" s="24"/>
      <c r="D8541" s="25"/>
      <c r="E8541" s="25"/>
      <c r="F8541" s="447" t="s">
        <v>46</v>
      </c>
      <c r="G8541" s="447"/>
      <c r="H8541" s="66">
        <v>25400</v>
      </c>
    </row>
    <row r="8542" spans="1:8" ht="15.6" x14ac:dyDescent="0.3">
      <c r="A8542" s="497" t="s">
        <v>1494</v>
      </c>
      <c r="B8542" s="498"/>
      <c r="C8542" s="498"/>
      <c r="D8542" s="498"/>
      <c r="E8542" s="498"/>
      <c r="F8542" s="447" t="s">
        <v>47</v>
      </c>
      <c r="G8542" s="447"/>
      <c r="H8542" s="66">
        <f>H8541*9%</f>
        <v>2286</v>
      </c>
    </row>
    <row r="8543" spans="1:8" ht="15.6" x14ac:dyDescent="0.3">
      <c r="A8543" s="27"/>
      <c r="B8543" s="28"/>
      <c r="C8543" s="24"/>
      <c r="D8543" s="25"/>
      <c r="E8543" s="25"/>
      <c r="F8543" s="447" t="s">
        <v>48</v>
      </c>
      <c r="G8543" s="447"/>
      <c r="H8543" s="66">
        <f>H8542</f>
        <v>2286</v>
      </c>
    </row>
    <row r="8544" spans="1:8" ht="15.6" x14ac:dyDescent="0.3">
      <c r="A8544" s="90" t="s">
        <v>49</v>
      </c>
      <c r="B8544" s="28"/>
      <c r="C8544" s="24"/>
      <c r="D8544" s="25"/>
      <c r="E8544" s="25"/>
      <c r="F8544" s="447" t="s">
        <v>50</v>
      </c>
      <c r="G8544" s="447"/>
      <c r="H8544" s="66">
        <f>H8541+H8542+H8543</f>
        <v>29972</v>
      </c>
    </row>
    <row r="8545" spans="1:8" ht="27" x14ac:dyDescent="0.3">
      <c r="A8545" s="68" t="s">
        <v>22</v>
      </c>
      <c r="B8545" s="30" t="s">
        <v>51</v>
      </c>
      <c r="C8545" s="70" t="s">
        <v>24</v>
      </c>
      <c r="D8545" s="31" t="s">
        <v>25</v>
      </c>
      <c r="E8545" s="450" t="s">
        <v>52</v>
      </c>
      <c r="F8545" s="450"/>
      <c r="G8545" s="28"/>
      <c r="H8545" s="32"/>
    </row>
    <row r="8546" spans="1:8" x14ac:dyDescent="0.3">
      <c r="A8546" s="72">
        <v>0.18</v>
      </c>
      <c r="B8546" s="73">
        <f>H8541</f>
        <v>25400</v>
      </c>
      <c r="C8546" s="91">
        <f>H8542</f>
        <v>2286</v>
      </c>
      <c r="D8546" s="91">
        <f>H8542</f>
        <v>2286</v>
      </c>
      <c r="E8546" s="506">
        <f>C8546+D8546</f>
        <v>4572</v>
      </c>
      <c r="F8546" s="507"/>
      <c r="G8546" s="74"/>
      <c r="H8546" s="75"/>
    </row>
    <row r="8547" spans="1:8" x14ac:dyDescent="0.3">
      <c r="A8547" s="508" t="s">
        <v>1495</v>
      </c>
      <c r="B8547" s="509"/>
      <c r="C8547" s="509"/>
      <c r="D8547" s="509"/>
      <c r="E8547" s="453"/>
      <c r="F8547" s="453"/>
      <c r="G8547" s="453"/>
      <c r="H8547" s="454"/>
    </row>
    <row r="8548" spans="1:8" ht="15.6" x14ac:dyDescent="0.3">
      <c r="A8548" s="455" t="s">
        <v>53</v>
      </c>
      <c r="B8548" s="456"/>
      <c r="C8548" s="456"/>
      <c r="D8548" s="457"/>
      <c r="E8548" s="458" t="s">
        <v>54</v>
      </c>
      <c r="F8548" s="459"/>
      <c r="G8548" s="459"/>
      <c r="H8548" s="460"/>
    </row>
    <row r="8549" spans="1:8" x14ac:dyDescent="0.3">
      <c r="A8549" s="461" t="s">
        <v>55</v>
      </c>
      <c r="B8549" s="462"/>
      <c r="C8549" s="462"/>
      <c r="D8549" s="463"/>
      <c r="E8549" s="39"/>
      <c r="F8549" s="28"/>
      <c r="G8549" s="28"/>
      <c r="H8549" s="32"/>
    </row>
    <row r="8550" spans="1:8" x14ac:dyDescent="0.3">
      <c r="A8550" s="461" t="s">
        <v>56</v>
      </c>
      <c r="B8550" s="462"/>
      <c r="C8550" s="462"/>
      <c r="D8550" s="463"/>
      <c r="E8550" s="39"/>
      <c r="F8550" s="28"/>
      <c r="G8550" s="28"/>
      <c r="H8550" s="32"/>
    </row>
    <row r="8551" spans="1:8" x14ac:dyDescent="0.3">
      <c r="A8551" s="461" t="s">
        <v>57</v>
      </c>
      <c r="B8551" s="462"/>
      <c r="C8551" s="462"/>
      <c r="D8551" s="463"/>
      <c r="E8551" s="39"/>
      <c r="F8551" s="28"/>
      <c r="G8551" s="28"/>
      <c r="H8551" s="32"/>
    </row>
    <row r="8552" spans="1:8" ht="15.6" x14ac:dyDescent="0.3">
      <c r="A8552" s="464" t="s">
        <v>58</v>
      </c>
      <c r="B8552" s="465"/>
      <c r="C8552" s="465"/>
      <c r="D8552" s="465"/>
      <c r="E8552" s="466" t="s">
        <v>59</v>
      </c>
      <c r="F8552" s="467"/>
      <c r="G8552" s="467"/>
      <c r="H8552" s="468"/>
    </row>
    <row r="8556" spans="1:8" ht="44.4" x14ac:dyDescent="0.7">
      <c r="A8556" s="469" t="s">
        <v>0</v>
      </c>
      <c r="B8556" s="470"/>
      <c r="C8556" s="470"/>
      <c r="D8556" s="470"/>
      <c r="E8556" s="531" t="s">
        <v>92</v>
      </c>
      <c r="F8556" s="544"/>
      <c r="G8556" s="544"/>
      <c r="H8556" s="545"/>
    </row>
    <row r="8557" spans="1:8" ht="20.399999999999999" x14ac:dyDescent="0.35">
      <c r="A8557" s="1"/>
      <c r="B8557" s="476" t="s">
        <v>2</v>
      </c>
      <c r="C8557" s="476"/>
      <c r="D8557" s="476"/>
      <c r="E8557" s="546"/>
      <c r="F8557" s="546"/>
      <c r="G8557" s="546"/>
      <c r="H8557" s="547"/>
    </row>
    <row r="8558" spans="1:8" x14ac:dyDescent="0.3">
      <c r="A8558" s="477" t="s">
        <v>3</v>
      </c>
      <c r="B8558" s="478"/>
      <c r="C8558" s="136"/>
      <c r="D8558" s="499" t="s">
        <v>4</v>
      </c>
      <c r="E8558" s="499"/>
      <c r="F8558" s="137"/>
      <c r="G8558" s="575" t="s">
        <v>134</v>
      </c>
      <c r="H8558" s="576"/>
    </row>
    <row r="8559" spans="1:8" ht="15.6" x14ac:dyDescent="0.3">
      <c r="A8559" s="138" t="s">
        <v>6</v>
      </c>
      <c r="B8559" s="5"/>
      <c r="C8559" s="481" t="s">
        <v>7</v>
      </c>
      <c r="D8559" s="481"/>
      <c r="E8559" s="482">
        <v>186</v>
      </c>
      <c r="F8559" s="482"/>
      <c r="G8559" s="7" t="s">
        <v>8</v>
      </c>
      <c r="H8559" s="8" t="s">
        <v>1497</v>
      </c>
    </row>
    <row r="8560" spans="1:8" ht="15.6" x14ac:dyDescent="0.3">
      <c r="A8560" s="556" t="s">
        <v>177</v>
      </c>
      <c r="B8560" s="557"/>
      <c r="C8560" s="481" t="s">
        <v>10</v>
      </c>
      <c r="D8560" s="481"/>
      <c r="E8560" s="482"/>
      <c r="F8560" s="482"/>
      <c r="G8560" s="7" t="s">
        <v>8</v>
      </c>
      <c r="H8560" s="6"/>
    </row>
    <row r="8561" spans="1:8" ht="15.6" x14ac:dyDescent="0.3">
      <c r="A8561" s="577" t="s">
        <v>178</v>
      </c>
      <c r="B8561" s="578"/>
      <c r="C8561" s="481" t="s">
        <v>12</v>
      </c>
      <c r="D8561" s="481"/>
      <c r="E8561" s="482">
        <v>1008</v>
      </c>
      <c r="F8561" s="482"/>
      <c r="G8561" s="7" t="s">
        <v>8</v>
      </c>
      <c r="H8561" s="8" t="s">
        <v>1496</v>
      </c>
    </row>
    <row r="8562" spans="1:8" ht="15.6" x14ac:dyDescent="0.3">
      <c r="A8562" s="556" t="s">
        <v>179</v>
      </c>
      <c r="B8562" s="557"/>
      <c r="C8562" s="481" t="s">
        <v>15</v>
      </c>
      <c r="D8562" s="481"/>
      <c r="E8562" s="566" t="s">
        <v>180</v>
      </c>
      <c r="F8562" s="567"/>
      <c r="G8562" s="567"/>
      <c r="H8562" s="568"/>
    </row>
    <row r="8563" spans="1:8" ht="15.6" x14ac:dyDescent="0.3">
      <c r="A8563" s="558" t="s">
        <v>1498</v>
      </c>
      <c r="B8563" s="559"/>
      <c r="C8563" s="569"/>
      <c r="D8563" s="570"/>
      <c r="E8563" s="570"/>
      <c r="F8563" s="570"/>
      <c r="G8563" s="570"/>
      <c r="H8563" s="571"/>
    </row>
    <row r="8564" spans="1:8" ht="15" x14ac:dyDescent="0.3">
      <c r="A8564" s="492" t="s">
        <v>17</v>
      </c>
      <c r="B8564" s="494" t="s">
        <v>18</v>
      </c>
      <c r="C8564" s="494" t="s">
        <v>19</v>
      </c>
      <c r="D8564" s="494" t="s">
        <v>20</v>
      </c>
      <c r="E8564" s="494" t="s">
        <v>21</v>
      </c>
      <c r="F8564" s="494" t="s">
        <v>22</v>
      </c>
      <c r="G8564" s="494"/>
      <c r="H8564" s="492" t="s">
        <v>23</v>
      </c>
    </row>
    <row r="8565" spans="1:8" ht="27.6" x14ac:dyDescent="0.3">
      <c r="A8565" s="492"/>
      <c r="B8565" s="494"/>
      <c r="C8565" s="494"/>
      <c r="D8565" s="494"/>
      <c r="E8565" s="494"/>
      <c r="F8565" s="53" t="s">
        <v>24</v>
      </c>
      <c r="G8565" s="53" t="s">
        <v>25</v>
      </c>
      <c r="H8565" s="492"/>
    </row>
    <row r="8566" spans="1:8" x14ac:dyDescent="0.3">
      <c r="A8566" s="57">
        <v>1</v>
      </c>
      <c r="B8566" s="113" t="s">
        <v>1499</v>
      </c>
      <c r="C8566" s="57">
        <v>1</v>
      </c>
      <c r="D8566" s="169">
        <v>998719</v>
      </c>
      <c r="E8566" s="57">
        <v>7500</v>
      </c>
      <c r="F8566" s="58">
        <f>C8566*E8566*9%</f>
        <v>675</v>
      </c>
      <c r="G8566" s="58">
        <f>C8566*E8566*9%</f>
        <v>675</v>
      </c>
      <c r="H8566" s="59">
        <f>C8566*E8566+F8566+G8566</f>
        <v>8850</v>
      </c>
    </row>
    <row r="8567" spans="1:8" x14ac:dyDescent="0.3">
      <c r="A8567" s="57"/>
      <c r="B8567" s="60"/>
      <c r="C8567" s="57"/>
      <c r="D8567" s="56"/>
      <c r="E8567" s="57"/>
      <c r="F8567" s="58"/>
      <c r="G8567" s="58"/>
      <c r="H8567" s="59"/>
    </row>
    <row r="8568" spans="1:8" x14ac:dyDescent="0.3">
      <c r="A8568" s="55"/>
      <c r="B8568" s="63"/>
      <c r="C8568" s="55"/>
      <c r="D8568" s="56"/>
      <c r="E8568" s="55"/>
      <c r="F8568" s="58"/>
      <c r="G8568" s="58"/>
      <c r="H8568" s="59"/>
    </row>
    <row r="8569" spans="1:8" x14ac:dyDescent="0.3">
      <c r="A8569" s="90"/>
      <c r="B8569" s="132"/>
      <c r="C8569" s="24"/>
      <c r="D8569" s="164"/>
      <c r="E8569" s="24"/>
      <c r="F8569" s="165"/>
      <c r="G8569" s="165"/>
      <c r="H8569" s="166"/>
    </row>
    <row r="8570" spans="1:8" x14ac:dyDescent="0.3">
      <c r="A8570" s="90"/>
      <c r="B8570" s="132"/>
      <c r="C8570" s="24"/>
      <c r="D8570" s="164"/>
      <c r="E8570" s="24"/>
      <c r="F8570" s="165"/>
      <c r="G8570" s="165"/>
      <c r="H8570" s="166"/>
    </row>
    <row r="8571" spans="1:8" x14ac:dyDescent="0.3">
      <c r="A8571" s="90"/>
      <c r="B8571" s="132"/>
      <c r="C8571" s="24"/>
      <c r="D8571" s="164"/>
      <c r="E8571" s="24"/>
      <c r="F8571" s="165"/>
      <c r="G8571" s="165"/>
      <c r="H8571" s="166"/>
    </row>
    <row r="8572" spans="1:8" x14ac:dyDescent="0.3">
      <c r="A8572" s="27"/>
      <c r="B8572" s="132"/>
      <c r="C8572" s="24"/>
      <c r="D8572" s="25"/>
      <c r="E8572" s="25"/>
      <c r="F8572" s="165"/>
      <c r="G8572" s="165"/>
      <c r="H8572" s="166"/>
    </row>
    <row r="8573" spans="1:8" x14ac:dyDescent="0.3">
      <c r="A8573" s="27"/>
      <c r="B8573" s="28"/>
      <c r="C8573" s="24"/>
      <c r="D8573" s="25"/>
      <c r="E8573" s="25"/>
      <c r="F8573" s="165"/>
      <c r="G8573" s="165"/>
      <c r="H8573" s="166"/>
    </row>
    <row r="8574" spans="1:8" x14ac:dyDescent="0.3">
      <c r="A8574" s="27"/>
      <c r="B8574" s="28"/>
      <c r="C8574" s="24"/>
      <c r="D8574" s="25"/>
      <c r="E8574" s="25"/>
      <c r="F8574" s="165"/>
      <c r="G8574" s="165"/>
      <c r="H8574" s="166"/>
    </row>
    <row r="8575" spans="1:8" x14ac:dyDescent="0.3">
      <c r="A8575" s="27"/>
      <c r="B8575" s="28"/>
      <c r="C8575" s="24"/>
      <c r="D8575" s="25"/>
      <c r="E8575" s="25"/>
      <c r="F8575" s="165"/>
      <c r="G8575" s="165"/>
      <c r="H8575" s="166"/>
    </row>
    <row r="8576" spans="1:8" x14ac:dyDescent="0.3">
      <c r="A8576" s="27"/>
      <c r="B8576" s="28"/>
      <c r="C8576" s="24"/>
      <c r="D8576" s="25"/>
      <c r="E8576" s="25"/>
      <c r="F8576" s="165"/>
      <c r="G8576" s="165"/>
      <c r="H8576" s="166"/>
    </row>
    <row r="8577" spans="1:8" x14ac:dyDescent="0.3">
      <c r="A8577" s="27"/>
      <c r="B8577" s="28"/>
      <c r="C8577" s="24"/>
      <c r="D8577" s="25"/>
      <c r="E8577" s="25"/>
      <c r="F8577" s="165"/>
      <c r="G8577" s="165"/>
      <c r="H8577" s="166"/>
    </row>
    <row r="8578" spans="1:8" x14ac:dyDescent="0.3">
      <c r="A8578" s="27"/>
      <c r="B8578" s="28"/>
      <c r="C8578" s="24"/>
      <c r="D8578" s="25"/>
      <c r="E8578" s="25"/>
      <c r="F8578" s="28"/>
      <c r="G8578" s="28"/>
      <c r="H8578" s="32"/>
    </row>
    <row r="8579" spans="1:8" x14ac:dyDescent="0.3">
      <c r="A8579" s="27"/>
      <c r="B8579" s="28"/>
      <c r="C8579" s="24"/>
      <c r="D8579" s="25"/>
      <c r="E8579" s="25"/>
      <c r="F8579" s="28"/>
      <c r="G8579" s="28"/>
      <c r="H8579" s="32"/>
    </row>
    <row r="8580" spans="1:8" x14ac:dyDescent="0.3">
      <c r="A8580" s="27"/>
      <c r="B8580" s="28"/>
      <c r="C8580" s="24"/>
      <c r="D8580" s="25"/>
      <c r="E8580" s="25"/>
      <c r="F8580" s="28"/>
      <c r="G8580" s="28"/>
      <c r="H8580" s="32"/>
    </row>
    <row r="8581" spans="1:8" x14ac:dyDescent="0.3">
      <c r="A8581" s="27"/>
      <c r="B8581" s="28"/>
      <c r="C8581" s="24"/>
      <c r="D8581" s="25"/>
      <c r="E8581" s="25"/>
      <c r="F8581" s="28"/>
      <c r="G8581" s="28"/>
      <c r="H8581" s="32"/>
    </row>
    <row r="8582" spans="1:8" x14ac:dyDescent="0.3">
      <c r="A8582" s="27"/>
      <c r="B8582" s="28"/>
      <c r="C8582" s="24"/>
      <c r="D8582" s="25"/>
      <c r="E8582" s="25"/>
      <c r="F8582" s="28"/>
      <c r="G8582" s="28"/>
      <c r="H8582" s="32"/>
    </row>
    <row r="8583" spans="1:8" x14ac:dyDescent="0.3">
      <c r="A8583" s="27"/>
      <c r="B8583" s="28"/>
      <c r="C8583" s="24"/>
      <c r="D8583" s="25"/>
      <c r="E8583" s="25"/>
      <c r="F8583" s="28"/>
      <c r="G8583" s="28"/>
      <c r="H8583" s="32"/>
    </row>
    <row r="8584" spans="1:8" x14ac:dyDescent="0.3">
      <c r="A8584" s="27"/>
      <c r="B8584" s="28"/>
      <c r="C8584" s="24"/>
      <c r="D8584" s="25"/>
      <c r="E8584" s="25"/>
      <c r="F8584" s="28"/>
      <c r="G8584" s="28"/>
      <c r="H8584" s="32"/>
    </row>
    <row r="8585" spans="1:8" x14ac:dyDescent="0.3">
      <c r="A8585" s="27"/>
      <c r="B8585" s="28"/>
      <c r="C8585" s="24"/>
      <c r="D8585" s="25"/>
      <c r="E8585" s="25"/>
      <c r="F8585" s="28"/>
      <c r="G8585" s="28"/>
      <c r="H8585" s="32"/>
    </row>
    <row r="8586" spans="1:8" x14ac:dyDescent="0.3">
      <c r="A8586" s="27"/>
      <c r="B8586" s="28"/>
      <c r="C8586" s="24"/>
      <c r="D8586" s="25"/>
      <c r="E8586" s="25"/>
      <c r="F8586" s="28"/>
      <c r="G8586" s="28"/>
      <c r="H8586" s="32"/>
    </row>
    <row r="8587" spans="1:8" x14ac:dyDescent="0.3">
      <c r="A8587" s="27"/>
      <c r="B8587" s="28"/>
      <c r="C8587" s="24"/>
      <c r="D8587" s="25"/>
      <c r="E8587" s="25"/>
      <c r="F8587" s="28"/>
      <c r="G8587" s="28"/>
      <c r="H8587" s="32"/>
    </row>
    <row r="8588" spans="1:8" x14ac:dyDescent="0.3">
      <c r="A8588" s="27"/>
      <c r="B8588" s="28"/>
      <c r="C8588" s="24"/>
      <c r="D8588" s="25"/>
      <c r="E8588" s="25"/>
      <c r="F8588" s="28"/>
      <c r="G8588" s="28"/>
      <c r="H8588" s="32"/>
    </row>
    <row r="8589" spans="1:8" ht="15.6" x14ac:dyDescent="0.3">
      <c r="A8589" s="448" t="s">
        <v>45</v>
      </c>
      <c r="B8589" s="449"/>
      <c r="C8589" s="449"/>
      <c r="D8589" s="25"/>
      <c r="E8589" s="25"/>
      <c r="F8589" s="447" t="s">
        <v>46</v>
      </c>
      <c r="G8589" s="447"/>
      <c r="H8589" s="66">
        <f>(C8566*E8566)+(C8567*E8567)+(C8568*E8568)</f>
        <v>7500</v>
      </c>
    </row>
    <row r="8590" spans="1:8" ht="15.6" x14ac:dyDescent="0.3">
      <c r="A8590" s="497" t="s">
        <v>1500</v>
      </c>
      <c r="B8590" s="498"/>
      <c r="C8590" s="498"/>
      <c r="D8590" s="498"/>
      <c r="E8590" s="498"/>
      <c r="F8590" s="447" t="s">
        <v>47</v>
      </c>
      <c r="G8590" s="447"/>
      <c r="H8590" s="66">
        <f>H8589*9%</f>
        <v>675</v>
      </c>
    </row>
    <row r="8591" spans="1:8" ht="15.6" x14ac:dyDescent="0.3">
      <c r="A8591" s="27"/>
      <c r="B8591" s="28"/>
      <c r="C8591" s="24"/>
      <c r="D8591" s="25"/>
      <c r="E8591" s="25"/>
      <c r="F8591" s="447" t="s">
        <v>48</v>
      </c>
      <c r="G8591" s="447"/>
      <c r="H8591" s="66">
        <f>H8589*9%</f>
        <v>675</v>
      </c>
    </row>
    <row r="8592" spans="1:8" ht="15.6" x14ac:dyDescent="0.3">
      <c r="A8592" s="448" t="s">
        <v>49</v>
      </c>
      <c r="B8592" s="449"/>
      <c r="C8592" s="449"/>
      <c r="D8592" s="449"/>
      <c r="E8592" s="25"/>
      <c r="F8592" s="447" t="s">
        <v>50</v>
      </c>
      <c r="G8592" s="447"/>
      <c r="H8592" s="66">
        <v>8850</v>
      </c>
    </row>
    <row r="8593" spans="1:8" ht="27" x14ac:dyDescent="0.3">
      <c r="A8593" s="68" t="s">
        <v>22</v>
      </c>
      <c r="B8593" s="69" t="s">
        <v>51</v>
      </c>
      <c r="C8593" s="70" t="s">
        <v>24</v>
      </c>
      <c r="D8593" s="31" t="s">
        <v>25</v>
      </c>
      <c r="E8593" s="450" t="s">
        <v>52</v>
      </c>
      <c r="F8593" s="450"/>
      <c r="G8593" s="28"/>
      <c r="H8593" s="32"/>
    </row>
    <row r="8594" spans="1:8" x14ac:dyDescent="0.3">
      <c r="A8594" s="72">
        <v>0.18</v>
      </c>
      <c r="B8594" s="73">
        <f>H8589</f>
        <v>7500</v>
      </c>
      <c r="C8594" s="74">
        <f>H8590</f>
        <v>675</v>
      </c>
      <c r="D8594" s="74">
        <f>H8591</f>
        <v>675</v>
      </c>
      <c r="E8594" s="507">
        <f>C8594+D8594</f>
        <v>1350</v>
      </c>
      <c r="F8594" s="507"/>
      <c r="G8594" s="74"/>
      <c r="H8594" s="75"/>
    </row>
    <row r="8595" spans="1:8" x14ac:dyDescent="0.3">
      <c r="A8595" s="452" t="s">
        <v>1501</v>
      </c>
      <c r="B8595" s="453"/>
      <c r="C8595" s="453"/>
      <c r="D8595" s="453"/>
      <c r="E8595" s="453"/>
      <c r="F8595" s="453"/>
      <c r="G8595" s="453"/>
      <c r="H8595" s="454"/>
    </row>
    <row r="8596" spans="1:8" ht="15.6" x14ac:dyDescent="0.3">
      <c r="A8596" s="455" t="s">
        <v>53</v>
      </c>
      <c r="B8596" s="456"/>
      <c r="C8596" s="456"/>
      <c r="D8596" s="457"/>
      <c r="E8596" s="458" t="s">
        <v>54</v>
      </c>
      <c r="F8596" s="459"/>
      <c r="G8596" s="459"/>
      <c r="H8596" s="460"/>
    </row>
    <row r="8597" spans="1:8" x14ac:dyDescent="0.3">
      <c r="A8597" s="461" t="s">
        <v>55</v>
      </c>
      <c r="B8597" s="462"/>
      <c r="C8597" s="462"/>
      <c r="D8597" s="463"/>
      <c r="E8597" s="39"/>
      <c r="F8597" s="28"/>
      <c r="G8597" s="28"/>
      <c r="H8597" s="32"/>
    </row>
    <row r="8598" spans="1:8" x14ac:dyDescent="0.3">
      <c r="A8598" s="461" t="s">
        <v>56</v>
      </c>
      <c r="B8598" s="462"/>
      <c r="C8598" s="462"/>
      <c r="D8598" s="463"/>
      <c r="E8598" s="39"/>
      <c r="F8598" s="28"/>
      <c r="G8598" s="28"/>
      <c r="H8598" s="32"/>
    </row>
    <row r="8599" spans="1:8" x14ac:dyDescent="0.3">
      <c r="A8599" s="461" t="s">
        <v>57</v>
      </c>
      <c r="B8599" s="462"/>
      <c r="C8599" s="462"/>
      <c r="D8599" s="463"/>
      <c r="E8599" s="167"/>
      <c r="H8599" s="168"/>
    </row>
    <row r="8600" spans="1:8" ht="15.6" x14ac:dyDescent="0.3">
      <c r="A8600" s="464" t="s">
        <v>58</v>
      </c>
      <c r="B8600" s="465"/>
      <c r="C8600" s="465"/>
      <c r="D8600" s="510"/>
      <c r="E8600" s="466" t="s">
        <v>59</v>
      </c>
      <c r="F8600" s="467"/>
      <c r="G8600" s="467"/>
      <c r="H8600" s="468"/>
    </row>
    <row r="8604" spans="1:8" ht="44.4" x14ac:dyDescent="0.7">
      <c r="A8604" s="469" t="s">
        <v>0</v>
      </c>
      <c r="B8604" s="470"/>
      <c r="C8604" s="470"/>
      <c r="D8604" s="470"/>
      <c r="E8604" s="531" t="s">
        <v>92</v>
      </c>
      <c r="F8604" s="544"/>
      <c r="G8604" s="544"/>
      <c r="H8604" s="545"/>
    </row>
    <row r="8605" spans="1:8" ht="20.399999999999999" x14ac:dyDescent="0.35">
      <c r="A8605" s="1"/>
      <c r="B8605" s="476" t="s">
        <v>2</v>
      </c>
      <c r="C8605" s="476"/>
      <c r="D8605" s="476"/>
      <c r="E8605" s="546"/>
      <c r="F8605" s="546"/>
      <c r="G8605" s="546"/>
      <c r="H8605" s="547"/>
    </row>
    <row r="8606" spans="1:8" x14ac:dyDescent="0.3">
      <c r="A8606" s="477" t="s">
        <v>3</v>
      </c>
      <c r="B8606" s="478"/>
      <c r="C8606" s="136"/>
      <c r="D8606" s="499" t="s">
        <v>4</v>
      </c>
      <c r="E8606" s="499"/>
      <c r="F8606" s="137"/>
      <c r="G8606" s="575" t="s">
        <v>134</v>
      </c>
      <c r="H8606" s="576"/>
    </row>
    <row r="8607" spans="1:8" ht="15.6" x14ac:dyDescent="0.3">
      <c r="A8607" s="138" t="s">
        <v>6</v>
      </c>
      <c r="B8607" s="5"/>
      <c r="C8607" s="481" t="s">
        <v>7</v>
      </c>
      <c r="D8607" s="481"/>
      <c r="E8607" s="482">
        <v>187</v>
      </c>
      <c r="F8607" s="482"/>
      <c r="G8607" s="7" t="s">
        <v>8</v>
      </c>
      <c r="H8607" s="8" t="s">
        <v>1497</v>
      </c>
    </row>
    <row r="8608" spans="1:8" ht="15.6" x14ac:dyDescent="0.3">
      <c r="A8608" s="556" t="s">
        <v>177</v>
      </c>
      <c r="B8608" s="557"/>
      <c r="C8608" s="481" t="s">
        <v>10</v>
      </c>
      <c r="D8608" s="481"/>
      <c r="E8608" s="482"/>
      <c r="F8608" s="482"/>
      <c r="G8608" s="7" t="s">
        <v>8</v>
      </c>
      <c r="H8608" s="6"/>
    </row>
    <row r="8609" spans="1:8" ht="15.6" x14ac:dyDescent="0.3">
      <c r="A8609" s="577" t="s">
        <v>178</v>
      </c>
      <c r="B8609" s="578"/>
      <c r="C8609" s="481" t="s">
        <v>12</v>
      </c>
      <c r="D8609" s="481"/>
      <c r="E8609" s="482">
        <v>1022</v>
      </c>
      <c r="F8609" s="482"/>
      <c r="G8609" s="7" t="s">
        <v>8</v>
      </c>
      <c r="H8609" s="8" t="s">
        <v>1430</v>
      </c>
    </row>
    <row r="8610" spans="1:8" ht="15.6" x14ac:dyDescent="0.3">
      <c r="A8610" s="556" t="s">
        <v>179</v>
      </c>
      <c r="B8610" s="557"/>
      <c r="C8610" s="481" t="s">
        <v>15</v>
      </c>
      <c r="D8610" s="481"/>
      <c r="E8610" s="566" t="s">
        <v>180</v>
      </c>
      <c r="F8610" s="567"/>
      <c r="G8610" s="567"/>
      <c r="H8610" s="568"/>
    </row>
    <row r="8611" spans="1:8" ht="15.6" x14ac:dyDescent="0.3">
      <c r="A8611" s="558" t="s">
        <v>1504</v>
      </c>
      <c r="B8611" s="559"/>
      <c r="C8611" s="569"/>
      <c r="D8611" s="570"/>
      <c r="E8611" s="570"/>
      <c r="F8611" s="570"/>
      <c r="G8611" s="570"/>
      <c r="H8611" s="571"/>
    </row>
    <row r="8612" spans="1:8" ht="15" x14ac:dyDescent="0.3">
      <c r="A8612" s="492" t="s">
        <v>17</v>
      </c>
      <c r="B8612" s="494" t="s">
        <v>18</v>
      </c>
      <c r="C8612" s="494" t="s">
        <v>19</v>
      </c>
      <c r="D8612" s="494" t="s">
        <v>20</v>
      </c>
      <c r="E8612" s="494" t="s">
        <v>21</v>
      </c>
      <c r="F8612" s="494" t="s">
        <v>22</v>
      </c>
      <c r="G8612" s="494"/>
      <c r="H8612" s="492" t="s">
        <v>23</v>
      </c>
    </row>
    <row r="8613" spans="1:8" ht="27.6" x14ac:dyDescent="0.3">
      <c r="A8613" s="492"/>
      <c r="B8613" s="494"/>
      <c r="C8613" s="494"/>
      <c r="D8613" s="494"/>
      <c r="E8613" s="494"/>
      <c r="F8613" s="53" t="s">
        <v>24</v>
      </c>
      <c r="G8613" s="53" t="s">
        <v>25</v>
      </c>
      <c r="H8613" s="492"/>
    </row>
    <row r="8614" spans="1:8" x14ac:dyDescent="0.3">
      <c r="A8614" s="57">
        <v>1</v>
      </c>
      <c r="B8614" s="113" t="s">
        <v>1499</v>
      </c>
      <c r="C8614" s="57">
        <v>3</v>
      </c>
      <c r="D8614" s="169">
        <v>998719</v>
      </c>
      <c r="E8614" s="57">
        <v>7000</v>
      </c>
      <c r="F8614" s="58">
        <f>C8614*E8614*9%</f>
        <v>1890</v>
      </c>
      <c r="G8614" s="58">
        <f>C8614*E8614*9%</f>
        <v>1890</v>
      </c>
      <c r="H8614" s="59">
        <f>C8614*E8614+F8614+G8614</f>
        <v>24780</v>
      </c>
    </row>
    <row r="8615" spans="1:8" x14ac:dyDescent="0.3">
      <c r="A8615" s="57"/>
      <c r="B8615" s="60"/>
      <c r="C8615" s="57"/>
      <c r="D8615" s="56"/>
      <c r="E8615" s="57"/>
      <c r="F8615" s="58"/>
      <c r="G8615" s="58"/>
      <c r="H8615" s="59"/>
    </row>
    <row r="8616" spans="1:8" x14ac:dyDescent="0.3">
      <c r="A8616" s="55"/>
      <c r="B8616" s="63"/>
      <c r="C8616" s="55"/>
      <c r="D8616" s="56"/>
      <c r="E8616" s="55"/>
      <c r="F8616" s="58"/>
      <c r="G8616" s="58"/>
      <c r="H8616" s="59"/>
    </row>
    <row r="8617" spans="1:8" x14ac:dyDescent="0.3">
      <c r="A8617" s="90"/>
      <c r="B8617" s="132"/>
      <c r="C8617" s="24"/>
      <c r="D8617" s="164"/>
      <c r="E8617" s="24"/>
      <c r="F8617" s="165"/>
      <c r="G8617" s="165"/>
      <c r="H8617" s="166"/>
    </row>
    <row r="8618" spans="1:8" x14ac:dyDescent="0.3">
      <c r="A8618" s="90"/>
      <c r="B8618" s="132"/>
      <c r="C8618" s="24"/>
      <c r="D8618" s="164"/>
      <c r="E8618" s="24"/>
      <c r="F8618" s="165"/>
      <c r="G8618" s="165"/>
      <c r="H8618" s="166"/>
    </row>
    <row r="8619" spans="1:8" x14ac:dyDescent="0.3">
      <c r="A8619" s="90"/>
      <c r="B8619" s="132"/>
      <c r="C8619" s="24"/>
      <c r="D8619" s="164"/>
      <c r="E8619" s="24"/>
      <c r="F8619" s="165"/>
      <c r="G8619" s="165"/>
      <c r="H8619" s="166"/>
    </row>
    <row r="8620" spans="1:8" x14ac:dyDescent="0.3">
      <c r="A8620" s="27"/>
      <c r="B8620" s="132"/>
      <c r="C8620" s="24"/>
      <c r="D8620" s="25"/>
      <c r="E8620" s="25"/>
      <c r="F8620" s="165"/>
      <c r="G8620" s="165"/>
      <c r="H8620" s="166"/>
    </row>
    <row r="8621" spans="1:8" x14ac:dyDescent="0.3">
      <c r="A8621" s="27"/>
      <c r="B8621" s="28"/>
      <c r="C8621" s="24"/>
      <c r="D8621" s="25"/>
      <c r="E8621" s="25"/>
      <c r="F8621" s="165"/>
      <c r="G8621" s="165"/>
      <c r="H8621" s="166"/>
    </row>
    <row r="8622" spans="1:8" x14ac:dyDescent="0.3">
      <c r="A8622" s="27"/>
      <c r="B8622" s="28"/>
      <c r="C8622" s="24"/>
      <c r="D8622" s="25"/>
      <c r="E8622" s="25"/>
      <c r="F8622" s="165"/>
      <c r="G8622" s="165"/>
      <c r="H8622" s="166"/>
    </row>
    <row r="8623" spans="1:8" x14ac:dyDescent="0.3">
      <c r="A8623" s="27"/>
      <c r="B8623" s="28"/>
      <c r="C8623" s="24"/>
      <c r="D8623" s="25"/>
      <c r="E8623" s="25"/>
      <c r="F8623" s="165"/>
      <c r="G8623" s="165"/>
      <c r="H8623" s="166"/>
    </row>
    <row r="8624" spans="1:8" x14ac:dyDescent="0.3">
      <c r="A8624" s="27"/>
      <c r="B8624" s="28"/>
      <c r="C8624" s="24"/>
      <c r="D8624" s="25"/>
      <c r="E8624" s="25"/>
      <c r="F8624" s="165"/>
      <c r="G8624" s="165"/>
      <c r="H8624" s="166"/>
    </row>
    <row r="8625" spans="1:8" x14ac:dyDescent="0.3">
      <c r="A8625" s="27"/>
      <c r="B8625" s="28"/>
      <c r="C8625" s="24"/>
      <c r="D8625" s="25"/>
      <c r="E8625" s="25"/>
      <c r="F8625" s="165"/>
      <c r="G8625" s="165"/>
      <c r="H8625" s="166"/>
    </row>
    <row r="8626" spans="1:8" x14ac:dyDescent="0.3">
      <c r="A8626" s="27"/>
      <c r="B8626" s="28"/>
      <c r="C8626" s="24"/>
      <c r="D8626" s="25"/>
      <c r="E8626" s="25"/>
      <c r="F8626" s="28"/>
      <c r="G8626" s="28"/>
      <c r="H8626" s="32"/>
    </row>
    <row r="8627" spans="1:8" x14ac:dyDescent="0.3">
      <c r="A8627" s="27"/>
      <c r="B8627" s="28"/>
      <c r="C8627" s="24"/>
      <c r="D8627" s="25"/>
      <c r="E8627" s="25"/>
      <c r="F8627" s="28"/>
      <c r="G8627" s="28"/>
      <c r="H8627" s="32"/>
    </row>
    <row r="8628" spans="1:8" x14ac:dyDescent="0.3">
      <c r="A8628" s="27"/>
      <c r="B8628" s="28"/>
      <c r="C8628" s="24"/>
      <c r="D8628" s="25"/>
      <c r="E8628" s="25"/>
      <c r="F8628" s="28"/>
      <c r="G8628" s="28"/>
      <c r="H8628" s="32"/>
    </row>
    <row r="8629" spans="1:8" x14ac:dyDescent="0.3">
      <c r="A8629" s="27"/>
      <c r="B8629" s="28"/>
      <c r="C8629" s="24"/>
      <c r="D8629" s="25"/>
      <c r="E8629" s="25"/>
      <c r="F8629" s="28"/>
      <c r="G8629" s="28"/>
      <c r="H8629" s="32"/>
    </row>
    <row r="8630" spans="1:8" x14ac:dyDescent="0.3">
      <c r="A8630" s="27"/>
      <c r="B8630" s="28"/>
      <c r="C8630" s="24"/>
      <c r="D8630" s="25"/>
      <c r="E8630" s="25"/>
      <c r="F8630" s="28"/>
      <c r="G8630" s="28"/>
      <c r="H8630" s="32"/>
    </row>
    <row r="8631" spans="1:8" x14ac:dyDescent="0.3">
      <c r="A8631" s="27"/>
      <c r="B8631" s="28"/>
      <c r="C8631" s="24"/>
      <c r="D8631" s="25"/>
      <c r="E8631" s="25"/>
      <c r="F8631" s="28"/>
      <c r="G8631" s="28"/>
      <c r="H8631" s="32"/>
    </row>
    <row r="8632" spans="1:8" x14ac:dyDescent="0.3">
      <c r="A8632" s="27"/>
      <c r="B8632" s="28"/>
      <c r="C8632" s="24"/>
      <c r="D8632" s="25"/>
      <c r="E8632" s="25"/>
      <c r="F8632" s="28"/>
      <c r="G8632" s="28"/>
      <c r="H8632" s="32"/>
    </row>
    <row r="8633" spans="1:8" x14ac:dyDescent="0.3">
      <c r="A8633" s="27"/>
      <c r="B8633" s="28"/>
      <c r="C8633" s="24"/>
      <c r="D8633" s="25"/>
      <c r="E8633" s="25"/>
      <c r="F8633" s="28"/>
      <c r="G8633" s="28"/>
      <c r="H8633" s="32"/>
    </row>
    <row r="8634" spans="1:8" x14ac:dyDescent="0.3">
      <c r="A8634" s="27"/>
      <c r="B8634" s="28"/>
      <c r="C8634" s="24"/>
      <c r="D8634" s="25"/>
      <c r="E8634" s="25"/>
      <c r="F8634" s="28"/>
      <c r="G8634" s="28"/>
      <c r="H8634" s="32"/>
    </row>
    <row r="8635" spans="1:8" x14ac:dyDescent="0.3">
      <c r="A8635" s="27"/>
      <c r="B8635" s="28"/>
      <c r="C8635" s="24"/>
      <c r="D8635" s="25"/>
      <c r="E8635" s="25"/>
      <c r="F8635" s="28"/>
      <c r="G8635" s="28"/>
      <c r="H8635" s="32"/>
    </row>
    <row r="8636" spans="1:8" x14ac:dyDescent="0.3">
      <c r="A8636" s="27"/>
      <c r="B8636" s="28"/>
      <c r="C8636" s="24"/>
      <c r="D8636" s="25"/>
      <c r="E8636" s="25"/>
      <c r="F8636" s="28"/>
      <c r="G8636" s="28"/>
      <c r="H8636" s="32"/>
    </row>
    <row r="8637" spans="1:8" ht="15.6" x14ac:dyDescent="0.3">
      <c r="A8637" s="448" t="s">
        <v>45</v>
      </c>
      <c r="B8637" s="449"/>
      <c r="C8637" s="449"/>
      <c r="D8637" s="25"/>
      <c r="E8637" s="25"/>
      <c r="F8637" s="447" t="s">
        <v>46</v>
      </c>
      <c r="G8637" s="447"/>
      <c r="H8637" s="66">
        <f>(C8614*E8614)+(C8615*E8615)+(C8616*E8616)</f>
        <v>21000</v>
      </c>
    </row>
    <row r="8638" spans="1:8" ht="15.6" x14ac:dyDescent="0.3">
      <c r="A8638" s="497" t="s">
        <v>1502</v>
      </c>
      <c r="B8638" s="498"/>
      <c r="C8638" s="498"/>
      <c r="D8638" s="498"/>
      <c r="E8638" s="498"/>
      <c r="F8638" s="447" t="s">
        <v>47</v>
      </c>
      <c r="G8638" s="447"/>
      <c r="H8638" s="66">
        <f>H8637*9%</f>
        <v>1890</v>
      </c>
    </row>
    <row r="8639" spans="1:8" ht="15.6" x14ac:dyDescent="0.3">
      <c r="A8639" s="27"/>
      <c r="B8639" s="28"/>
      <c r="C8639" s="24"/>
      <c r="D8639" s="25"/>
      <c r="E8639" s="25"/>
      <c r="F8639" s="447" t="s">
        <v>48</v>
      </c>
      <c r="G8639" s="447"/>
      <c r="H8639" s="66">
        <f>H8637*9%</f>
        <v>1890</v>
      </c>
    </row>
    <row r="8640" spans="1:8" ht="15.6" x14ac:dyDescent="0.3">
      <c r="A8640" s="448" t="s">
        <v>49</v>
      </c>
      <c r="B8640" s="449"/>
      <c r="C8640" s="449"/>
      <c r="D8640" s="449"/>
      <c r="E8640" s="25"/>
      <c r="F8640" s="447" t="s">
        <v>50</v>
      </c>
      <c r="G8640" s="447"/>
      <c r="H8640" s="66">
        <v>24780</v>
      </c>
    </row>
    <row r="8641" spans="1:8" ht="27" x14ac:dyDescent="0.3">
      <c r="A8641" s="68" t="s">
        <v>22</v>
      </c>
      <c r="B8641" s="69" t="s">
        <v>51</v>
      </c>
      <c r="C8641" s="70" t="s">
        <v>24</v>
      </c>
      <c r="D8641" s="31" t="s">
        <v>25</v>
      </c>
      <c r="E8641" s="450" t="s">
        <v>52</v>
      </c>
      <c r="F8641" s="450"/>
      <c r="G8641" s="28"/>
      <c r="H8641" s="32"/>
    </row>
    <row r="8642" spans="1:8" x14ac:dyDescent="0.3">
      <c r="A8642" s="72">
        <v>0.18</v>
      </c>
      <c r="B8642" s="73">
        <f>H8637</f>
        <v>21000</v>
      </c>
      <c r="C8642" s="74">
        <f>H8638</f>
        <v>1890</v>
      </c>
      <c r="D8642" s="74">
        <f>H8639</f>
        <v>1890</v>
      </c>
      <c r="E8642" s="507">
        <f>C8642+D8642</f>
        <v>3780</v>
      </c>
      <c r="F8642" s="507"/>
      <c r="G8642" s="74"/>
      <c r="H8642" s="75"/>
    </row>
    <row r="8643" spans="1:8" x14ac:dyDescent="0.3">
      <c r="A8643" s="452" t="s">
        <v>1503</v>
      </c>
      <c r="B8643" s="453"/>
      <c r="C8643" s="453"/>
      <c r="D8643" s="453"/>
      <c r="E8643" s="453"/>
      <c r="F8643" s="453"/>
      <c r="G8643" s="453"/>
      <c r="H8643" s="454"/>
    </row>
    <row r="8644" spans="1:8" ht="15.6" x14ac:dyDescent="0.3">
      <c r="A8644" s="455" t="s">
        <v>53</v>
      </c>
      <c r="B8644" s="456"/>
      <c r="C8644" s="456"/>
      <c r="D8644" s="457"/>
      <c r="E8644" s="458" t="s">
        <v>54</v>
      </c>
      <c r="F8644" s="459"/>
      <c r="G8644" s="459"/>
      <c r="H8644" s="460"/>
    </row>
    <row r="8645" spans="1:8" x14ac:dyDescent="0.3">
      <c r="A8645" s="461" t="s">
        <v>55</v>
      </c>
      <c r="B8645" s="462"/>
      <c r="C8645" s="462"/>
      <c r="D8645" s="463"/>
      <c r="E8645" s="39"/>
      <c r="F8645" s="28"/>
      <c r="G8645" s="28"/>
      <c r="H8645" s="32"/>
    </row>
    <row r="8646" spans="1:8" x14ac:dyDescent="0.3">
      <c r="A8646" s="461" t="s">
        <v>56</v>
      </c>
      <c r="B8646" s="462"/>
      <c r="C8646" s="462"/>
      <c r="D8646" s="463"/>
      <c r="E8646" s="39"/>
      <c r="F8646" s="28"/>
      <c r="G8646" s="28"/>
      <c r="H8646" s="32"/>
    </row>
    <row r="8647" spans="1:8" x14ac:dyDescent="0.3">
      <c r="A8647" s="461" t="s">
        <v>57</v>
      </c>
      <c r="B8647" s="462"/>
      <c r="C8647" s="462"/>
      <c r="D8647" s="463"/>
      <c r="E8647" s="167"/>
      <c r="H8647" s="168"/>
    </row>
    <row r="8648" spans="1:8" ht="15.6" x14ac:dyDescent="0.3">
      <c r="A8648" s="464" t="s">
        <v>58</v>
      </c>
      <c r="B8648" s="465"/>
      <c r="C8648" s="465"/>
      <c r="D8648" s="510"/>
      <c r="E8648" s="466" t="s">
        <v>59</v>
      </c>
      <c r="F8648" s="467"/>
      <c r="G8648" s="467"/>
      <c r="H8648" s="468"/>
    </row>
    <row r="8651" spans="1:8" ht="44.4" x14ac:dyDescent="0.7">
      <c r="A8651" s="469" t="s">
        <v>0</v>
      </c>
      <c r="B8651" s="470"/>
      <c r="C8651" s="470"/>
      <c r="D8651" s="470"/>
      <c r="E8651" s="531" t="s">
        <v>92</v>
      </c>
      <c r="F8651" s="544"/>
      <c r="G8651" s="544"/>
      <c r="H8651" s="545"/>
    </row>
    <row r="8652" spans="1:8" ht="20.399999999999999" x14ac:dyDescent="0.35">
      <c r="A8652" s="1"/>
      <c r="B8652" s="476" t="s">
        <v>2</v>
      </c>
      <c r="C8652" s="476"/>
      <c r="D8652" s="476"/>
      <c r="E8652" s="546"/>
      <c r="F8652" s="546"/>
      <c r="G8652" s="546"/>
      <c r="H8652" s="547"/>
    </row>
    <row r="8653" spans="1:8" x14ac:dyDescent="0.3">
      <c r="A8653" s="477" t="s">
        <v>3</v>
      </c>
      <c r="B8653" s="478"/>
      <c r="C8653" s="136"/>
      <c r="D8653" s="499" t="s">
        <v>4</v>
      </c>
      <c r="E8653" s="499"/>
      <c r="F8653" s="137"/>
      <c r="G8653" s="575" t="s">
        <v>134</v>
      </c>
      <c r="H8653" s="576"/>
    </row>
    <row r="8654" spans="1:8" ht="15.6" x14ac:dyDescent="0.3">
      <c r="A8654" s="138" t="s">
        <v>6</v>
      </c>
      <c r="B8654" s="5"/>
      <c r="C8654" s="481" t="s">
        <v>7</v>
      </c>
      <c r="D8654" s="481"/>
      <c r="E8654" s="482">
        <v>188</v>
      </c>
      <c r="F8654" s="482"/>
      <c r="G8654" s="7" t="s">
        <v>8</v>
      </c>
      <c r="H8654" s="8" t="s">
        <v>1497</v>
      </c>
    </row>
    <row r="8655" spans="1:8" ht="15.6" x14ac:dyDescent="0.3">
      <c r="A8655" s="556" t="s">
        <v>177</v>
      </c>
      <c r="B8655" s="557"/>
      <c r="C8655" s="481" t="s">
        <v>10</v>
      </c>
      <c r="D8655" s="481"/>
      <c r="E8655" s="482"/>
      <c r="F8655" s="482"/>
      <c r="G8655" s="7" t="s">
        <v>8</v>
      </c>
      <c r="H8655" s="6"/>
    </row>
    <row r="8656" spans="1:8" ht="15.6" x14ac:dyDescent="0.3">
      <c r="A8656" s="577" t="s">
        <v>178</v>
      </c>
      <c r="B8656" s="578"/>
      <c r="C8656" s="481" t="s">
        <v>12</v>
      </c>
      <c r="D8656" s="481"/>
      <c r="E8656" s="482">
        <v>825</v>
      </c>
      <c r="F8656" s="482"/>
      <c r="G8656" s="7" t="s">
        <v>8</v>
      </c>
      <c r="H8656" s="8" t="s">
        <v>1385</v>
      </c>
    </row>
    <row r="8657" spans="1:8" ht="15.6" x14ac:dyDescent="0.3">
      <c r="A8657" s="556" t="s">
        <v>179</v>
      </c>
      <c r="B8657" s="557"/>
      <c r="C8657" s="481" t="s">
        <v>15</v>
      </c>
      <c r="D8657" s="481"/>
      <c r="E8657" s="566" t="s">
        <v>180</v>
      </c>
      <c r="F8657" s="567"/>
      <c r="G8657" s="567"/>
      <c r="H8657" s="568"/>
    </row>
    <row r="8658" spans="1:8" ht="15.6" x14ac:dyDescent="0.3">
      <c r="A8658" s="558" t="s">
        <v>1498</v>
      </c>
      <c r="B8658" s="559"/>
      <c r="C8658" s="569"/>
      <c r="D8658" s="570"/>
      <c r="E8658" s="570"/>
      <c r="F8658" s="570"/>
      <c r="G8658" s="570"/>
      <c r="H8658" s="571"/>
    </row>
    <row r="8659" spans="1:8" ht="15" x14ac:dyDescent="0.3">
      <c r="A8659" s="492" t="s">
        <v>17</v>
      </c>
      <c r="B8659" s="494" t="s">
        <v>18</v>
      </c>
      <c r="C8659" s="494" t="s">
        <v>19</v>
      </c>
      <c r="D8659" s="494" t="s">
        <v>20</v>
      </c>
      <c r="E8659" s="494" t="s">
        <v>21</v>
      </c>
      <c r="F8659" s="494" t="s">
        <v>22</v>
      </c>
      <c r="G8659" s="494"/>
      <c r="H8659" s="492" t="s">
        <v>23</v>
      </c>
    </row>
    <row r="8660" spans="1:8" ht="27.6" x14ac:dyDescent="0.3">
      <c r="A8660" s="492"/>
      <c r="B8660" s="494"/>
      <c r="C8660" s="494"/>
      <c r="D8660" s="494"/>
      <c r="E8660" s="494"/>
      <c r="F8660" s="53" t="s">
        <v>24</v>
      </c>
      <c r="G8660" s="53" t="s">
        <v>25</v>
      </c>
      <c r="H8660" s="492"/>
    </row>
    <row r="8661" spans="1:8" x14ac:dyDescent="0.3">
      <c r="A8661" s="57">
        <v>1</v>
      </c>
      <c r="B8661" s="113" t="s">
        <v>1512</v>
      </c>
      <c r="C8661" s="57">
        <v>1</v>
      </c>
      <c r="D8661" s="169">
        <v>998719</v>
      </c>
      <c r="E8661" s="57">
        <v>15000</v>
      </c>
      <c r="F8661" s="58">
        <f>C8661*E8661*9%</f>
        <v>1350</v>
      </c>
      <c r="G8661" s="58">
        <f>C8661*E8661*9%</f>
        <v>1350</v>
      </c>
      <c r="H8661" s="59">
        <f>C8661*E8661+F8661+G8661</f>
        <v>17700</v>
      </c>
    </row>
    <row r="8662" spans="1:8" x14ac:dyDescent="0.3">
      <c r="A8662" s="57"/>
      <c r="B8662" s="60"/>
      <c r="C8662" s="57"/>
      <c r="D8662" s="56"/>
      <c r="E8662" s="57"/>
      <c r="F8662" s="58"/>
      <c r="G8662" s="58"/>
      <c r="H8662" s="59"/>
    </row>
    <row r="8663" spans="1:8" x14ac:dyDescent="0.3">
      <c r="A8663" s="55"/>
      <c r="B8663" s="63"/>
      <c r="C8663" s="55"/>
      <c r="D8663" s="56"/>
      <c r="E8663" s="55"/>
      <c r="F8663" s="58"/>
      <c r="G8663" s="58"/>
      <c r="H8663" s="59"/>
    </row>
    <row r="8664" spans="1:8" x14ac:dyDescent="0.3">
      <c r="A8664" s="90"/>
      <c r="B8664" s="132"/>
      <c r="C8664" s="24"/>
      <c r="D8664" s="164"/>
      <c r="E8664" s="24"/>
      <c r="F8664" s="165"/>
      <c r="G8664" s="165"/>
      <c r="H8664" s="166"/>
    </row>
    <row r="8665" spans="1:8" x14ac:dyDescent="0.3">
      <c r="A8665" s="90"/>
      <c r="B8665" s="132"/>
      <c r="C8665" s="24"/>
      <c r="D8665" s="164"/>
      <c r="E8665" s="24"/>
      <c r="F8665" s="165"/>
      <c r="G8665" s="165"/>
      <c r="H8665" s="166"/>
    </row>
    <row r="8666" spans="1:8" x14ac:dyDescent="0.3">
      <c r="A8666" s="90"/>
      <c r="B8666" s="132"/>
      <c r="C8666" s="24"/>
      <c r="D8666" s="164"/>
      <c r="E8666" s="24"/>
      <c r="F8666" s="165"/>
      <c r="G8666" s="165"/>
      <c r="H8666" s="166"/>
    </row>
    <row r="8667" spans="1:8" x14ac:dyDescent="0.3">
      <c r="A8667" s="27"/>
      <c r="B8667" s="132"/>
      <c r="C8667" s="24"/>
      <c r="D8667" s="25"/>
      <c r="E8667" s="25"/>
      <c r="F8667" s="165"/>
      <c r="G8667" s="165"/>
      <c r="H8667" s="166"/>
    </row>
    <row r="8668" spans="1:8" x14ac:dyDescent="0.3">
      <c r="A8668" s="27"/>
      <c r="B8668" s="28"/>
      <c r="C8668" s="24"/>
      <c r="D8668" s="25"/>
      <c r="E8668" s="25"/>
      <c r="F8668" s="165"/>
      <c r="G8668" s="165"/>
      <c r="H8668" s="166"/>
    </row>
    <row r="8669" spans="1:8" x14ac:dyDescent="0.3">
      <c r="A8669" s="27"/>
      <c r="B8669" s="28"/>
      <c r="C8669" s="24"/>
      <c r="D8669" s="25"/>
      <c r="E8669" s="25"/>
      <c r="F8669" s="165"/>
      <c r="G8669" s="165"/>
      <c r="H8669" s="166"/>
    </row>
    <row r="8670" spans="1:8" x14ac:dyDescent="0.3">
      <c r="A8670" s="27"/>
      <c r="B8670" s="28"/>
      <c r="C8670" s="24"/>
      <c r="D8670" s="25"/>
      <c r="E8670" s="25"/>
      <c r="F8670" s="165"/>
      <c r="G8670" s="165"/>
      <c r="H8670" s="166"/>
    </row>
    <row r="8671" spans="1:8" x14ac:dyDescent="0.3">
      <c r="A8671" s="27"/>
      <c r="B8671" s="28"/>
      <c r="C8671" s="24"/>
      <c r="D8671" s="25"/>
      <c r="E8671" s="25"/>
      <c r="F8671" s="165"/>
      <c r="G8671" s="165"/>
      <c r="H8671" s="166"/>
    </row>
    <row r="8672" spans="1:8" x14ac:dyDescent="0.3">
      <c r="A8672" s="27"/>
      <c r="B8672" s="28"/>
      <c r="C8672" s="24"/>
      <c r="D8672" s="25"/>
      <c r="E8672" s="25"/>
      <c r="F8672" s="165"/>
      <c r="G8672" s="165"/>
      <c r="H8672" s="166"/>
    </row>
    <row r="8673" spans="1:8" x14ac:dyDescent="0.3">
      <c r="A8673" s="27"/>
      <c r="B8673" s="28"/>
      <c r="C8673" s="24"/>
      <c r="D8673" s="25"/>
      <c r="E8673" s="25"/>
      <c r="F8673" s="28"/>
      <c r="G8673" s="28"/>
      <c r="H8673" s="32"/>
    </row>
    <row r="8674" spans="1:8" x14ac:dyDescent="0.3">
      <c r="A8674" s="27"/>
      <c r="B8674" s="28"/>
      <c r="C8674" s="24"/>
      <c r="D8674" s="25"/>
      <c r="E8674" s="25"/>
      <c r="F8674" s="28"/>
      <c r="G8674" s="28"/>
      <c r="H8674" s="32"/>
    </row>
    <row r="8675" spans="1:8" x14ac:dyDescent="0.3">
      <c r="A8675" s="27"/>
      <c r="B8675" s="28"/>
      <c r="C8675" s="24"/>
      <c r="D8675" s="25"/>
      <c r="E8675" s="25"/>
      <c r="F8675" s="28"/>
      <c r="G8675" s="28"/>
      <c r="H8675" s="32"/>
    </row>
    <row r="8676" spans="1:8" x14ac:dyDescent="0.3">
      <c r="A8676" s="27"/>
      <c r="B8676" s="28"/>
      <c r="C8676" s="24"/>
      <c r="D8676" s="25"/>
      <c r="E8676" s="25"/>
      <c r="F8676" s="28"/>
      <c r="G8676" s="28"/>
      <c r="H8676" s="32"/>
    </row>
    <row r="8677" spans="1:8" x14ac:dyDescent="0.3">
      <c r="A8677" s="27"/>
      <c r="B8677" s="28"/>
      <c r="C8677" s="24"/>
      <c r="D8677" s="25"/>
      <c r="E8677" s="25"/>
      <c r="F8677" s="28"/>
      <c r="G8677" s="28"/>
      <c r="H8677" s="32"/>
    </row>
    <row r="8678" spans="1:8" x14ac:dyDescent="0.3">
      <c r="A8678" s="27"/>
      <c r="B8678" s="28"/>
      <c r="C8678" s="24"/>
      <c r="D8678" s="25"/>
      <c r="E8678" s="25"/>
      <c r="F8678" s="28"/>
      <c r="G8678" s="28"/>
      <c r="H8678" s="32"/>
    </row>
    <row r="8679" spans="1:8" x14ac:dyDescent="0.3">
      <c r="A8679" s="27"/>
      <c r="B8679" s="28"/>
      <c r="C8679" s="24"/>
      <c r="D8679" s="25"/>
      <c r="E8679" s="25"/>
      <c r="F8679" s="28"/>
      <c r="G8679" s="28"/>
      <c r="H8679" s="32"/>
    </row>
    <row r="8680" spans="1:8" x14ac:dyDescent="0.3">
      <c r="A8680" s="27"/>
      <c r="B8680" s="28"/>
      <c r="C8680" s="24"/>
      <c r="D8680" s="25"/>
      <c r="E8680" s="25"/>
      <c r="F8680" s="28"/>
      <c r="G8680" s="28"/>
      <c r="H8680" s="32"/>
    </row>
    <row r="8681" spans="1:8" x14ac:dyDescent="0.3">
      <c r="A8681" s="27"/>
      <c r="B8681" s="28"/>
      <c r="C8681" s="24"/>
      <c r="D8681" s="25"/>
      <c r="E8681" s="25"/>
      <c r="F8681" s="28"/>
      <c r="G8681" s="28"/>
      <c r="H8681" s="32"/>
    </row>
    <row r="8682" spans="1:8" x14ac:dyDescent="0.3">
      <c r="A8682" s="27"/>
      <c r="B8682" s="28"/>
      <c r="C8682" s="24"/>
      <c r="D8682" s="25"/>
      <c r="E8682" s="25"/>
      <c r="F8682" s="28"/>
      <c r="G8682" s="28"/>
      <c r="H8682" s="32"/>
    </row>
    <row r="8683" spans="1:8" x14ac:dyDescent="0.3">
      <c r="A8683" s="27"/>
      <c r="B8683" s="28"/>
      <c r="C8683" s="24"/>
      <c r="D8683" s="25"/>
      <c r="E8683" s="25"/>
      <c r="F8683" s="28"/>
      <c r="G8683" s="28"/>
      <c r="H8683" s="32"/>
    </row>
    <row r="8684" spans="1:8" ht="15.6" x14ac:dyDescent="0.3">
      <c r="A8684" s="448" t="s">
        <v>45</v>
      </c>
      <c r="B8684" s="449"/>
      <c r="C8684" s="449"/>
      <c r="D8684" s="25"/>
      <c r="E8684" s="25"/>
      <c r="F8684" s="447" t="s">
        <v>46</v>
      </c>
      <c r="G8684" s="447"/>
      <c r="H8684" s="66">
        <v>15000</v>
      </c>
    </row>
    <row r="8685" spans="1:8" ht="15.6" x14ac:dyDescent="0.3">
      <c r="A8685" s="497" t="s">
        <v>1505</v>
      </c>
      <c r="B8685" s="498"/>
      <c r="C8685" s="498"/>
      <c r="D8685" s="498"/>
      <c r="E8685" s="498"/>
      <c r="F8685" s="447" t="s">
        <v>47</v>
      </c>
      <c r="G8685" s="447"/>
      <c r="H8685" s="66">
        <f>H8684*9%</f>
        <v>1350</v>
      </c>
    </row>
    <row r="8686" spans="1:8" ht="15.6" x14ac:dyDescent="0.3">
      <c r="A8686" s="27"/>
      <c r="B8686" s="28"/>
      <c r="C8686" s="24"/>
      <c r="D8686" s="25"/>
      <c r="E8686" s="25"/>
      <c r="F8686" s="447" t="s">
        <v>48</v>
      </c>
      <c r="G8686" s="447"/>
      <c r="H8686" s="66">
        <f>H8684*9%</f>
        <v>1350</v>
      </c>
    </row>
    <row r="8687" spans="1:8" ht="15.6" x14ac:dyDescent="0.3">
      <c r="A8687" s="448" t="s">
        <v>49</v>
      </c>
      <c r="B8687" s="449"/>
      <c r="C8687" s="449"/>
      <c r="D8687" s="449"/>
      <c r="E8687" s="25"/>
      <c r="F8687" s="447" t="s">
        <v>50</v>
      </c>
      <c r="G8687" s="447"/>
      <c r="H8687" s="66">
        <v>17700</v>
      </c>
    </row>
    <row r="8688" spans="1:8" ht="27" x14ac:dyDescent="0.3">
      <c r="A8688" s="68" t="s">
        <v>22</v>
      </c>
      <c r="B8688" s="69" t="s">
        <v>51</v>
      </c>
      <c r="C8688" s="70" t="s">
        <v>24</v>
      </c>
      <c r="D8688" s="31" t="s">
        <v>25</v>
      </c>
      <c r="E8688" s="450" t="s">
        <v>52</v>
      </c>
      <c r="F8688" s="450"/>
      <c r="G8688" s="28"/>
      <c r="H8688" s="32"/>
    </row>
    <row r="8689" spans="1:8" x14ac:dyDescent="0.3">
      <c r="A8689" s="72">
        <v>0.18</v>
      </c>
      <c r="B8689" s="73">
        <f>H8684</f>
        <v>15000</v>
      </c>
      <c r="C8689" s="74">
        <f>H8685</f>
        <v>1350</v>
      </c>
      <c r="D8689" s="74">
        <f>H8686</f>
        <v>1350</v>
      </c>
      <c r="E8689" s="507">
        <f>C8689+D8689</f>
        <v>2700</v>
      </c>
      <c r="F8689" s="507"/>
      <c r="G8689" s="74"/>
      <c r="H8689" s="75"/>
    </row>
    <row r="8690" spans="1:8" x14ac:dyDescent="0.3">
      <c r="A8690" s="452" t="s">
        <v>1506</v>
      </c>
      <c r="B8690" s="453"/>
      <c r="C8690" s="453"/>
      <c r="D8690" s="453"/>
      <c r="E8690" s="453"/>
      <c r="F8690" s="453"/>
      <c r="G8690" s="453"/>
      <c r="H8690" s="454"/>
    </row>
    <row r="8691" spans="1:8" ht="15.6" x14ac:dyDescent="0.3">
      <c r="A8691" s="455" t="s">
        <v>53</v>
      </c>
      <c r="B8691" s="456"/>
      <c r="C8691" s="456"/>
      <c r="D8691" s="457"/>
      <c r="E8691" s="458" t="s">
        <v>54</v>
      </c>
      <c r="F8691" s="459"/>
      <c r="G8691" s="459"/>
      <c r="H8691" s="460"/>
    </row>
    <row r="8692" spans="1:8" x14ac:dyDescent="0.3">
      <c r="A8692" s="461" t="s">
        <v>55</v>
      </c>
      <c r="B8692" s="462"/>
      <c r="C8692" s="462"/>
      <c r="D8692" s="463"/>
      <c r="E8692" s="39"/>
      <c r="F8692" s="28"/>
      <c r="G8692" s="28"/>
      <c r="H8692" s="32"/>
    </row>
    <row r="8693" spans="1:8" x14ac:dyDescent="0.3">
      <c r="A8693" s="461" t="s">
        <v>56</v>
      </c>
      <c r="B8693" s="462"/>
      <c r="C8693" s="462"/>
      <c r="D8693" s="463"/>
      <c r="E8693" s="39"/>
      <c r="F8693" s="28"/>
      <c r="G8693" s="28"/>
      <c r="H8693" s="32"/>
    </row>
    <row r="8694" spans="1:8" x14ac:dyDescent="0.3">
      <c r="A8694" s="461" t="s">
        <v>57</v>
      </c>
      <c r="B8694" s="462"/>
      <c r="C8694" s="462"/>
      <c r="D8694" s="463"/>
      <c r="E8694" s="167"/>
      <c r="H8694" s="168"/>
    </row>
    <row r="8695" spans="1:8" ht="15.6" x14ac:dyDescent="0.3">
      <c r="A8695" s="464" t="s">
        <v>58</v>
      </c>
      <c r="B8695" s="465"/>
      <c r="C8695" s="465"/>
      <c r="D8695" s="510"/>
      <c r="E8695" s="466" t="s">
        <v>59</v>
      </c>
      <c r="F8695" s="467"/>
      <c r="G8695" s="467"/>
      <c r="H8695" s="468"/>
    </row>
    <row r="8699" spans="1:8" ht="44.4" x14ac:dyDescent="0.7">
      <c r="A8699" s="469" t="s">
        <v>0</v>
      </c>
      <c r="B8699" s="470"/>
      <c r="C8699" s="470"/>
      <c r="D8699" s="470"/>
      <c r="E8699" s="531" t="s">
        <v>92</v>
      </c>
      <c r="F8699" s="544"/>
      <c r="G8699" s="544"/>
      <c r="H8699" s="545"/>
    </row>
    <row r="8700" spans="1:8" ht="20.399999999999999" x14ac:dyDescent="0.35">
      <c r="A8700" s="1"/>
      <c r="B8700" s="476" t="s">
        <v>2</v>
      </c>
      <c r="C8700" s="476"/>
      <c r="D8700" s="476"/>
      <c r="E8700" s="546"/>
      <c r="F8700" s="546"/>
      <c r="G8700" s="546"/>
      <c r="H8700" s="547"/>
    </row>
    <row r="8701" spans="1:8" x14ac:dyDescent="0.3">
      <c r="A8701" s="477" t="s">
        <v>3</v>
      </c>
      <c r="B8701" s="478"/>
      <c r="C8701" s="136"/>
      <c r="D8701" s="499" t="s">
        <v>4</v>
      </c>
      <c r="E8701" s="499"/>
      <c r="F8701" s="137"/>
      <c r="G8701" s="575" t="s">
        <v>134</v>
      </c>
      <c r="H8701" s="576"/>
    </row>
    <row r="8702" spans="1:8" ht="15.6" x14ac:dyDescent="0.3">
      <c r="A8702" s="138" t="s">
        <v>6</v>
      </c>
      <c r="B8702" s="5"/>
      <c r="C8702" s="481" t="s">
        <v>7</v>
      </c>
      <c r="D8702" s="481"/>
      <c r="E8702" s="482">
        <v>189</v>
      </c>
      <c r="F8702" s="482"/>
      <c r="G8702" s="7" t="s">
        <v>8</v>
      </c>
      <c r="H8702" s="8" t="s">
        <v>1497</v>
      </c>
    </row>
    <row r="8703" spans="1:8" ht="15.6" x14ac:dyDescent="0.3">
      <c r="A8703" s="556" t="s">
        <v>177</v>
      </c>
      <c r="B8703" s="557"/>
      <c r="C8703" s="481" t="s">
        <v>10</v>
      </c>
      <c r="D8703" s="481"/>
      <c r="E8703" s="482"/>
      <c r="F8703" s="482"/>
      <c r="G8703" s="7" t="s">
        <v>8</v>
      </c>
      <c r="H8703" s="6"/>
    </row>
    <row r="8704" spans="1:8" ht="15.6" x14ac:dyDescent="0.3">
      <c r="A8704" s="577" t="s">
        <v>178</v>
      </c>
      <c r="B8704" s="578"/>
      <c r="C8704" s="481" t="s">
        <v>12</v>
      </c>
      <c r="D8704" s="481"/>
      <c r="E8704" s="482">
        <v>859</v>
      </c>
      <c r="F8704" s="482"/>
      <c r="G8704" s="7" t="s">
        <v>8</v>
      </c>
      <c r="H8704" s="8" t="s">
        <v>1366</v>
      </c>
    </row>
    <row r="8705" spans="1:9" ht="15.6" x14ac:dyDescent="0.3">
      <c r="A8705" s="556" t="s">
        <v>179</v>
      </c>
      <c r="B8705" s="557"/>
      <c r="C8705" s="481" t="s">
        <v>15</v>
      </c>
      <c r="D8705" s="481"/>
      <c r="E8705" s="566" t="s">
        <v>180</v>
      </c>
      <c r="F8705" s="567"/>
      <c r="G8705" s="567"/>
      <c r="H8705" s="568"/>
    </row>
    <row r="8706" spans="1:9" ht="15.6" x14ac:dyDescent="0.3">
      <c r="A8706" s="558" t="s">
        <v>1510</v>
      </c>
      <c r="B8706" s="559"/>
      <c r="C8706" s="569"/>
      <c r="D8706" s="570"/>
      <c r="E8706" s="570"/>
      <c r="F8706" s="570"/>
      <c r="G8706" s="570"/>
      <c r="H8706" s="571"/>
    </row>
    <row r="8707" spans="1:9" ht="15" x14ac:dyDescent="0.3">
      <c r="A8707" s="492" t="s">
        <v>17</v>
      </c>
      <c r="B8707" s="494" t="s">
        <v>18</v>
      </c>
      <c r="C8707" s="494" t="s">
        <v>19</v>
      </c>
      <c r="D8707" s="494" t="s">
        <v>20</v>
      </c>
      <c r="E8707" s="494" t="s">
        <v>21</v>
      </c>
      <c r="F8707" s="494" t="s">
        <v>22</v>
      </c>
      <c r="G8707" s="494"/>
      <c r="H8707" s="492" t="s">
        <v>23</v>
      </c>
    </row>
    <row r="8708" spans="1:9" ht="27.6" x14ac:dyDescent="0.3">
      <c r="A8708" s="492"/>
      <c r="B8708" s="494"/>
      <c r="C8708" s="494"/>
      <c r="D8708" s="494"/>
      <c r="E8708" s="494"/>
      <c r="F8708" s="53" t="s">
        <v>24</v>
      </c>
      <c r="G8708" s="53" t="s">
        <v>25</v>
      </c>
      <c r="H8708" s="492"/>
    </row>
    <row r="8709" spans="1:9" x14ac:dyDescent="0.3">
      <c r="A8709" s="57">
        <v>1</v>
      </c>
      <c r="B8709" s="113" t="s">
        <v>1507</v>
      </c>
      <c r="C8709" s="57">
        <v>2</v>
      </c>
      <c r="D8709" s="169">
        <v>85049010</v>
      </c>
      <c r="E8709" s="57">
        <v>2800</v>
      </c>
      <c r="F8709" s="58">
        <f>C8709*E8709*9%</f>
        <v>504</v>
      </c>
      <c r="G8709" s="58">
        <f>C8709*E8709*9%</f>
        <v>504</v>
      </c>
      <c r="H8709" s="59">
        <f>C8709*E8709+F8709+G8709</f>
        <v>6608</v>
      </c>
      <c r="I8709" s="362">
        <f>E8709*C8709</f>
        <v>5600</v>
      </c>
    </row>
    <row r="8710" spans="1:9" x14ac:dyDescent="0.3">
      <c r="A8710" s="57">
        <v>2</v>
      </c>
      <c r="B8710" s="60" t="s">
        <v>1508</v>
      </c>
      <c r="C8710" s="57">
        <v>4</v>
      </c>
      <c r="D8710" s="56">
        <v>998719</v>
      </c>
      <c r="E8710" s="57">
        <v>2800</v>
      </c>
      <c r="F8710" s="58">
        <f>C8710*E8710*9%</f>
        <v>1008</v>
      </c>
      <c r="G8710" s="58">
        <f>C8710*E8710*9%</f>
        <v>1008</v>
      </c>
      <c r="H8710" s="59">
        <f>C8710*E8710+F8710+G8710</f>
        <v>13216</v>
      </c>
      <c r="I8710" s="362">
        <f>E8710*C8710</f>
        <v>11200</v>
      </c>
    </row>
    <row r="8711" spans="1:9" x14ac:dyDescent="0.3">
      <c r="A8711" s="55"/>
      <c r="B8711" s="63"/>
      <c r="C8711" s="55"/>
      <c r="D8711" s="56"/>
      <c r="E8711" s="55"/>
      <c r="F8711" s="58"/>
      <c r="G8711" s="58"/>
      <c r="H8711" s="59"/>
    </row>
    <row r="8712" spans="1:9" x14ac:dyDescent="0.3">
      <c r="A8712" s="90"/>
      <c r="B8712" s="132"/>
      <c r="C8712" s="24"/>
      <c r="D8712" s="164"/>
      <c r="E8712" s="24"/>
      <c r="F8712" s="165"/>
      <c r="G8712" s="165"/>
      <c r="H8712" s="166"/>
    </row>
    <row r="8713" spans="1:9" x14ac:dyDescent="0.3">
      <c r="A8713" s="90"/>
      <c r="B8713" s="132"/>
      <c r="C8713" s="24"/>
      <c r="D8713" s="164"/>
      <c r="E8713" s="24"/>
      <c r="F8713" s="165"/>
      <c r="G8713" s="165"/>
      <c r="H8713" s="166"/>
    </row>
    <row r="8714" spans="1:9" x14ac:dyDescent="0.3">
      <c r="A8714" s="90"/>
      <c r="B8714" s="132"/>
      <c r="C8714" s="24"/>
      <c r="D8714" s="164"/>
      <c r="E8714" s="24"/>
      <c r="F8714" s="165"/>
      <c r="G8714" s="165"/>
      <c r="H8714" s="166"/>
    </row>
    <row r="8715" spans="1:9" x14ac:dyDescent="0.3">
      <c r="A8715" s="27"/>
      <c r="B8715" s="132"/>
      <c r="C8715" s="24"/>
      <c r="D8715" s="25"/>
      <c r="E8715" s="25"/>
      <c r="F8715" s="165"/>
      <c r="G8715" s="165"/>
      <c r="H8715" s="166"/>
    </row>
    <row r="8716" spans="1:9" x14ac:dyDescent="0.3">
      <c r="A8716" s="27"/>
      <c r="B8716" s="28"/>
      <c r="C8716" s="24"/>
      <c r="D8716" s="25"/>
      <c r="E8716" s="25"/>
      <c r="F8716" s="165"/>
      <c r="G8716" s="165"/>
      <c r="H8716" s="166"/>
    </row>
    <row r="8717" spans="1:9" x14ac:dyDescent="0.3">
      <c r="A8717" s="27"/>
      <c r="B8717" s="28"/>
      <c r="C8717" s="24"/>
      <c r="D8717" s="25"/>
      <c r="E8717" s="25"/>
      <c r="F8717" s="165"/>
      <c r="G8717" s="165"/>
      <c r="H8717" s="166"/>
    </row>
    <row r="8718" spans="1:9" x14ac:dyDescent="0.3">
      <c r="A8718" s="27"/>
      <c r="B8718" s="28"/>
      <c r="C8718" s="24"/>
      <c r="D8718" s="25"/>
      <c r="E8718" s="25"/>
      <c r="F8718" s="165"/>
      <c r="G8718" s="165"/>
      <c r="H8718" s="166"/>
    </row>
    <row r="8719" spans="1:9" x14ac:dyDescent="0.3">
      <c r="A8719" s="27"/>
      <c r="B8719" s="28"/>
      <c r="C8719" s="24"/>
      <c r="D8719" s="25"/>
      <c r="E8719" s="25"/>
      <c r="F8719" s="165"/>
      <c r="G8719" s="165"/>
      <c r="H8719" s="166"/>
    </row>
    <row r="8720" spans="1:9" x14ac:dyDescent="0.3">
      <c r="A8720" s="27"/>
      <c r="B8720" s="28"/>
      <c r="C8720" s="24"/>
      <c r="D8720" s="25"/>
      <c r="E8720" s="25"/>
      <c r="F8720" s="165"/>
      <c r="G8720" s="165"/>
      <c r="H8720" s="166"/>
    </row>
    <row r="8721" spans="1:8" x14ac:dyDescent="0.3">
      <c r="A8721" s="27"/>
      <c r="B8721" s="28"/>
      <c r="C8721" s="24"/>
      <c r="D8721" s="25"/>
      <c r="E8721" s="25"/>
      <c r="F8721" s="28"/>
      <c r="G8721" s="28"/>
      <c r="H8721" s="32"/>
    </row>
    <row r="8722" spans="1:8" x14ac:dyDescent="0.3">
      <c r="A8722" s="27"/>
      <c r="B8722" s="28"/>
      <c r="C8722" s="24"/>
      <c r="D8722" s="25"/>
      <c r="E8722" s="25"/>
      <c r="F8722" s="28"/>
      <c r="G8722" s="28"/>
      <c r="H8722" s="32"/>
    </row>
    <row r="8723" spans="1:8" x14ac:dyDescent="0.3">
      <c r="A8723" s="27"/>
      <c r="B8723" s="28"/>
      <c r="C8723" s="24"/>
      <c r="D8723" s="25"/>
      <c r="E8723" s="25"/>
      <c r="F8723" s="28"/>
      <c r="G8723" s="28"/>
      <c r="H8723" s="32"/>
    </row>
    <row r="8724" spans="1:8" x14ac:dyDescent="0.3">
      <c r="A8724" s="27"/>
      <c r="B8724" s="28"/>
      <c r="C8724" s="24"/>
      <c r="D8724" s="25"/>
      <c r="E8724" s="25"/>
      <c r="F8724" s="28"/>
      <c r="G8724" s="28"/>
      <c r="H8724" s="32"/>
    </row>
    <row r="8725" spans="1:8" x14ac:dyDescent="0.3">
      <c r="A8725" s="27"/>
      <c r="B8725" s="28"/>
      <c r="C8725" s="24"/>
      <c r="D8725" s="25"/>
      <c r="E8725" s="25"/>
      <c r="F8725" s="28"/>
      <c r="G8725" s="28"/>
      <c r="H8725" s="32"/>
    </row>
    <row r="8726" spans="1:8" x14ac:dyDescent="0.3">
      <c r="A8726" s="27"/>
      <c r="B8726" s="28"/>
      <c r="C8726" s="24"/>
      <c r="D8726" s="25"/>
      <c r="E8726" s="25"/>
      <c r="F8726" s="28"/>
      <c r="G8726" s="28"/>
      <c r="H8726" s="32"/>
    </row>
    <row r="8727" spans="1:8" x14ac:dyDescent="0.3">
      <c r="A8727" s="27"/>
      <c r="B8727" s="28"/>
      <c r="C8727" s="24"/>
      <c r="D8727" s="25"/>
      <c r="E8727" s="25"/>
      <c r="F8727" s="28"/>
      <c r="G8727" s="28"/>
      <c r="H8727" s="32"/>
    </row>
    <row r="8728" spans="1:8" x14ac:dyDescent="0.3">
      <c r="A8728" s="27"/>
      <c r="B8728" s="28"/>
      <c r="C8728" s="24"/>
      <c r="D8728" s="25"/>
      <c r="E8728" s="25"/>
      <c r="F8728" s="28"/>
      <c r="G8728" s="28"/>
      <c r="H8728" s="32"/>
    </row>
    <row r="8729" spans="1:8" x14ac:dyDescent="0.3">
      <c r="A8729" s="27"/>
      <c r="B8729" s="28"/>
      <c r="C8729" s="24"/>
      <c r="D8729" s="25"/>
      <c r="E8729" s="25"/>
      <c r="F8729" s="28"/>
      <c r="G8729" s="28"/>
      <c r="H8729" s="32"/>
    </row>
    <row r="8730" spans="1:8" x14ac:dyDescent="0.3">
      <c r="A8730" s="27"/>
      <c r="B8730" s="28"/>
      <c r="C8730" s="24"/>
      <c r="D8730" s="25"/>
      <c r="E8730" s="25"/>
      <c r="F8730" s="28"/>
      <c r="G8730" s="28"/>
      <c r="H8730" s="32"/>
    </row>
    <row r="8731" spans="1:8" x14ac:dyDescent="0.3">
      <c r="A8731" s="27"/>
      <c r="B8731" s="28"/>
      <c r="C8731" s="24"/>
      <c r="D8731" s="25"/>
      <c r="E8731" s="25"/>
      <c r="F8731" s="28"/>
      <c r="G8731" s="28"/>
      <c r="H8731" s="32"/>
    </row>
    <row r="8732" spans="1:8" ht="15.6" x14ac:dyDescent="0.3">
      <c r="A8732" s="448" t="s">
        <v>45</v>
      </c>
      <c r="B8732" s="449"/>
      <c r="C8732" s="449"/>
      <c r="D8732" s="25"/>
      <c r="E8732" s="25"/>
      <c r="F8732" s="447" t="s">
        <v>46</v>
      </c>
      <c r="G8732" s="447"/>
      <c r="H8732" s="66">
        <v>16800</v>
      </c>
    </row>
    <row r="8733" spans="1:8" ht="15.6" x14ac:dyDescent="0.3">
      <c r="A8733" s="497" t="s">
        <v>1509</v>
      </c>
      <c r="B8733" s="498"/>
      <c r="C8733" s="498"/>
      <c r="D8733" s="498"/>
      <c r="E8733" s="498"/>
      <c r="F8733" s="447" t="s">
        <v>47</v>
      </c>
      <c r="G8733" s="447"/>
      <c r="H8733" s="66">
        <f>H8732*9%</f>
        <v>1512</v>
      </c>
    </row>
    <row r="8734" spans="1:8" ht="15.6" x14ac:dyDescent="0.3">
      <c r="A8734" s="27"/>
      <c r="B8734" s="28"/>
      <c r="C8734" s="24"/>
      <c r="D8734" s="25"/>
      <c r="E8734" s="25"/>
      <c r="F8734" s="447" t="s">
        <v>48</v>
      </c>
      <c r="G8734" s="447"/>
      <c r="H8734" s="66">
        <f>H8732*9%</f>
        <v>1512</v>
      </c>
    </row>
    <row r="8735" spans="1:8" ht="15.6" x14ac:dyDescent="0.3">
      <c r="A8735" s="448" t="s">
        <v>49</v>
      </c>
      <c r="B8735" s="449"/>
      <c r="C8735" s="449"/>
      <c r="D8735" s="449"/>
      <c r="E8735" s="25"/>
      <c r="F8735" s="447" t="s">
        <v>50</v>
      </c>
      <c r="G8735" s="447"/>
      <c r="H8735" s="66">
        <v>19824</v>
      </c>
    </row>
    <row r="8736" spans="1:8" ht="27" x14ac:dyDescent="0.3">
      <c r="A8736" s="68" t="s">
        <v>22</v>
      </c>
      <c r="B8736" s="69" t="s">
        <v>51</v>
      </c>
      <c r="C8736" s="70" t="s">
        <v>24</v>
      </c>
      <c r="D8736" s="31" t="s">
        <v>25</v>
      </c>
      <c r="E8736" s="450" t="s">
        <v>52</v>
      </c>
      <c r="F8736" s="450"/>
      <c r="G8736" s="28"/>
      <c r="H8736" s="32"/>
    </row>
    <row r="8737" spans="1:8" x14ac:dyDescent="0.3">
      <c r="A8737" s="72">
        <v>0.18</v>
      </c>
      <c r="B8737" s="73">
        <f>H8732</f>
        <v>16800</v>
      </c>
      <c r="C8737" s="74">
        <f>H8733</f>
        <v>1512</v>
      </c>
      <c r="D8737" s="74">
        <f>H8734</f>
        <v>1512</v>
      </c>
      <c r="E8737" s="507">
        <f>C8737+D8737</f>
        <v>3024</v>
      </c>
      <c r="F8737" s="507"/>
      <c r="G8737" s="74"/>
      <c r="H8737" s="75"/>
    </row>
    <row r="8738" spans="1:8" x14ac:dyDescent="0.3">
      <c r="A8738" s="452" t="s">
        <v>1511</v>
      </c>
      <c r="B8738" s="453"/>
      <c r="C8738" s="453"/>
      <c r="D8738" s="453"/>
      <c r="E8738" s="453"/>
      <c r="F8738" s="453"/>
      <c r="G8738" s="453"/>
      <c r="H8738" s="454"/>
    </row>
    <row r="8739" spans="1:8" ht="15.6" x14ac:dyDescent="0.3">
      <c r="A8739" s="455" t="s">
        <v>53</v>
      </c>
      <c r="B8739" s="456"/>
      <c r="C8739" s="456"/>
      <c r="D8739" s="457"/>
      <c r="E8739" s="458" t="s">
        <v>54</v>
      </c>
      <c r="F8739" s="459"/>
      <c r="G8739" s="459"/>
      <c r="H8739" s="460"/>
    </row>
    <row r="8740" spans="1:8" x14ac:dyDescent="0.3">
      <c r="A8740" s="461" t="s">
        <v>55</v>
      </c>
      <c r="B8740" s="462"/>
      <c r="C8740" s="462"/>
      <c r="D8740" s="463"/>
      <c r="E8740" s="39"/>
      <c r="F8740" s="28"/>
      <c r="G8740" s="28"/>
      <c r="H8740" s="32"/>
    </row>
    <row r="8741" spans="1:8" x14ac:dyDescent="0.3">
      <c r="A8741" s="461" t="s">
        <v>56</v>
      </c>
      <c r="B8741" s="462"/>
      <c r="C8741" s="462"/>
      <c r="D8741" s="463"/>
      <c r="E8741" s="39"/>
      <c r="F8741" s="28"/>
      <c r="G8741" s="28"/>
      <c r="H8741" s="32"/>
    </row>
    <row r="8742" spans="1:8" x14ac:dyDescent="0.3">
      <c r="A8742" s="461" t="s">
        <v>57</v>
      </c>
      <c r="B8742" s="462"/>
      <c r="C8742" s="462"/>
      <c r="D8742" s="463"/>
      <c r="E8742" s="167"/>
      <c r="H8742" s="168"/>
    </row>
    <row r="8743" spans="1:8" ht="15.6" x14ac:dyDescent="0.3">
      <c r="A8743" s="464" t="s">
        <v>58</v>
      </c>
      <c r="B8743" s="465"/>
      <c r="C8743" s="465"/>
      <c r="D8743" s="510"/>
      <c r="E8743" s="466" t="s">
        <v>59</v>
      </c>
      <c r="F8743" s="467"/>
      <c r="G8743" s="467"/>
      <c r="H8743" s="468"/>
    </row>
    <row r="8747" spans="1:8" ht="44.4" x14ac:dyDescent="0.7">
      <c r="A8747" s="469" t="s">
        <v>0</v>
      </c>
      <c r="B8747" s="470"/>
      <c r="C8747" s="470"/>
      <c r="D8747" s="470"/>
      <c r="E8747" s="531" t="s">
        <v>92</v>
      </c>
      <c r="F8747" s="544"/>
      <c r="G8747" s="544"/>
      <c r="H8747" s="545"/>
    </row>
    <row r="8748" spans="1:8" ht="20.399999999999999" x14ac:dyDescent="0.35">
      <c r="A8748" s="1"/>
      <c r="B8748" s="476" t="s">
        <v>2</v>
      </c>
      <c r="C8748" s="476"/>
      <c r="D8748" s="476"/>
      <c r="E8748" s="546"/>
      <c r="F8748" s="546"/>
      <c r="G8748" s="546"/>
      <c r="H8748" s="547"/>
    </row>
    <row r="8749" spans="1:8" x14ac:dyDescent="0.3">
      <c r="A8749" s="477" t="s">
        <v>3</v>
      </c>
      <c r="B8749" s="478"/>
      <c r="C8749" s="136"/>
      <c r="D8749" s="499" t="s">
        <v>4</v>
      </c>
      <c r="E8749" s="499"/>
      <c r="F8749" s="137"/>
      <c r="G8749" s="575" t="s">
        <v>134</v>
      </c>
      <c r="H8749" s="576"/>
    </row>
    <row r="8750" spans="1:8" ht="15.6" x14ac:dyDescent="0.3">
      <c r="A8750" s="138" t="s">
        <v>6</v>
      </c>
      <c r="B8750" s="5"/>
      <c r="C8750" s="481" t="s">
        <v>7</v>
      </c>
      <c r="D8750" s="481"/>
      <c r="E8750" s="482">
        <v>190</v>
      </c>
      <c r="F8750" s="482"/>
      <c r="G8750" s="7" t="s">
        <v>8</v>
      </c>
      <c r="H8750" s="8" t="s">
        <v>1513</v>
      </c>
    </row>
    <row r="8751" spans="1:8" ht="15.6" x14ac:dyDescent="0.3">
      <c r="A8751" s="556" t="s">
        <v>177</v>
      </c>
      <c r="B8751" s="557"/>
      <c r="C8751" s="481" t="s">
        <v>10</v>
      </c>
      <c r="D8751" s="481"/>
      <c r="E8751" s="482"/>
      <c r="F8751" s="482"/>
      <c r="G8751" s="7" t="s">
        <v>8</v>
      </c>
      <c r="H8751" s="6"/>
    </row>
    <row r="8752" spans="1:8" ht="15.6" x14ac:dyDescent="0.3">
      <c r="A8752" s="577" t="s">
        <v>178</v>
      </c>
      <c r="B8752" s="578"/>
      <c r="C8752" s="481" t="s">
        <v>12</v>
      </c>
      <c r="D8752" s="481"/>
      <c r="E8752" s="482">
        <v>860</v>
      </c>
      <c r="F8752" s="482"/>
      <c r="G8752" s="7" t="s">
        <v>8</v>
      </c>
      <c r="H8752" s="8" t="s">
        <v>1366</v>
      </c>
    </row>
    <row r="8753" spans="1:9" ht="15.6" x14ac:dyDescent="0.3">
      <c r="A8753" s="556" t="s">
        <v>179</v>
      </c>
      <c r="B8753" s="557"/>
      <c r="C8753" s="481" t="s">
        <v>15</v>
      </c>
      <c r="D8753" s="481"/>
      <c r="E8753" s="566" t="s">
        <v>180</v>
      </c>
      <c r="F8753" s="567"/>
      <c r="G8753" s="567"/>
      <c r="H8753" s="568"/>
    </row>
    <row r="8754" spans="1:9" ht="15.6" x14ac:dyDescent="0.3">
      <c r="A8754" s="558" t="s">
        <v>1514</v>
      </c>
      <c r="B8754" s="559"/>
      <c r="C8754" s="569"/>
      <c r="D8754" s="570"/>
      <c r="E8754" s="570"/>
      <c r="F8754" s="570"/>
      <c r="G8754" s="570"/>
      <c r="H8754" s="571"/>
    </row>
    <row r="8755" spans="1:9" ht="15" x14ac:dyDescent="0.3">
      <c r="A8755" s="492" t="s">
        <v>17</v>
      </c>
      <c r="B8755" s="494" t="s">
        <v>18</v>
      </c>
      <c r="C8755" s="494" t="s">
        <v>19</v>
      </c>
      <c r="D8755" s="494" t="s">
        <v>20</v>
      </c>
      <c r="E8755" s="494" t="s">
        <v>21</v>
      </c>
      <c r="F8755" s="494" t="s">
        <v>22</v>
      </c>
      <c r="G8755" s="494"/>
      <c r="H8755" s="492" t="s">
        <v>23</v>
      </c>
    </row>
    <row r="8756" spans="1:9" ht="27.6" x14ac:dyDescent="0.3">
      <c r="A8756" s="492"/>
      <c r="B8756" s="494"/>
      <c r="C8756" s="494"/>
      <c r="D8756" s="494"/>
      <c r="E8756" s="494"/>
      <c r="F8756" s="53" t="s">
        <v>24</v>
      </c>
      <c r="G8756" s="53" t="s">
        <v>25</v>
      </c>
      <c r="H8756" s="492"/>
    </row>
    <row r="8757" spans="1:9" x14ac:dyDescent="0.3">
      <c r="A8757" s="57">
        <v>1</v>
      </c>
      <c r="B8757" s="113" t="s">
        <v>1515</v>
      </c>
      <c r="C8757" s="57">
        <v>2</v>
      </c>
      <c r="D8757" s="170">
        <v>998719</v>
      </c>
      <c r="E8757" s="57">
        <v>9000</v>
      </c>
      <c r="F8757" s="58">
        <f>C8757*E8757*9%</f>
        <v>1620</v>
      </c>
      <c r="G8757" s="58">
        <f>C8757*E8757*9%</f>
        <v>1620</v>
      </c>
      <c r="H8757" s="59">
        <f>C8757*E8757+F8757+G8757</f>
        <v>21240</v>
      </c>
      <c r="I8757" s="362">
        <f>E8757*C8757</f>
        <v>18000</v>
      </c>
    </row>
    <row r="8758" spans="1:9" x14ac:dyDescent="0.3">
      <c r="A8758" s="57">
        <v>2</v>
      </c>
      <c r="B8758" s="60" t="s">
        <v>1516</v>
      </c>
      <c r="C8758" s="57">
        <v>2</v>
      </c>
      <c r="D8758" s="56">
        <v>998719</v>
      </c>
      <c r="E8758" s="57">
        <v>3000</v>
      </c>
      <c r="F8758" s="58">
        <f t="shared" ref="F8758:F8759" si="213">C8758*E8758*9%</f>
        <v>540</v>
      </c>
      <c r="G8758" s="58">
        <f t="shared" ref="G8758:G8759" si="214">C8758*E8758*9%</f>
        <v>540</v>
      </c>
      <c r="H8758" s="59">
        <f t="shared" ref="H8758:H8759" si="215">C8758*E8758+F8758+G8758</f>
        <v>7080</v>
      </c>
      <c r="I8758" s="362">
        <f t="shared" ref="I8758:I8759" si="216">E8758*C8758</f>
        <v>6000</v>
      </c>
    </row>
    <row r="8759" spans="1:9" x14ac:dyDescent="0.3">
      <c r="A8759" s="55">
        <v>3</v>
      </c>
      <c r="B8759" s="63" t="s">
        <v>1517</v>
      </c>
      <c r="C8759" s="55">
        <v>1</v>
      </c>
      <c r="D8759" s="56">
        <v>998719</v>
      </c>
      <c r="E8759" s="55">
        <v>2500</v>
      </c>
      <c r="F8759" s="58">
        <f t="shared" si="213"/>
        <v>225</v>
      </c>
      <c r="G8759" s="58">
        <f t="shared" si="214"/>
        <v>225</v>
      </c>
      <c r="H8759" s="59">
        <f t="shared" si="215"/>
        <v>2950</v>
      </c>
      <c r="I8759" s="362">
        <f t="shared" si="216"/>
        <v>2500</v>
      </c>
    </row>
    <row r="8760" spans="1:9" x14ac:dyDescent="0.3">
      <c r="A8760" s="90"/>
      <c r="B8760" s="132"/>
      <c r="C8760" s="24"/>
      <c r="D8760" s="164"/>
      <c r="E8760" s="24"/>
      <c r="F8760" s="165"/>
      <c r="G8760" s="165"/>
      <c r="H8760" s="166"/>
    </row>
    <row r="8761" spans="1:9" x14ac:dyDescent="0.3">
      <c r="A8761" s="90"/>
      <c r="B8761" s="132"/>
      <c r="C8761" s="24"/>
      <c r="D8761" s="164"/>
      <c r="E8761" s="24"/>
      <c r="F8761" s="165"/>
      <c r="G8761" s="165"/>
      <c r="H8761" s="166"/>
    </row>
    <row r="8762" spans="1:9" x14ac:dyDescent="0.3">
      <c r="A8762" s="90"/>
      <c r="B8762" s="132"/>
      <c r="C8762" s="24"/>
      <c r="D8762" s="164"/>
      <c r="E8762" s="24"/>
      <c r="F8762" s="165"/>
      <c r="G8762" s="165"/>
      <c r="H8762" s="166"/>
    </row>
    <row r="8763" spans="1:9" x14ac:dyDescent="0.3">
      <c r="A8763" s="27"/>
      <c r="B8763" s="132"/>
      <c r="C8763" s="24"/>
      <c r="D8763" s="25"/>
      <c r="E8763" s="25"/>
      <c r="F8763" s="165"/>
      <c r="G8763" s="165"/>
      <c r="H8763" s="166"/>
    </row>
    <row r="8764" spans="1:9" x14ac:dyDescent="0.3">
      <c r="A8764" s="27"/>
      <c r="B8764" s="28"/>
      <c r="C8764" s="24"/>
      <c r="D8764" s="25"/>
      <c r="E8764" s="25"/>
      <c r="F8764" s="165"/>
      <c r="G8764" s="165"/>
      <c r="H8764" s="166"/>
    </row>
    <row r="8765" spans="1:9" x14ac:dyDescent="0.3">
      <c r="A8765" s="27"/>
      <c r="B8765" s="28"/>
      <c r="C8765" s="24"/>
      <c r="D8765" s="25"/>
      <c r="E8765" s="25"/>
      <c r="F8765" s="165"/>
      <c r="G8765" s="165"/>
      <c r="H8765" s="166"/>
    </row>
    <row r="8766" spans="1:9" x14ac:dyDescent="0.3">
      <c r="A8766" s="27"/>
      <c r="B8766" s="28"/>
      <c r="C8766" s="24"/>
      <c r="D8766" s="25"/>
      <c r="E8766" s="25"/>
      <c r="F8766" s="165"/>
      <c r="G8766" s="165"/>
      <c r="H8766" s="166"/>
    </row>
    <row r="8767" spans="1:9" x14ac:dyDescent="0.3">
      <c r="A8767" s="27"/>
      <c r="B8767" s="28"/>
      <c r="C8767" s="24"/>
      <c r="D8767" s="25"/>
      <c r="E8767" s="25"/>
      <c r="F8767" s="165"/>
      <c r="G8767" s="165"/>
      <c r="H8767" s="166"/>
    </row>
    <row r="8768" spans="1:9" x14ac:dyDescent="0.3">
      <c r="A8768" s="27"/>
      <c r="B8768" s="28"/>
      <c r="C8768" s="24"/>
      <c r="D8768" s="25"/>
      <c r="E8768" s="25"/>
      <c r="F8768" s="165"/>
      <c r="G8768" s="165"/>
      <c r="H8768" s="166"/>
    </row>
    <row r="8769" spans="1:8" x14ac:dyDescent="0.3">
      <c r="A8769" s="27"/>
      <c r="B8769" s="28"/>
      <c r="C8769" s="24"/>
      <c r="D8769" s="25"/>
      <c r="E8769" s="25"/>
      <c r="F8769" s="28"/>
      <c r="G8769" s="28"/>
      <c r="H8769" s="32"/>
    </row>
    <row r="8770" spans="1:8" x14ac:dyDescent="0.3">
      <c r="A8770" s="27"/>
      <c r="B8770" s="28"/>
      <c r="C8770" s="24"/>
      <c r="D8770" s="25"/>
      <c r="E8770" s="25"/>
      <c r="F8770" s="28"/>
      <c r="G8770" s="28"/>
      <c r="H8770" s="32"/>
    </row>
    <row r="8771" spans="1:8" x14ac:dyDescent="0.3">
      <c r="A8771" s="27"/>
      <c r="B8771" s="28"/>
      <c r="C8771" s="24"/>
      <c r="D8771" s="25"/>
      <c r="E8771" s="25"/>
      <c r="F8771" s="28"/>
      <c r="G8771" s="28"/>
      <c r="H8771" s="32"/>
    </row>
    <row r="8772" spans="1:8" x14ac:dyDescent="0.3">
      <c r="A8772" s="27"/>
      <c r="B8772" s="28"/>
      <c r="C8772" s="24"/>
      <c r="D8772" s="25"/>
      <c r="E8772" s="25"/>
      <c r="F8772" s="28"/>
      <c r="G8772" s="28"/>
      <c r="H8772" s="32"/>
    </row>
    <row r="8773" spans="1:8" x14ac:dyDescent="0.3">
      <c r="A8773" s="27"/>
      <c r="B8773" s="28"/>
      <c r="C8773" s="24"/>
      <c r="D8773" s="25"/>
      <c r="E8773" s="25"/>
      <c r="F8773" s="28"/>
      <c r="G8773" s="28"/>
      <c r="H8773" s="32"/>
    </row>
    <row r="8774" spans="1:8" x14ac:dyDescent="0.3">
      <c r="A8774" s="27"/>
      <c r="B8774" s="28"/>
      <c r="C8774" s="24"/>
      <c r="D8774" s="25"/>
      <c r="E8774" s="25"/>
      <c r="F8774" s="28"/>
      <c r="G8774" s="28"/>
      <c r="H8774" s="32"/>
    </row>
    <row r="8775" spans="1:8" x14ac:dyDescent="0.3">
      <c r="A8775" s="27"/>
      <c r="B8775" s="28"/>
      <c r="C8775" s="24"/>
      <c r="D8775" s="25"/>
      <c r="E8775" s="25"/>
      <c r="F8775" s="28"/>
      <c r="G8775" s="28"/>
      <c r="H8775" s="32"/>
    </row>
    <row r="8776" spans="1:8" x14ac:dyDescent="0.3">
      <c r="A8776" s="27"/>
      <c r="B8776" s="28"/>
      <c r="C8776" s="24"/>
      <c r="D8776" s="25"/>
      <c r="E8776" s="25"/>
      <c r="F8776" s="28"/>
      <c r="G8776" s="28"/>
      <c r="H8776" s="32"/>
    </row>
    <row r="8777" spans="1:8" x14ac:dyDescent="0.3">
      <c r="A8777" s="27"/>
      <c r="B8777" s="28"/>
      <c r="C8777" s="24"/>
      <c r="D8777" s="25"/>
      <c r="E8777" s="25"/>
      <c r="F8777" s="28"/>
      <c r="G8777" s="28"/>
      <c r="H8777" s="32"/>
    </row>
    <row r="8778" spans="1:8" x14ac:dyDescent="0.3">
      <c r="A8778" s="27"/>
      <c r="B8778" s="28"/>
      <c r="C8778" s="24"/>
      <c r="D8778" s="25"/>
      <c r="E8778" s="25"/>
      <c r="F8778" s="28"/>
      <c r="G8778" s="28"/>
      <c r="H8778" s="32"/>
    </row>
    <row r="8779" spans="1:8" x14ac:dyDescent="0.3">
      <c r="A8779" s="27"/>
      <c r="B8779" s="28"/>
      <c r="C8779" s="24"/>
      <c r="D8779" s="25"/>
      <c r="E8779" s="25"/>
      <c r="F8779" s="28"/>
      <c r="G8779" s="28"/>
      <c r="H8779" s="32"/>
    </row>
    <row r="8780" spans="1:8" ht="15.6" x14ac:dyDescent="0.3">
      <c r="A8780" s="448" t="s">
        <v>45</v>
      </c>
      <c r="B8780" s="449"/>
      <c r="C8780" s="449"/>
      <c r="D8780" s="25"/>
      <c r="E8780" s="25"/>
      <c r="F8780" s="447" t="s">
        <v>46</v>
      </c>
      <c r="G8780" s="447"/>
      <c r="H8780" s="66">
        <v>26500</v>
      </c>
    </row>
    <row r="8781" spans="1:8" ht="15.6" x14ac:dyDescent="0.3">
      <c r="A8781" s="497" t="s">
        <v>1518</v>
      </c>
      <c r="B8781" s="498"/>
      <c r="C8781" s="498"/>
      <c r="D8781" s="498"/>
      <c r="E8781" s="498"/>
      <c r="F8781" s="447" t="s">
        <v>47</v>
      </c>
      <c r="G8781" s="447"/>
      <c r="H8781" s="66">
        <f>H8780*9%</f>
        <v>2385</v>
      </c>
    </row>
    <row r="8782" spans="1:8" ht="15.6" x14ac:dyDescent="0.3">
      <c r="A8782" s="27"/>
      <c r="B8782" s="28"/>
      <c r="C8782" s="24"/>
      <c r="D8782" s="25"/>
      <c r="E8782" s="25"/>
      <c r="F8782" s="447" t="s">
        <v>48</v>
      </c>
      <c r="G8782" s="447"/>
      <c r="H8782" s="66">
        <f>H8780*9%</f>
        <v>2385</v>
      </c>
    </row>
    <row r="8783" spans="1:8" ht="15.6" x14ac:dyDescent="0.3">
      <c r="A8783" s="448" t="s">
        <v>49</v>
      </c>
      <c r="B8783" s="449"/>
      <c r="C8783" s="449"/>
      <c r="D8783" s="449"/>
      <c r="E8783" s="25"/>
      <c r="F8783" s="447" t="s">
        <v>50</v>
      </c>
      <c r="G8783" s="447"/>
      <c r="H8783" s="66">
        <v>31270</v>
      </c>
    </row>
    <row r="8784" spans="1:8" ht="27" x14ac:dyDescent="0.3">
      <c r="A8784" s="68" t="s">
        <v>22</v>
      </c>
      <c r="B8784" s="69" t="s">
        <v>51</v>
      </c>
      <c r="C8784" s="70" t="s">
        <v>24</v>
      </c>
      <c r="D8784" s="31" t="s">
        <v>25</v>
      </c>
      <c r="E8784" s="450" t="s">
        <v>52</v>
      </c>
      <c r="F8784" s="450"/>
      <c r="G8784" s="28"/>
      <c r="H8784" s="32"/>
    </row>
    <row r="8785" spans="1:8" x14ac:dyDescent="0.3">
      <c r="A8785" s="72">
        <v>0.18</v>
      </c>
      <c r="B8785" s="73">
        <f>H8780</f>
        <v>26500</v>
      </c>
      <c r="C8785" s="74">
        <f>H8781</f>
        <v>2385</v>
      </c>
      <c r="D8785" s="74">
        <f>H8782</f>
        <v>2385</v>
      </c>
      <c r="E8785" s="507">
        <f>C8785+D8785</f>
        <v>4770</v>
      </c>
      <c r="F8785" s="507"/>
      <c r="G8785" s="74"/>
      <c r="H8785" s="75"/>
    </row>
    <row r="8786" spans="1:8" x14ac:dyDescent="0.3">
      <c r="A8786" s="452" t="s">
        <v>1519</v>
      </c>
      <c r="B8786" s="453"/>
      <c r="C8786" s="453"/>
      <c r="D8786" s="453"/>
      <c r="E8786" s="453"/>
      <c r="F8786" s="453"/>
      <c r="G8786" s="453"/>
      <c r="H8786" s="454"/>
    </row>
    <row r="8787" spans="1:8" ht="15.6" x14ac:dyDescent="0.3">
      <c r="A8787" s="455" t="s">
        <v>53</v>
      </c>
      <c r="B8787" s="456"/>
      <c r="C8787" s="456"/>
      <c r="D8787" s="457"/>
      <c r="E8787" s="458" t="s">
        <v>54</v>
      </c>
      <c r="F8787" s="459"/>
      <c r="G8787" s="459"/>
      <c r="H8787" s="460"/>
    </row>
    <row r="8788" spans="1:8" x14ac:dyDescent="0.3">
      <c r="A8788" s="461" t="s">
        <v>55</v>
      </c>
      <c r="B8788" s="462"/>
      <c r="C8788" s="462"/>
      <c r="D8788" s="463"/>
      <c r="E8788" s="39"/>
      <c r="F8788" s="28"/>
      <c r="G8788" s="28"/>
      <c r="H8788" s="32"/>
    </row>
    <row r="8789" spans="1:8" x14ac:dyDescent="0.3">
      <c r="A8789" s="461" t="s">
        <v>56</v>
      </c>
      <c r="B8789" s="462"/>
      <c r="C8789" s="462"/>
      <c r="D8789" s="463"/>
      <c r="E8789" s="39"/>
      <c r="F8789" s="28"/>
      <c r="G8789" s="28"/>
      <c r="H8789" s="32"/>
    </row>
    <row r="8790" spans="1:8" x14ac:dyDescent="0.3">
      <c r="A8790" s="461" t="s">
        <v>57</v>
      </c>
      <c r="B8790" s="462"/>
      <c r="C8790" s="462"/>
      <c r="D8790" s="463"/>
      <c r="E8790" s="167"/>
      <c r="H8790" s="168"/>
    </row>
    <row r="8791" spans="1:8" ht="15.6" x14ac:dyDescent="0.3">
      <c r="A8791" s="464" t="s">
        <v>58</v>
      </c>
      <c r="B8791" s="465"/>
      <c r="C8791" s="465"/>
      <c r="D8791" s="510"/>
      <c r="E8791" s="466" t="s">
        <v>59</v>
      </c>
      <c r="F8791" s="467"/>
      <c r="G8791" s="467"/>
      <c r="H8791" s="468"/>
    </row>
    <row r="8794" spans="1:8" ht="44.4" x14ac:dyDescent="0.7">
      <c r="A8794" s="469" t="s">
        <v>0</v>
      </c>
      <c r="B8794" s="470"/>
      <c r="C8794" s="470"/>
      <c r="D8794" s="470"/>
      <c r="E8794" s="531" t="s">
        <v>92</v>
      </c>
      <c r="F8794" s="544"/>
      <c r="G8794" s="544"/>
      <c r="H8794" s="545"/>
    </row>
    <row r="8795" spans="1:8" ht="20.399999999999999" x14ac:dyDescent="0.35">
      <c r="A8795" s="1"/>
      <c r="B8795" s="476" t="s">
        <v>2</v>
      </c>
      <c r="C8795" s="476"/>
      <c r="D8795" s="476"/>
      <c r="E8795" s="546"/>
      <c r="F8795" s="546"/>
      <c r="G8795" s="546"/>
      <c r="H8795" s="547"/>
    </row>
    <row r="8796" spans="1:8" x14ac:dyDescent="0.3">
      <c r="A8796" s="477" t="s">
        <v>3</v>
      </c>
      <c r="B8796" s="478"/>
      <c r="C8796" s="136"/>
      <c r="D8796" s="499" t="s">
        <v>4</v>
      </c>
      <c r="E8796" s="499"/>
      <c r="F8796" s="137"/>
      <c r="G8796" s="575" t="s">
        <v>134</v>
      </c>
      <c r="H8796" s="576"/>
    </row>
    <row r="8797" spans="1:8" ht="15.6" x14ac:dyDescent="0.3">
      <c r="A8797" s="138" t="s">
        <v>6</v>
      </c>
      <c r="B8797" s="5"/>
      <c r="C8797" s="481" t="s">
        <v>7</v>
      </c>
      <c r="D8797" s="481"/>
      <c r="E8797" s="482">
        <v>191</v>
      </c>
      <c r="F8797" s="482"/>
      <c r="G8797" s="7" t="s">
        <v>8</v>
      </c>
      <c r="H8797" s="8" t="s">
        <v>1520</v>
      </c>
    </row>
    <row r="8798" spans="1:8" ht="15.6" x14ac:dyDescent="0.3">
      <c r="A8798" s="556" t="s">
        <v>1521</v>
      </c>
      <c r="B8798" s="557"/>
      <c r="C8798" s="481" t="s">
        <v>10</v>
      </c>
      <c r="D8798" s="481"/>
      <c r="E8798" s="482"/>
      <c r="F8798" s="482"/>
      <c r="G8798" s="7" t="s">
        <v>8</v>
      </c>
      <c r="H8798" s="6"/>
    </row>
    <row r="8799" spans="1:8" ht="15.6" x14ac:dyDescent="0.3">
      <c r="A8799" s="577" t="s">
        <v>1522</v>
      </c>
      <c r="B8799" s="578"/>
      <c r="C8799" s="481" t="s">
        <v>12</v>
      </c>
      <c r="D8799" s="481"/>
      <c r="E8799" s="482"/>
      <c r="F8799" s="482"/>
      <c r="G8799" s="7" t="s">
        <v>8</v>
      </c>
      <c r="H8799" s="8"/>
    </row>
    <row r="8800" spans="1:8" ht="15.6" x14ac:dyDescent="0.3">
      <c r="A8800" s="556" t="s">
        <v>1523</v>
      </c>
      <c r="B8800" s="557"/>
      <c r="C8800" s="481" t="s">
        <v>15</v>
      </c>
      <c r="D8800" s="481"/>
      <c r="E8800" s="566" t="s">
        <v>1524</v>
      </c>
      <c r="F8800" s="567"/>
      <c r="G8800" s="567"/>
      <c r="H8800" s="568"/>
    </row>
    <row r="8801" spans="1:8" ht="15.6" x14ac:dyDescent="0.3">
      <c r="A8801" s="558" t="s">
        <v>1525</v>
      </c>
      <c r="B8801" s="559"/>
      <c r="C8801" s="569"/>
      <c r="D8801" s="570"/>
      <c r="E8801" s="570"/>
      <c r="F8801" s="570"/>
      <c r="G8801" s="570"/>
      <c r="H8801" s="571"/>
    </row>
    <row r="8802" spans="1:8" ht="15" x14ac:dyDescent="0.3">
      <c r="A8802" s="492" t="s">
        <v>17</v>
      </c>
      <c r="B8802" s="494" t="s">
        <v>18</v>
      </c>
      <c r="C8802" s="494" t="s">
        <v>19</v>
      </c>
      <c r="D8802" s="494" t="s">
        <v>20</v>
      </c>
      <c r="E8802" s="494" t="s">
        <v>21</v>
      </c>
      <c r="F8802" s="494" t="s">
        <v>22</v>
      </c>
      <c r="G8802" s="494"/>
      <c r="H8802" s="492" t="s">
        <v>23</v>
      </c>
    </row>
    <row r="8803" spans="1:8" ht="27.6" x14ac:dyDescent="0.3">
      <c r="A8803" s="492"/>
      <c r="B8803" s="494"/>
      <c r="C8803" s="494"/>
      <c r="D8803" s="494"/>
      <c r="E8803" s="494"/>
      <c r="F8803" s="53" t="s">
        <v>24</v>
      </c>
      <c r="G8803" s="53" t="s">
        <v>25</v>
      </c>
      <c r="H8803" s="492"/>
    </row>
    <row r="8804" spans="1:8" x14ac:dyDescent="0.3">
      <c r="A8804" s="57">
        <v>1</v>
      </c>
      <c r="B8804" s="113" t="s">
        <v>1526</v>
      </c>
      <c r="C8804" s="57">
        <v>1</v>
      </c>
      <c r="D8804" s="170">
        <v>998719</v>
      </c>
      <c r="E8804" s="57">
        <v>8000</v>
      </c>
      <c r="F8804" s="58">
        <f>C8804*E8804*9%</f>
        <v>720</v>
      </c>
      <c r="G8804" s="58">
        <f>C8804*E8804*9%</f>
        <v>720</v>
      </c>
      <c r="H8804" s="59">
        <f>C8804*E8804+F8804+G8804</f>
        <v>9440</v>
      </c>
    </row>
    <row r="8805" spans="1:8" x14ac:dyDescent="0.3">
      <c r="A8805" s="57"/>
      <c r="B8805" s="60"/>
      <c r="C8805" s="57"/>
      <c r="D8805" s="56"/>
      <c r="E8805" s="57"/>
      <c r="F8805" s="58"/>
      <c r="G8805" s="58"/>
      <c r="H8805" s="59"/>
    </row>
    <row r="8806" spans="1:8" x14ac:dyDescent="0.3">
      <c r="A8806" s="55"/>
      <c r="B8806" s="63"/>
      <c r="C8806" s="55"/>
      <c r="D8806" s="56"/>
      <c r="E8806" s="55"/>
      <c r="F8806" s="58"/>
      <c r="G8806" s="58"/>
      <c r="H8806" s="59"/>
    </row>
    <row r="8807" spans="1:8" x14ac:dyDescent="0.3">
      <c r="A8807" s="90"/>
      <c r="B8807" s="132"/>
      <c r="C8807" s="24"/>
      <c r="D8807" s="164"/>
      <c r="E8807" s="24"/>
      <c r="F8807" s="165"/>
      <c r="G8807" s="165"/>
      <c r="H8807" s="166"/>
    </row>
    <row r="8808" spans="1:8" x14ac:dyDescent="0.3">
      <c r="A8808" s="90"/>
      <c r="B8808" s="132"/>
      <c r="C8808" s="24"/>
      <c r="D8808" s="164"/>
      <c r="E8808" s="24"/>
      <c r="F8808" s="165"/>
      <c r="G8808" s="165"/>
      <c r="H8808" s="166"/>
    </row>
    <row r="8809" spans="1:8" x14ac:dyDescent="0.3">
      <c r="A8809" s="90"/>
      <c r="B8809" s="132"/>
      <c r="C8809" s="24"/>
      <c r="D8809" s="164"/>
      <c r="E8809" s="24"/>
      <c r="F8809" s="165"/>
      <c r="G8809" s="165"/>
      <c r="H8809" s="166"/>
    </row>
    <row r="8810" spans="1:8" x14ac:dyDescent="0.3">
      <c r="A8810" s="27"/>
      <c r="B8810" s="132"/>
      <c r="C8810" s="24"/>
      <c r="D8810" s="25"/>
      <c r="E8810" s="25"/>
      <c r="F8810" s="165"/>
      <c r="G8810" s="165"/>
      <c r="H8810" s="166"/>
    </row>
    <row r="8811" spans="1:8" x14ac:dyDescent="0.3">
      <c r="A8811" s="27"/>
      <c r="B8811" s="28"/>
      <c r="C8811" s="24"/>
      <c r="D8811" s="25"/>
      <c r="E8811" s="25"/>
      <c r="F8811" s="165"/>
      <c r="G8811" s="165"/>
      <c r="H8811" s="166"/>
    </row>
    <row r="8812" spans="1:8" x14ac:dyDescent="0.3">
      <c r="A8812" s="27"/>
      <c r="B8812" s="28"/>
      <c r="C8812" s="24"/>
      <c r="D8812" s="25"/>
      <c r="E8812" s="25"/>
      <c r="F8812" s="165"/>
      <c r="G8812" s="165"/>
      <c r="H8812" s="166"/>
    </row>
    <row r="8813" spans="1:8" x14ac:dyDescent="0.3">
      <c r="A8813" s="27"/>
      <c r="B8813" s="28"/>
      <c r="C8813" s="24"/>
      <c r="D8813" s="25"/>
      <c r="E8813" s="25"/>
      <c r="F8813" s="165"/>
      <c r="G8813" s="165"/>
      <c r="H8813" s="166"/>
    </row>
    <row r="8814" spans="1:8" x14ac:dyDescent="0.3">
      <c r="A8814" s="27"/>
      <c r="B8814" s="28"/>
      <c r="C8814" s="24"/>
      <c r="D8814" s="25"/>
      <c r="E8814" s="25"/>
      <c r="F8814" s="165"/>
      <c r="G8814" s="165"/>
      <c r="H8814" s="166"/>
    </row>
    <row r="8815" spans="1:8" x14ac:dyDescent="0.3">
      <c r="A8815" s="27"/>
      <c r="B8815" s="28"/>
      <c r="C8815" s="24"/>
      <c r="D8815" s="25"/>
      <c r="E8815" s="25"/>
      <c r="F8815" s="165"/>
      <c r="G8815" s="165"/>
      <c r="H8815" s="166"/>
    </row>
    <row r="8816" spans="1:8" x14ac:dyDescent="0.3">
      <c r="A8816" s="27"/>
      <c r="B8816" s="28"/>
      <c r="C8816" s="24"/>
      <c r="D8816" s="25"/>
      <c r="E8816" s="25"/>
      <c r="F8816" s="28"/>
      <c r="G8816" s="28"/>
      <c r="H8816" s="32"/>
    </row>
    <row r="8817" spans="1:8" x14ac:dyDescent="0.3">
      <c r="A8817" s="27"/>
      <c r="B8817" s="28"/>
      <c r="C8817" s="24"/>
      <c r="D8817" s="25"/>
      <c r="E8817" s="25"/>
      <c r="F8817" s="28"/>
      <c r="G8817" s="28"/>
      <c r="H8817" s="32"/>
    </row>
    <row r="8818" spans="1:8" x14ac:dyDescent="0.3">
      <c r="A8818" s="27"/>
      <c r="B8818" s="28"/>
      <c r="C8818" s="24"/>
      <c r="D8818" s="25"/>
      <c r="E8818" s="25"/>
      <c r="F8818" s="28"/>
      <c r="G8818" s="28"/>
      <c r="H8818" s="32"/>
    </row>
    <row r="8819" spans="1:8" x14ac:dyDescent="0.3">
      <c r="A8819" s="27"/>
      <c r="B8819" s="28"/>
      <c r="C8819" s="24"/>
      <c r="D8819" s="25"/>
      <c r="E8819" s="25"/>
      <c r="F8819" s="28"/>
      <c r="G8819" s="28"/>
      <c r="H8819" s="32"/>
    </row>
    <row r="8820" spans="1:8" x14ac:dyDescent="0.3">
      <c r="A8820" s="27"/>
      <c r="B8820" s="28"/>
      <c r="C8820" s="24"/>
      <c r="D8820" s="25"/>
      <c r="E8820" s="25"/>
      <c r="F8820" s="28"/>
      <c r="G8820" s="28"/>
      <c r="H8820" s="32"/>
    </row>
    <row r="8821" spans="1:8" x14ac:dyDescent="0.3">
      <c r="A8821" s="27"/>
      <c r="B8821" s="28"/>
      <c r="C8821" s="24"/>
      <c r="D8821" s="25"/>
      <c r="E8821" s="25"/>
      <c r="F8821" s="28"/>
      <c r="G8821" s="28"/>
      <c r="H8821" s="32"/>
    </row>
    <row r="8822" spans="1:8" x14ac:dyDescent="0.3">
      <c r="A8822" s="27"/>
      <c r="B8822" s="28"/>
      <c r="C8822" s="24"/>
      <c r="D8822" s="25"/>
      <c r="E8822" s="25"/>
      <c r="F8822" s="28"/>
      <c r="G8822" s="28"/>
      <c r="H8822" s="32"/>
    </row>
    <row r="8823" spans="1:8" x14ac:dyDescent="0.3">
      <c r="A8823" s="27"/>
      <c r="B8823" s="28"/>
      <c r="C8823" s="24"/>
      <c r="D8823" s="25"/>
      <c r="E8823" s="25"/>
      <c r="F8823" s="28"/>
      <c r="G8823" s="28"/>
      <c r="H8823" s="32"/>
    </row>
    <row r="8824" spans="1:8" x14ac:dyDescent="0.3">
      <c r="A8824" s="27"/>
      <c r="B8824" s="28"/>
      <c r="C8824" s="24"/>
      <c r="D8824" s="25"/>
      <c r="E8824" s="25"/>
      <c r="F8824" s="28"/>
      <c r="G8824" s="28"/>
      <c r="H8824" s="32"/>
    </row>
    <row r="8825" spans="1:8" x14ac:dyDescent="0.3">
      <c r="A8825" s="27"/>
      <c r="B8825" s="28"/>
      <c r="C8825" s="24"/>
      <c r="D8825" s="25"/>
      <c r="E8825" s="25"/>
      <c r="F8825" s="28"/>
      <c r="G8825" s="28"/>
      <c r="H8825" s="32"/>
    </row>
    <row r="8826" spans="1:8" x14ac:dyDescent="0.3">
      <c r="A8826" s="27"/>
      <c r="B8826" s="28"/>
      <c r="C8826" s="24"/>
      <c r="D8826" s="25"/>
      <c r="E8826" s="25"/>
      <c r="F8826" s="28"/>
      <c r="G8826" s="28"/>
      <c r="H8826" s="32"/>
    </row>
    <row r="8827" spans="1:8" ht="15.6" x14ac:dyDescent="0.3">
      <c r="A8827" s="448" t="s">
        <v>45</v>
      </c>
      <c r="B8827" s="449"/>
      <c r="C8827" s="449"/>
      <c r="D8827" s="25"/>
      <c r="E8827" s="25"/>
      <c r="F8827" s="447" t="s">
        <v>46</v>
      </c>
      <c r="G8827" s="447"/>
      <c r="H8827" s="66">
        <v>8000</v>
      </c>
    </row>
    <row r="8828" spans="1:8" ht="15.6" x14ac:dyDescent="0.3">
      <c r="A8828" s="497" t="s">
        <v>1527</v>
      </c>
      <c r="B8828" s="498"/>
      <c r="C8828" s="498"/>
      <c r="D8828" s="498"/>
      <c r="E8828" s="498"/>
      <c r="F8828" s="447" t="s">
        <v>47</v>
      </c>
      <c r="G8828" s="447"/>
      <c r="H8828" s="66">
        <f>H8827*9%</f>
        <v>720</v>
      </c>
    </row>
    <row r="8829" spans="1:8" ht="15.6" x14ac:dyDescent="0.3">
      <c r="A8829" s="27"/>
      <c r="B8829" s="28"/>
      <c r="C8829" s="24"/>
      <c r="D8829" s="25"/>
      <c r="E8829" s="25"/>
      <c r="F8829" s="447" t="s">
        <v>48</v>
      </c>
      <c r="G8829" s="447"/>
      <c r="H8829" s="66">
        <f>H8827*9%</f>
        <v>720</v>
      </c>
    </row>
    <row r="8830" spans="1:8" ht="15.6" x14ac:dyDescent="0.3">
      <c r="A8830" s="448" t="s">
        <v>49</v>
      </c>
      <c r="B8830" s="449"/>
      <c r="C8830" s="449"/>
      <c r="D8830" s="449"/>
      <c r="E8830" s="25"/>
      <c r="F8830" s="447" t="s">
        <v>50</v>
      </c>
      <c r="G8830" s="447"/>
      <c r="H8830" s="66">
        <v>9440</v>
      </c>
    </row>
    <row r="8831" spans="1:8" ht="27" x14ac:dyDescent="0.3">
      <c r="A8831" s="68" t="s">
        <v>22</v>
      </c>
      <c r="B8831" s="69" t="s">
        <v>51</v>
      </c>
      <c r="C8831" s="70" t="s">
        <v>24</v>
      </c>
      <c r="D8831" s="31" t="s">
        <v>25</v>
      </c>
      <c r="E8831" s="450" t="s">
        <v>52</v>
      </c>
      <c r="F8831" s="450"/>
      <c r="G8831" s="28"/>
      <c r="H8831" s="32"/>
    </row>
    <row r="8832" spans="1:8" x14ac:dyDescent="0.3">
      <c r="A8832" s="72">
        <v>0.18</v>
      </c>
      <c r="B8832" s="73">
        <f>H8827</f>
        <v>8000</v>
      </c>
      <c r="C8832" s="74">
        <f>H8828</f>
        <v>720</v>
      </c>
      <c r="D8832" s="74">
        <f>H8829</f>
        <v>720</v>
      </c>
      <c r="E8832" s="507">
        <f>C8832+D8832</f>
        <v>1440</v>
      </c>
      <c r="F8832" s="507"/>
      <c r="G8832" s="74"/>
      <c r="H8832" s="75"/>
    </row>
    <row r="8833" spans="1:8" x14ac:dyDescent="0.3">
      <c r="A8833" s="452" t="s">
        <v>1528</v>
      </c>
      <c r="B8833" s="453"/>
      <c r="C8833" s="453"/>
      <c r="D8833" s="453"/>
      <c r="E8833" s="453"/>
      <c r="F8833" s="453"/>
      <c r="G8833" s="453"/>
      <c r="H8833" s="454"/>
    </row>
    <row r="8834" spans="1:8" ht="15.6" x14ac:dyDescent="0.3">
      <c r="A8834" s="455" t="s">
        <v>53</v>
      </c>
      <c r="B8834" s="456"/>
      <c r="C8834" s="456"/>
      <c r="D8834" s="457"/>
      <c r="E8834" s="458" t="s">
        <v>54</v>
      </c>
      <c r="F8834" s="459"/>
      <c r="G8834" s="459"/>
      <c r="H8834" s="460"/>
    </row>
    <row r="8835" spans="1:8" x14ac:dyDescent="0.3">
      <c r="A8835" s="461" t="s">
        <v>55</v>
      </c>
      <c r="B8835" s="462"/>
      <c r="C8835" s="462"/>
      <c r="D8835" s="463"/>
      <c r="E8835" s="39"/>
      <c r="F8835" s="28"/>
      <c r="G8835" s="28"/>
      <c r="H8835" s="32"/>
    </row>
    <row r="8836" spans="1:8" x14ac:dyDescent="0.3">
      <c r="A8836" s="461" t="s">
        <v>56</v>
      </c>
      <c r="B8836" s="462"/>
      <c r="C8836" s="462"/>
      <c r="D8836" s="463"/>
      <c r="E8836" s="39"/>
      <c r="F8836" s="28"/>
      <c r="G8836" s="28"/>
      <c r="H8836" s="32"/>
    </row>
    <row r="8837" spans="1:8" x14ac:dyDescent="0.3">
      <c r="A8837" s="461" t="s">
        <v>57</v>
      </c>
      <c r="B8837" s="462"/>
      <c r="C8837" s="462"/>
      <c r="D8837" s="463"/>
      <c r="E8837" s="167"/>
      <c r="H8837" s="168"/>
    </row>
    <row r="8838" spans="1:8" ht="15.6" x14ac:dyDescent="0.3">
      <c r="A8838" s="464" t="s">
        <v>58</v>
      </c>
      <c r="B8838" s="465"/>
      <c r="C8838" s="465"/>
      <c r="D8838" s="510"/>
      <c r="E8838" s="466" t="s">
        <v>59</v>
      </c>
      <c r="F8838" s="467"/>
      <c r="G8838" s="467"/>
      <c r="H8838" s="468"/>
    </row>
    <row r="8842" spans="1:8" ht="44.4" x14ac:dyDescent="0.7">
      <c r="A8842" s="469" t="s">
        <v>0</v>
      </c>
      <c r="B8842" s="470"/>
      <c r="C8842" s="470"/>
      <c r="D8842" s="470"/>
      <c r="E8842" s="531" t="s">
        <v>92</v>
      </c>
      <c r="F8842" s="531"/>
      <c r="G8842" s="531"/>
      <c r="H8842" s="532"/>
    </row>
    <row r="8843" spans="1:8" ht="20.399999999999999" x14ac:dyDescent="0.35">
      <c r="A8843" s="1"/>
      <c r="B8843" s="535" t="s">
        <v>2</v>
      </c>
      <c r="C8843" s="535"/>
      <c r="D8843" s="535"/>
      <c r="E8843" s="533"/>
      <c r="F8843" s="533"/>
      <c r="G8843" s="533"/>
      <c r="H8843" s="534"/>
    </row>
    <row r="8844" spans="1:8" x14ac:dyDescent="0.3">
      <c r="A8844" s="477" t="s">
        <v>3</v>
      </c>
      <c r="B8844" s="478"/>
      <c r="C8844" s="479" t="s">
        <v>4</v>
      </c>
      <c r="D8844" s="479"/>
      <c r="E8844" s="480" t="s">
        <v>5</v>
      </c>
      <c r="F8844" s="480"/>
      <c r="G8844" s="480"/>
      <c r="H8844" s="480"/>
    </row>
    <row r="8845" spans="1:8" ht="15.6" x14ac:dyDescent="0.3">
      <c r="A8845" s="4" t="s">
        <v>6</v>
      </c>
      <c r="B8845" s="5"/>
      <c r="C8845" s="536" t="s">
        <v>7</v>
      </c>
      <c r="D8845" s="516"/>
      <c r="E8845" s="489">
        <v>192</v>
      </c>
      <c r="F8845" s="491"/>
      <c r="G8845" s="44" t="s">
        <v>8</v>
      </c>
      <c r="H8845" s="109" t="s">
        <v>1529</v>
      </c>
    </row>
    <row r="8846" spans="1:8" ht="15.6" x14ac:dyDescent="0.3">
      <c r="A8846" s="108" t="s">
        <v>1453</v>
      </c>
      <c r="B8846" s="107"/>
      <c r="C8846" s="536" t="s">
        <v>10</v>
      </c>
      <c r="D8846" s="516"/>
      <c r="E8846" s="489"/>
      <c r="F8846" s="491"/>
      <c r="G8846" s="44" t="s">
        <v>8</v>
      </c>
      <c r="H8846" s="122"/>
    </row>
    <row r="8847" spans="1:8" ht="15" x14ac:dyDescent="0.3">
      <c r="A8847" s="108" t="s">
        <v>1454</v>
      </c>
      <c r="B8847" s="106"/>
      <c r="C8847" s="483" t="s">
        <v>12</v>
      </c>
      <c r="D8847" s="484"/>
      <c r="E8847" s="613"/>
      <c r="F8847" s="614"/>
      <c r="G8847" s="48" t="s">
        <v>8</v>
      </c>
      <c r="H8847" s="109"/>
    </row>
    <row r="8848" spans="1:8" ht="15.6" x14ac:dyDescent="0.3">
      <c r="A8848" s="108" t="s">
        <v>1455</v>
      </c>
      <c r="B8848" s="106"/>
      <c r="C8848" s="536" t="s">
        <v>15</v>
      </c>
      <c r="D8848" s="516"/>
      <c r="E8848" s="110" t="s">
        <v>1457</v>
      </c>
      <c r="F8848" s="111"/>
      <c r="G8848" s="112"/>
      <c r="H8848" s="49"/>
    </row>
    <row r="8849" spans="1:8" ht="15.6" x14ac:dyDescent="0.3">
      <c r="A8849" s="539" t="s">
        <v>1456</v>
      </c>
      <c r="B8849" s="540"/>
      <c r="C8849" s="24"/>
      <c r="D8849" s="25"/>
      <c r="E8849" s="50"/>
      <c r="F8849" s="50"/>
      <c r="G8849" s="51"/>
      <c r="H8849" s="52"/>
    </row>
    <row r="8850" spans="1:8" ht="15" x14ac:dyDescent="0.3">
      <c r="A8850" s="493" t="s">
        <v>17</v>
      </c>
      <c r="B8850" s="495" t="s">
        <v>18</v>
      </c>
      <c r="C8850" s="495" t="s">
        <v>19</v>
      </c>
      <c r="D8850" s="495" t="s">
        <v>20</v>
      </c>
      <c r="E8850" s="495" t="s">
        <v>21</v>
      </c>
      <c r="F8850" s="541" t="s">
        <v>22</v>
      </c>
      <c r="G8850" s="542"/>
      <c r="H8850" s="493" t="s">
        <v>23</v>
      </c>
    </row>
    <row r="8851" spans="1:8" ht="27.6" x14ac:dyDescent="0.3">
      <c r="A8851" s="527"/>
      <c r="B8851" s="505"/>
      <c r="C8851" s="505"/>
      <c r="D8851" s="505"/>
      <c r="E8851" s="505"/>
      <c r="F8851" s="53" t="s">
        <v>24</v>
      </c>
      <c r="G8851" s="53" t="s">
        <v>25</v>
      </c>
      <c r="H8851" s="527"/>
    </row>
    <row r="8852" spans="1:8" x14ac:dyDescent="0.3">
      <c r="A8852" s="56">
        <v>1</v>
      </c>
      <c r="B8852" s="113" t="s">
        <v>1530</v>
      </c>
      <c r="C8852" s="114">
        <v>1</v>
      </c>
      <c r="D8852" s="17">
        <v>998719</v>
      </c>
      <c r="E8852" s="56">
        <v>4500</v>
      </c>
      <c r="F8852" s="56">
        <f>E8852*C8852*9%</f>
        <v>405</v>
      </c>
      <c r="G8852" s="56">
        <f>F8852</f>
        <v>405</v>
      </c>
      <c r="H8852" s="55">
        <f>G8852+F8852+E8852*C8852</f>
        <v>5310</v>
      </c>
    </row>
    <row r="8853" spans="1:8" x14ac:dyDescent="0.3">
      <c r="A8853" s="56"/>
      <c r="B8853" s="113"/>
      <c r="C8853" s="114"/>
      <c r="D8853" s="56"/>
      <c r="E8853" s="56"/>
      <c r="F8853" s="56"/>
      <c r="G8853" s="56"/>
      <c r="H8853" s="55"/>
    </row>
    <row r="8854" spans="1:8" x14ac:dyDescent="0.3">
      <c r="A8854" s="55"/>
      <c r="B8854" s="113"/>
      <c r="C8854" s="55"/>
      <c r="D8854" s="47"/>
      <c r="E8854" s="47"/>
      <c r="F8854" s="56"/>
      <c r="G8854" s="56"/>
      <c r="H8854" s="47"/>
    </row>
    <row r="8855" spans="1:8" x14ac:dyDescent="0.3">
      <c r="A8855" s="55"/>
      <c r="B8855" s="94"/>
      <c r="C8855" s="55"/>
      <c r="D8855" s="47"/>
      <c r="E8855" s="47"/>
      <c r="F8855" s="115"/>
      <c r="G8855" s="115"/>
      <c r="H8855" s="47"/>
    </row>
    <row r="8856" spans="1:8" x14ac:dyDescent="0.3">
      <c r="A8856" s="27"/>
      <c r="B8856" s="28"/>
      <c r="C8856" s="24"/>
      <c r="D8856" s="25"/>
      <c r="E8856" s="25"/>
      <c r="F8856" s="25"/>
      <c r="G8856" s="28"/>
      <c r="H8856" s="32"/>
    </row>
    <row r="8857" spans="1:8" x14ac:dyDescent="0.3">
      <c r="A8857" s="27"/>
      <c r="B8857" s="28"/>
      <c r="C8857" s="24"/>
      <c r="D8857" s="25"/>
      <c r="E8857" s="25"/>
      <c r="F8857" s="25"/>
      <c r="G8857" s="28"/>
      <c r="H8857" s="32"/>
    </row>
    <row r="8858" spans="1:8" x14ac:dyDescent="0.3">
      <c r="A8858" s="27"/>
      <c r="B8858" s="28"/>
      <c r="C8858" s="24"/>
      <c r="D8858" s="25"/>
      <c r="E8858" s="25"/>
      <c r="F8858" s="25"/>
      <c r="G8858" s="28"/>
      <c r="H8858" s="32"/>
    </row>
    <row r="8859" spans="1:8" x14ac:dyDescent="0.3">
      <c r="A8859" s="27"/>
      <c r="B8859" s="28"/>
      <c r="C8859" s="24"/>
      <c r="D8859" s="25"/>
      <c r="E8859" s="25"/>
      <c r="F8859" s="25"/>
      <c r="G8859" s="28"/>
      <c r="H8859" s="32"/>
    </row>
    <row r="8860" spans="1:8" x14ac:dyDescent="0.3">
      <c r="A8860" s="27"/>
      <c r="B8860" s="28"/>
      <c r="C8860" s="24"/>
      <c r="D8860" s="25"/>
      <c r="E8860" s="25"/>
      <c r="F8860" s="25"/>
      <c r="G8860" s="28"/>
      <c r="H8860" s="32"/>
    </row>
    <row r="8861" spans="1:8" x14ac:dyDescent="0.3">
      <c r="A8861" s="27"/>
      <c r="B8861" s="28"/>
      <c r="C8861" s="24"/>
      <c r="D8861" s="25"/>
      <c r="E8861" s="25"/>
      <c r="F8861" s="25"/>
      <c r="G8861" s="28"/>
      <c r="H8861" s="32"/>
    </row>
    <row r="8862" spans="1:8" x14ac:dyDescent="0.3">
      <c r="A8862" s="27"/>
      <c r="B8862" s="28"/>
      <c r="C8862" s="24"/>
      <c r="D8862" s="25"/>
      <c r="E8862" s="25"/>
      <c r="F8862" s="25"/>
      <c r="G8862" s="28"/>
      <c r="H8862" s="32"/>
    </row>
    <row r="8863" spans="1:8" x14ac:dyDescent="0.3">
      <c r="A8863" s="27"/>
      <c r="B8863" s="28"/>
      <c r="C8863" s="24"/>
      <c r="D8863" s="25"/>
      <c r="E8863" s="25"/>
      <c r="F8863" s="25"/>
      <c r="G8863" s="28"/>
      <c r="H8863" s="32"/>
    </row>
    <row r="8864" spans="1:8" x14ac:dyDescent="0.3">
      <c r="A8864" s="27"/>
      <c r="B8864" s="28"/>
      <c r="C8864" s="24"/>
      <c r="D8864" s="25"/>
      <c r="E8864" s="25"/>
      <c r="F8864" s="25"/>
      <c r="G8864" s="28"/>
      <c r="H8864" s="32"/>
    </row>
    <row r="8865" spans="1:8" x14ac:dyDescent="0.3">
      <c r="A8865" s="27"/>
      <c r="B8865" s="28"/>
      <c r="C8865" s="24"/>
      <c r="D8865" s="25"/>
      <c r="E8865" s="25"/>
      <c r="F8865" s="25"/>
      <c r="G8865" s="28"/>
      <c r="H8865" s="32"/>
    </row>
    <row r="8866" spans="1:8" x14ac:dyDescent="0.3">
      <c r="A8866" s="27"/>
      <c r="B8866" s="28"/>
      <c r="C8866" s="24"/>
      <c r="D8866" s="25"/>
      <c r="E8866" s="25"/>
      <c r="F8866" s="25"/>
      <c r="G8866" s="28"/>
      <c r="H8866" s="32"/>
    </row>
    <row r="8867" spans="1:8" x14ac:dyDescent="0.3">
      <c r="A8867" s="27"/>
      <c r="B8867" s="28"/>
      <c r="C8867" s="24"/>
      <c r="D8867" s="25"/>
      <c r="E8867" s="25"/>
      <c r="F8867" s="25"/>
      <c r="G8867" s="28"/>
      <c r="H8867" s="32"/>
    </row>
    <row r="8868" spans="1:8" x14ac:dyDescent="0.3">
      <c r="A8868" s="27"/>
      <c r="B8868" s="28"/>
      <c r="C8868" s="24"/>
      <c r="D8868" s="25"/>
      <c r="E8868" s="25"/>
      <c r="F8868" s="25"/>
      <c r="G8868" s="28"/>
      <c r="H8868" s="32"/>
    </row>
    <row r="8869" spans="1:8" x14ac:dyDescent="0.3">
      <c r="A8869" s="27"/>
      <c r="B8869" s="28"/>
      <c r="C8869" s="24"/>
      <c r="D8869" s="25"/>
      <c r="E8869" s="25"/>
      <c r="F8869" s="25"/>
      <c r="G8869" s="28"/>
      <c r="H8869" s="32"/>
    </row>
    <row r="8870" spans="1:8" x14ac:dyDescent="0.3">
      <c r="A8870" s="27"/>
      <c r="B8870" s="28"/>
      <c r="C8870" s="24"/>
      <c r="D8870" s="25"/>
      <c r="E8870" s="25"/>
      <c r="F8870" s="25"/>
      <c r="G8870" s="28"/>
      <c r="H8870" s="32"/>
    </row>
    <row r="8871" spans="1:8" x14ac:dyDescent="0.3">
      <c r="A8871" s="27"/>
      <c r="B8871" s="28"/>
      <c r="C8871" s="24"/>
      <c r="D8871" s="25"/>
      <c r="E8871" s="25"/>
      <c r="F8871" s="25"/>
      <c r="G8871" s="28"/>
      <c r="H8871" s="32"/>
    </row>
    <row r="8872" spans="1:8" x14ac:dyDescent="0.3">
      <c r="A8872" s="27"/>
      <c r="B8872" s="28"/>
      <c r="C8872" s="24"/>
      <c r="D8872" s="25"/>
      <c r="E8872" s="25"/>
      <c r="F8872" s="25"/>
      <c r="G8872" s="28"/>
      <c r="H8872" s="32"/>
    </row>
    <row r="8873" spans="1:8" x14ac:dyDescent="0.3">
      <c r="A8873" s="27"/>
      <c r="B8873" s="28"/>
      <c r="C8873" s="24"/>
      <c r="D8873" s="25"/>
      <c r="E8873" s="25"/>
      <c r="F8873" s="25"/>
      <c r="G8873" s="28"/>
      <c r="H8873" s="32"/>
    </row>
    <row r="8874" spans="1:8" x14ac:dyDescent="0.3">
      <c r="A8874" s="27"/>
      <c r="B8874" s="28"/>
      <c r="C8874" s="24"/>
      <c r="D8874" s="25"/>
      <c r="E8874" s="25"/>
      <c r="F8874" s="25"/>
      <c r="G8874" s="28"/>
      <c r="H8874" s="32"/>
    </row>
    <row r="8875" spans="1:8" ht="15.6" x14ac:dyDescent="0.3">
      <c r="A8875" s="497" t="s">
        <v>97</v>
      </c>
      <c r="B8875" s="498"/>
      <c r="C8875" s="24"/>
      <c r="D8875" s="25"/>
      <c r="E8875" s="25"/>
      <c r="F8875" s="116" t="s">
        <v>46</v>
      </c>
      <c r="G8875" s="26"/>
      <c r="H8875" s="66">
        <v>4500</v>
      </c>
    </row>
    <row r="8876" spans="1:8" ht="15.6" x14ac:dyDescent="0.3">
      <c r="A8876" s="497" t="s">
        <v>1531</v>
      </c>
      <c r="B8876" s="498"/>
      <c r="C8876" s="498"/>
      <c r="D8876" s="498"/>
      <c r="E8876" s="67"/>
      <c r="F8876" s="116" t="s">
        <v>47</v>
      </c>
      <c r="G8876" s="26"/>
      <c r="H8876" s="66">
        <f>H8877</f>
        <v>405</v>
      </c>
    </row>
    <row r="8877" spans="1:8" ht="15.6" x14ac:dyDescent="0.3">
      <c r="A8877" s="27"/>
      <c r="B8877" s="28"/>
      <c r="C8877" s="24"/>
      <c r="D8877" s="25"/>
      <c r="E8877" s="25"/>
      <c r="F8877" s="116" t="s">
        <v>48</v>
      </c>
      <c r="G8877" s="26"/>
      <c r="H8877" s="66">
        <f>H8875*9%</f>
        <v>405</v>
      </c>
    </row>
    <row r="8878" spans="1:8" ht="15.6" x14ac:dyDescent="0.3">
      <c r="A8878" s="497" t="s">
        <v>49</v>
      </c>
      <c r="B8878" s="498"/>
      <c r="C8878" s="498"/>
      <c r="D8878" s="25"/>
      <c r="E8878" s="25"/>
      <c r="F8878" s="116" t="s">
        <v>50</v>
      </c>
      <c r="G8878" s="26"/>
      <c r="H8878" s="66">
        <v>5310</v>
      </c>
    </row>
    <row r="8879" spans="1:8" ht="27" x14ac:dyDescent="0.3">
      <c r="A8879" s="68" t="s">
        <v>22</v>
      </c>
      <c r="B8879" s="69" t="s">
        <v>51</v>
      </c>
      <c r="C8879" s="70" t="s">
        <v>24</v>
      </c>
      <c r="D8879" s="31" t="s">
        <v>25</v>
      </c>
      <c r="E8879" s="528" t="s">
        <v>52</v>
      </c>
      <c r="F8879" s="528"/>
      <c r="G8879" s="28"/>
      <c r="H8879" s="32"/>
    </row>
    <row r="8880" spans="1:8" x14ac:dyDescent="0.3">
      <c r="A8880" s="72">
        <v>0.18</v>
      </c>
      <c r="B8880" s="73">
        <f>H8875</f>
        <v>4500</v>
      </c>
      <c r="C8880" s="74">
        <f>H8876</f>
        <v>405</v>
      </c>
      <c r="D8880" s="74">
        <f>H8877</f>
        <v>405</v>
      </c>
      <c r="E8880" s="507">
        <f>C8880+D8880</f>
        <v>810</v>
      </c>
      <c r="F8880" s="507"/>
      <c r="G8880" s="74"/>
      <c r="H8880" s="75"/>
    </row>
    <row r="8881" spans="1:8" x14ac:dyDescent="0.3">
      <c r="A8881" s="452" t="s">
        <v>1532</v>
      </c>
      <c r="B8881" s="453"/>
      <c r="C8881" s="453"/>
      <c r="D8881" s="453"/>
      <c r="E8881" s="453"/>
      <c r="F8881" s="78"/>
      <c r="G8881" s="36"/>
      <c r="H8881" s="79"/>
    </row>
    <row r="8882" spans="1:8" ht="15.6" x14ac:dyDescent="0.3">
      <c r="A8882" s="455" t="s">
        <v>53</v>
      </c>
      <c r="B8882" s="456"/>
      <c r="C8882" s="456"/>
      <c r="D8882" s="117"/>
      <c r="E8882" s="118" t="s">
        <v>54</v>
      </c>
      <c r="F8882" s="37"/>
      <c r="G8882" s="37"/>
      <c r="H8882" s="38"/>
    </row>
    <row r="8883" spans="1:8" x14ac:dyDescent="0.3">
      <c r="A8883" s="100" t="s">
        <v>55</v>
      </c>
      <c r="B8883" s="101"/>
      <c r="C8883" s="101"/>
      <c r="D8883" s="102"/>
      <c r="E8883" s="25"/>
      <c r="F8883" s="25"/>
      <c r="G8883" s="28"/>
      <c r="H8883" s="32"/>
    </row>
    <row r="8884" spans="1:8" x14ac:dyDescent="0.3">
      <c r="A8884" s="461" t="s">
        <v>56</v>
      </c>
      <c r="B8884" s="462"/>
      <c r="C8884" s="462"/>
      <c r="D8884" s="463"/>
      <c r="E8884" s="25"/>
      <c r="F8884" s="25"/>
      <c r="G8884" s="28"/>
      <c r="H8884" s="32"/>
    </row>
    <row r="8885" spans="1:8" x14ac:dyDescent="0.3">
      <c r="A8885" s="461" t="s">
        <v>57</v>
      </c>
      <c r="B8885" s="462"/>
      <c r="C8885" s="462"/>
      <c r="D8885" s="463"/>
      <c r="E8885" s="25"/>
      <c r="F8885" s="25"/>
      <c r="G8885" s="28"/>
      <c r="H8885" s="32"/>
    </row>
    <row r="8886" spans="1:8" ht="15.6" x14ac:dyDescent="0.3">
      <c r="A8886" s="464" t="s">
        <v>58</v>
      </c>
      <c r="B8886" s="465"/>
      <c r="C8886" s="465"/>
      <c r="D8886" s="510"/>
      <c r="E8886" s="466" t="s">
        <v>59</v>
      </c>
      <c r="F8886" s="467"/>
      <c r="G8886" s="467"/>
      <c r="H8886" s="468"/>
    </row>
    <row r="8890" spans="1:8" ht="44.4" x14ac:dyDescent="0.7">
      <c r="A8890" s="469" t="s">
        <v>0</v>
      </c>
      <c r="B8890" s="470"/>
      <c r="C8890" s="470"/>
      <c r="D8890" s="470"/>
      <c r="E8890" s="531" t="s">
        <v>92</v>
      </c>
      <c r="F8890" s="531"/>
      <c r="G8890" s="531"/>
      <c r="H8890" s="532"/>
    </row>
    <row r="8891" spans="1:8" ht="20.399999999999999" x14ac:dyDescent="0.35">
      <c r="A8891" s="1"/>
      <c r="B8891" s="535" t="s">
        <v>2</v>
      </c>
      <c r="C8891" s="535"/>
      <c r="D8891" s="535"/>
      <c r="E8891" s="533"/>
      <c r="F8891" s="533"/>
      <c r="G8891" s="533"/>
      <c r="H8891" s="534"/>
    </row>
    <row r="8892" spans="1:8" x14ac:dyDescent="0.3">
      <c r="A8892" s="477" t="s">
        <v>3</v>
      </c>
      <c r="B8892" s="478"/>
      <c r="C8892" s="479" t="s">
        <v>4</v>
      </c>
      <c r="D8892" s="479"/>
      <c r="E8892" s="480" t="s">
        <v>5</v>
      </c>
      <c r="F8892" s="480"/>
      <c r="G8892" s="480"/>
      <c r="H8892" s="480"/>
    </row>
    <row r="8893" spans="1:8" ht="15.6" x14ac:dyDescent="0.3">
      <c r="A8893" s="4" t="s">
        <v>6</v>
      </c>
      <c r="B8893" s="5"/>
      <c r="C8893" s="536" t="s">
        <v>7</v>
      </c>
      <c r="D8893" s="516"/>
      <c r="E8893" s="489">
        <v>193</v>
      </c>
      <c r="F8893" s="491"/>
      <c r="G8893" s="44" t="s">
        <v>8</v>
      </c>
      <c r="H8893" s="109" t="s">
        <v>1533</v>
      </c>
    </row>
    <row r="8894" spans="1:8" ht="15.6" x14ac:dyDescent="0.3">
      <c r="A8894" s="108" t="s">
        <v>1535</v>
      </c>
      <c r="B8894" s="107"/>
      <c r="C8894" s="536" t="s">
        <v>10</v>
      </c>
      <c r="D8894" s="516"/>
      <c r="E8894" s="489"/>
      <c r="F8894" s="491"/>
      <c r="G8894" s="44" t="s">
        <v>8</v>
      </c>
      <c r="H8894" s="122"/>
    </row>
    <row r="8895" spans="1:8" ht="15" x14ac:dyDescent="0.3">
      <c r="A8895" s="108" t="s">
        <v>1536</v>
      </c>
      <c r="B8895" s="106"/>
      <c r="C8895" s="483" t="s">
        <v>12</v>
      </c>
      <c r="D8895" s="484"/>
      <c r="E8895" s="613"/>
      <c r="F8895" s="614"/>
      <c r="G8895" s="48" t="s">
        <v>8</v>
      </c>
      <c r="H8895" s="109"/>
    </row>
    <row r="8896" spans="1:8" ht="15.6" x14ac:dyDescent="0.3">
      <c r="A8896" s="108" t="s">
        <v>153</v>
      </c>
      <c r="B8896" s="106"/>
      <c r="C8896" s="536" t="s">
        <v>15</v>
      </c>
      <c r="D8896" s="516"/>
      <c r="E8896" s="110" t="s">
        <v>1534</v>
      </c>
      <c r="F8896" s="111"/>
      <c r="G8896" s="112"/>
      <c r="H8896" s="49"/>
    </row>
    <row r="8897" spans="1:8" ht="15.6" x14ac:dyDescent="0.3">
      <c r="A8897" s="539" t="s">
        <v>129</v>
      </c>
      <c r="B8897" s="540"/>
      <c r="C8897" s="24"/>
      <c r="D8897" s="25"/>
      <c r="E8897" s="50"/>
      <c r="F8897" s="50"/>
      <c r="G8897" s="51"/>
      <c r="H8897" s="52"/>
    </row>
    <row r="8898" spans="1:8" ht="15" x14ac:dyDescent="0.3">
      <c r="A8898" s="493" t="s">
        <v>17</v>
      </c>
      <c r="B8898" s="495" t="s">
        <v>18</v>
      </c>
      <c r="C8898" s="495" t="s">
        <v>19</v>
      </c>
      <c r="D8898" s="495" t="s">
        <v>20</v>
      </c>
      <c r="E8898" s="495" t="s">
        <v>21</v>
      </c>
      <c r="F8898" s="541" t="s">
        <v>22</v>
      </c>
      <c r="G8898" s="542"/>
      <c r="H8898" s="493" t="s">
        <v>23</v>
      </c>
    </row>
    <row r="8899" spans="1:8" ht="27.6" x14ac:dyDescent="0.3">
      <c r="A8899" s="527"/>
      <c r="B8899" s="505"/>
      <c r="C8899" s="505"/>
      <c r="D8899" s="505"/>
      <c r="E8899" s="505"/>
      <c r="F8899" s="53" t="s">
        <v>24</v>
      </c>
      <c r="G8899" s="53" t="s">
        <v>25</v>
      </c>
      <c r="H8899" s="527"/>
    </row>
    <row r="8900" spans="1:8" x14ac:dyDescent="0.3">
      <c r="A8900" s="56">
        <v>1</v>
      </c>
      <c r="B8900" s="113" t="s">
        <v>1537</v>
      </c>
      <c r="C8900" s="114">
        <v>1</v>
      </c>
      <c r="D8900" s="17">
        <v>998719</v>
      </c>
      <c r="E8900" s="56">
        <v>3321</v>
      </c>
      <c r="F8900" s="56">
        <f>E8900*C8900*9%</f>
        <v>298.89</v>
      </c>
      <c r="G8900" s="56">
        <f>F8900</f>
        <v>298.89</v>
      </c>
      <c r="H8900" s="55">
        <f>G8900+F8900+E8900*C8900</f>
        <v>3918.7799999999997</v>
      </c>
    </row>
    <row r="8901" spans="1:8" x14ac:dyDescent="0.3">
      <c r="A8901" s="56"/>
      <c r="B8901" s="113"/>
      <c r="C8901" s="114"/>
      <c r="D8901" s="56"/>
      <c r="E8901" s="56"/>
      <c r="F8901" s="56"/>
      <c r="G8901" s="56"/>
      <c r="H8901" s="55"/>
    </row>
    <row r="8902" spans="1:8" x14ac:dyDescent="0.3">
      <c r="A8902" s="55"/>
      <c r="B8902" s="113"/>
      <c r="C8902" s="55"/>
      <c r="D8902" s="47"/>
      <c r="E8902" s="47"/>
      <c r="F8902" s="56"/>
      <c r="G8902" s="56"/>
      <c r="H8902" s="47"/>
    </row>
    <row r="8903" spans="1:8" x14ac:dyDescent="0.3">
      <c r="A8903" s="55"/>
      <c r="B8903" s="94"/>
      <c r="C8903" s="55"/>
      <c r="D8903" s="47"/>
      <c r="E8903" s="47"/>
      <c r="F8903" s="115"/>
      <c r="G8903" s="115"/>
      <c r="H8903" s="47"/>
    </row>
    <row r="8904" spans="1:8" x14ac:dyDescent="0.3">
      <c r="A8904" s="27"/>
      <c r="B8904" s="28"/>
      <c r="C8904" s="24"/>
      <c r="D8904" s="25"/>
      <c r="E8904" s="25"/>
      <c r="F8904" s="25"/>
      <c r="G8904" s="28"/>
      <c r="H8904" s="32"/>
    </row>
    <row r="8905" spans="1:8" x14ac:dyDescent="0.3">
      <c r="A8905" s="27"/>
      <c r="B8905" s="28"/>
      <c r="C8905" s="24"/>
      <c r="D8905" s="25"/>
      <c r="E8905" s="25"/>
      <c r="F8905" s="25"/>
      <c r="G8905" s="28"/>
      <c r="H8905" s="32"/>
    </row>
    <row r="8906" spans="1:8" x14ac:dyDescent="0.3">
      <c r="A8906" s="27"/>
      <c r="B8906" s="28"/>
      <c r="C8906" s="24"/>
      <c r="D8906" s="25"/>
      <c r="E8906" s="25"/>
      <c r="F8906" s="25"/>
      <c r="G8906" s="28"/>
      <c r="H8906" s="32"/>
    </row>
    <row r="8907" spans="1:8" x14ac:dyDescent="0.3">
      <c r="A8907" s="27"/>
      <c r="B8907" s="28"/>
      <c r="C8907" s="24"/>
      <c r="D8907" s="25"/>
      <c r="E8907" s="25"/>
      <c r="F8907" s="25"/>
      <c r="G8907" s="28"/>
      <c r="H8907" s="32"/>
    </row>
    <row r="8908" spans="1:8" x14ac:dyDescent="0.3">
      <c r="A8908" s="27"/>
      <c r="B8908" s="28"/>
      <c r="C8908" s="24"/>
      <c r="D8908" s="25"/>
      <c r="E8908" s="25"/>
      <c r="F8908" s="25"/>
      <c r="G8908" s="28"/>
      <c r="H8908" s="32"/>
    </row>
    <row r="8909" spans="1:8" x14ac:dyDescent="0.3">
      <c r="A8909" s="27"/>
      <c r="B8909" s="28"/>
      <c r="C8909" s="24"/>
      <c r="D8909" s="25"/>
      <c r="E8909" s="25"/>
      <c r="F8909" s="25"/>
      <c r="G8909" s="28"/>
      <c r="H8909" s="32"/>
    </row>
    <row r="8910" spans="1:8" x14ac:dyDescent="0.3">
      <c r="A8910" s="27"/>
      <c r="B8910" s="28"/>
      <c r="C8910" s="24"/>
      <c r="D8910" s="25"/>
      <c r="E8910" s="25"/>
      <c r="F8910" s="25"/>
      <c r="G8910" s="28"/>
      <c r="H8910" s="32"/>
    </row>
    <row r="8911" spans="1:8" x14ac:dyDescent="0.3">
      <c r="A8911" s="27"/>
      <c r="B8911" s="28"/>
      <c r="C8911" s="24"/>
      <c r="D8911" s="25"/>
      <c r="E8911" s="25"/>
      <c r="F8911" s="25"/>
      <c r="G8911" s="28"/>
      <c r="H8911" s="32"/>
    </row>
    <row r="8912" spans="1:8" x14ac:dyDescent="0.3">
      <c r="A8912" s="27"/>
      <c r="B8912" s="28"/>
      <c r="C8912" s="24"/>
      <c r="D8912" s="25"/>
      <c r="E8912" s="25"/>
      <c r="F8912" s="25"/>
      <c r="G8912" s="28"/>
      <c r="H8912" s="32"/>
    </row>
    <row r="8913" spans="1:8" x14ac:dyDescent="0.3">
      <c r="A8913" s="27"/>
      <c r="B8913" s="28"/>
      <c r="C8913" s="24"/>
      <c r="D8913" s="25"/>
      <c r="E8913" s="25"/>
      <c r="F8913" s="25"/>
      <c r="G8913" s="28"/>
      <c r="H8913" s="32"/>
    </row>
    <row r="8914" spans="1:8" x14ac:dyDescent="0.3">
      <c r="A8914" s="27"/>
      <c r="B8914" s="28"/>
      <c r="C8914" s="24"/>
      <c r="D8914" s="25"/>
      <c r="E8914" s="25"/>
      <c r="F8914" s="25"/>
      <c r="G8914" s="28"/>
      <c r="H8914" s="32"/>
    </row>
    <row r="8915" spans="1:8" x14ac:dyDescent="0.3">
      <c r="A8915" s="27"/>
      <c r="B8915" s="28"/>
      <c r="C8915" s="24"/>
      <c r="D8915" s="25"/>
      <c r="E8915" s="25"/>
      <c r="F8915" s="25"/>
      <c r="G8915" s="28"/>
      <c r="H8915" s="32"/>
    </row>
    <row r="8916" spans="1:8" x14ac:dyDescent="0.3">
      <c r="A8916" s="27"/>
      <c r="B8916" s="28"/>
      <c r="C8916" s="24"/>
      <c r="D8916" s="25"/>
      <c r="E8916" s="25"/>
      <c r="F8916" s="25"/>
      <c r="G8916" s="28"/>
      <c r="H8916" s="32"/>
    </row>
    <row r="8917" spans="1:8" x14ac:dyDescent="0.3">
      <c r="A8917" s="27"/>
      <c r="B8917" s="28"/>
      <c r="C8917" s="24"/>
      <c r="D8917" s="25"/>
      <c r="E8917" s="25"/>
      <c r="F8917" s="25"/>
      <c r="G8917" s="28"/>
      <c r="H8917" s="32"/>
    </row>
    <row r="8918" spans="1:8" x14ac:dyDescent="0.3">
      <c r="A8918" s="27"/>
      <c r="B8918" s="28"/>
      <c r="C8918" s="24"/>
      <c r="D8918" s="25"/>
      <c r="E8918" s="25"/>
      <c r="F8918" s="25"/>
      <c r="G8918" s="28"/>
      <c r="H8918" s="32"/>
    </row>
    <row r="8919" spans="1:8" x14ac:dyDescent="0.3">
      <c r="A8919" s="27"/>
      <c r="B8919" s="28"/>
      <c r="C8919" s="24"/>
      <c r="D8919" s="25"/>
      <c r="E8919" s="25"/>
      <c r="F8919" s="25"/>
      <c r="G8919" s="28"/>
      <c r="H8919" s="32"/>
    </row>
    <row r="8920" spans="1:8" x14ac:dyDescent="0.3">
      <c r="A8920" s="27"/>
      <c r="B8920" s="28"/>
      <c r="C8920" s="24"/>
      <c r="D8920" s="25"/>
      <c r="E8920" s="25"/>
      <c r="F8920" s="25"/>
      <c r="G8920" s="28"/>
      <c r="H8920" s="32"/>
    </row>
    <row r="8921" spans="1:8" x14ac:dyDescent="0.3">
      <c r="A8921" s="27"/>
      <c r="B8921" s="28"/>
      <c r="C8921" s="24"/>
      <c r="D8921" s="25"/>
      <c r="E8921" s="25"/>
      <c r="F8921" s="25"/>
      <c r="G8921" s="28"/>
      <c r="H8921" s="32"/>
    </row>
    <row r="8922" spans="1:8" x14ac:dyDescent="0.3">
      <c r="A8922" s="27"/>
      <c r="B8922" s="28"/>
      <c r="C8922" s="24"/>
      <c r="D8922" s="25"/>
      <c r="E8922" s="25"/>
      <c r="F8922" s="25"/>
      <c r="G8922" s="28"/>
      <c r="H8922" s="32"/>
    </row>
    <row r="8923" spans="1:8" ht="15.6" x14ac:dyDescent="0.3">
      <c r="A8923" s="497" t="s">
        <v>97</v>
      </c>
      <c r="B8923" s="498"/>
      <c r="C8923" s="24"/>
      <c r="D8923" s="25"/>
      <c r="E8923" s="25"/>
      <c r="F8923" s="116" t="s">
        <v>46</v>
      </c>
      <c r="G8923" s="26"/>
      <c r="H8923" s="66">
        <v>3321</v>
      </c>
    </row>
    <row r="8924" spans="1:8" ht="15.6" x14ac:dyDescent="0.3">
      <c r="A8924" s="497" t="s">
        <v>1538</v>
      </c>
      <c r="B8924" s="498"/>
      <c r="C8924" s="498"/>
      <c r="D8924" s="498"/>
      <c r="E8924" s="67"/>
      <c r="F8924" s="116" t="s">
        <v>47</v>
      </c>
      <c r="G8924" s="26"/>
      <c r="H8924" s="66">
        <f>H8925</f>
        <v>298.89</v>
      </c>
    </row>
    <row r="8925" spans="1:8" ht="15.6" x14ac:dyDescent="0.3">
      <c r="A8925" s="27"/>
      <c r="B8925" s="28"/>
      <c r="C8925" s="24"/>
      <c r="D8925" s="25"/>
      <c r="E8925" s="25"/>
      <c r="F8925" s="116" t="s">
        <v>48</v>
      </c>
      <c r="G8925" s="26"/>
      <c r="H8925" s="66">
        <f>H8923*9%</f>
        <v>298.89</v>
      </c>
    </row>
    <row r="8926" spans="1:8" ht="15.6" x14ac:dyDescent="0.3">
      <c r="A8926" s="497" t="s">
        <v>49</v>
      </c>
      <c r="B8926" s="498"/>
      <c r="C8926" s="498"/>
      <c r="D8926" s="25"/>
      <c r="E8926" s="25"/>
      <c r="F8926" s="116" t="s">
        <v>50</v>
      </c>
      <c r="G8926" s="26"/>
      <c r="H8926" s="66">
        <v>3919</v>
      </c>
    </row>
    <row r="8927" spans="1:8" ht="27" x14ac:dyDescent="0.3">
      <c r="A8927" s="68" t="s">
        <v>22</v>
      </c>
      <c r="B8927" s="69" t="s">
        <v>51</v>
      </c>
      <c r="C8927" s="70" t="s">
        <v>24</v>
      </c>
      <c r="D8927" s="31" t="s">
        <v>25</v>
      </c>
      <c r="E8927" s="528" t="s">
        <v>52</v>
      </c>
      <c r="F8927" s="528"/>
      <c r="G8927" s="28"/>
      <c r="H8927" s="32"/>
    </row>
    <row r="8928" spans="1:8" x14ac:dyDescent="0.3">
      <c r="A8928" s="72">
        <v>0.18</v>
      </c>
      <c r="B8928" s="73">
        <f>H8923</f>
        <v>3321</v>
      </c>
      <c r="C8928" s="74">
        <f>H8924</f>
        <v>298.89</v>
      </c>
      <c r="D8928" s="74">
        <f>H8925</f>
        <v>298.89</v>
      </c>
      <c r="E8928" s="507">
        <f>C8928+D8928</f>
        <v>597.78</v>
      </c>
      <c r="F8928" s="507"/>
      <c r="G8928" s="74"/>
      <c r="H8928" s="75"/>
    </row>
    <row r="8929" spans="1:8" x14ac:dyDescent="0.3">
      <c r="A8929" s="452" t="s">
        <v>1539</v>
      </c>
      <c r="B8929" s="453"/>
      <c r="C8929" s="453"/>
      <c r="D8929" s="453"/>
      <c r="E8929" s="453"/>
      <c r="F8929" s="78"/>
      <c r="G8929" s="36"/>
      <c r="H8929" s="79"/>
    </row>
    <row r="8930" spans="1:8" ht="15.6" x14ac:dyDescent="0.3">
      <c r="A8930" s="455" t="s">
        <v>53</v>
      </c>
      <c r="B8930" s="456"/>
      <c r="C8930" s="456"/>
      <c r="D8930" s="117"/>
      <c r="E8930" s="118" t="s">
        <v>54</v>
      </c>
      <c r="F8930" s="37"/>
      <c r="G8930" s="37"/>
      <c r="H8930" s="38"/>
    </row>
    <row r="8931" spans="1:8" x14ac:dyDescent="0.3">
      <c r="A8931" s="100" t="s">
        <v>55</v>
      </c>
      <c r="B8931" s="101"/>
      <c r="C8931" s="101"/>
      <c r="D8931" s="102"/>
      <c r="E8931" s="25"/>
      <c r="F8931" s="25"/>
      <c r="G8931" s="28"/>
      <c r="H8931" s="32"/>
    </row>
    <row r="8932" spans="1:8" x14ac:dyDescent="0.3">
      <c r="A8932" s="461" t="s">
        <v>56</v>
      </c>
      <c r="B8932" s="462"/>
      <c r="C8932" s="462"/>
      <c r="D8932" s="463"/>
      <c r="E8932" s="25"/>
      <c r="F8932" s="25"/>
      <c r="G8932" s="28"/>
      <c r="H8932" s="32"/>
    </row>
    <row r="8933" spans="1:8" x14ac:dyDescent="0.3">
      <c r="A8933" s="461" t="s">
        <v>57</v>
      </c>
      <c r="B8933" s="462"/>
      <c r="C8933" s="462"/>
      <c r="D8933" s="463"/>
      <c r="E8933" s="25"/>
      <c r="F8933" s="25"/>
      <c r="G8933" s="28"/>
      <c r="H8933" s="32"/>
    </row>
    <row r="8934" spans="1:8" ht="15.6" x14ac:dyDescent="0.3">
      <c r="A8934" s="464" t="s">
        <v>58</v>
      </c>
      <c r="B8934" s="465"/>
      <c r="C8934" s="465"/>
      <c r="D8934" s="510"/>
      <c r="E8934" s="466" t="s">
        <v>59</v>
      </c>
      <c r="F8934" s="467"/>
      <c r="G8934" s="467"/>
      <c r="H8934" s="468"/>
    </row>
    <row r="8936" spans="1:8" ht="44.4" x14ac:dyDescent="0.7">
      <c r="A8936" s="469" t="s">
        <v>0</v>
      </c>
      <c r="B8936" s="470"/>
      <c r="C8936" s="470"/>
      <c r="D8936" s="470"/>
      <c r="E8936" s="531" t="s">
        <v>1</v>
      </c>
      <c r="F8936" s="544"/>
      <c r="G8936" s="544"/>
      <c r="H8936" s="545"/>
    </row>
    <row r="8937" spans="1:8" ht="20.399999999999999" x14ac:dyDescent="0.35">
      <c r="A8937" s="156"/>
      <c r="B8937" s="476" t="s">
        <v>2</v>
      </c>
      <c r="C8937" s="476"/>
      <c r="D8937" s="476"/>
      <c r="E8937" s="546"/>
      <c r="F8937" s="546"/>
      <c r="G8937" s="546"/>
      <c r="H8937" s="547"/>
    </row>
    <row r="8938" spans="1:8" x14ac:dyDescent="0.3">
      <c r="A8938" s="477" t="s">
        <v>3</v>
      </c>
      <c r="B8938" s="478"/>
      <c r="C8938" s="479" t="s">
        <v>4</v>
      </c>
      <c r="D8938" s="479"/>
      <c r="E8938" s="480" t="s">
        <v>5</v>
      </c>
      <c r="F8938" s="480"/>
      <c r="G8938" s="480"/>
      <c r="H8938" s="480"/>
    </row>
    <row r="8939" spans="1:8" ht="15.6" x14ac:dyDescent="0.3">
      <c r="A8939" s="158" t="s">
        <v>6</v>
      </c>
      <c r="B8939" s="5"/>
      <c r="C8939" s="481" t="s">
        <v>7</v>
      </c>
      <c r="D8939" s="481"/>
      <c r="E8939" s="482">
        <v>194</v>
      </c>
      <c r="F8939" s="482"/>
      <c r="G8939" s="7" t="s">
        <v>8</v>
      </c>
      <c r="H8939" s="8" t="s">
        <v>1541</v>
      </c>
    </row>
    <row r="8940" spans="1:8" ht="15.6" x14ac:dyDescent="0.3">
      <c r="A8940" s="551" t="s">
        <v>1006</v>
      </c>
      <c r="B8940" s="552"/>
      <c r="C8940" s="481" t="s">
        <v>10</v>
      </c>
      <c r="D8940" s="481"/>
      <c r="E8940" s="482"/>
      <c r="F8940" s="482"/>
      <c r="G8940" s="7" t="s">
        <v>8</v>
      </c>
      <c r="H8940" s="9"/>
    </row>
    <row r="8941" spans="1:8" ht="15.6" x14ac:dyDescent="0.3">
      <c r="A8941" s="517" t="s">
        <v>1007</v>
      </c>
      <c r="B8941" s="553"/>
      <c r="C8941" s="483" t="s">
        <v>12</v>
      </c>
      <c r="D8941" s="484"/>
      <c r="E8941" s="482"/>
      <c r="F8941" s="482"/>
      <c r="G8941" s="10" t="s">
        <v>8</v>
      </c>
      <c r="H8941" s="82"/>
    </row>
    <row r="8942" spans="1:8" ht="15.6" x14ac:dyDescent="0.3">
      <c r="A8942" s="556" t="s">
        <v>1008</v>
      </c>
      <c r="B8942" s="557"/>
      <c r="C8942" s="481" t="s">
        <v>15</v>
      </c>
      <c r="D8942" s="481"/>
      <c r="E8942" s="502" t="s">
        <v>1009</v>
      </c>
      <c r="F8942" s="503"/>
      <c r="G8942" s="503"/>
      <c r="H8942" s="504"/>
    </row>
    <row r="8943" spans="1:8" ht="15.6" x14ac:dyDescent="0.3">
      <c r="A8943" s="558" t="s">
        <v>1010</v>
      </c>
      <c r="B8943" s="559"/>
      <c r="C8943" s="489"/>
      <c r="D8943" s="490"/>
      <c r="E8943" s="490"/>
      <c r="F8943" s="490"/>
      <c r="G8943" s="490"/>
      <c r="H8943" s="491"/>
    </row>
    <row r="8944" spans="1:8" ht="15" x14ac:dyDescent="0.3">
      <c r="A8944" s="492" t="s">
        <v>17</v>
      </c>
      <c r="B8944" s="494" t="s">
        <v>18</v>
      </c>
      <c r="C8944" s="494" t="s">
        <v>19</v>
      </c>
      <c r="D8944" s="494" t="s">
        <v>20</v>
      </c>
      <c r="E8944" s="494" t="s">
        <v>21</v>
      </c>
      <c r="F8944" s="494" t="s">
        <v>22</v>
      </c>
      <c r="G8944" s="494"/>
      <c r="H8944" s="493" t="s">
        <v>23</v>
      </c>
    </row>
    <row r="8945" spans="1:9" ht="27.6" x14ac:dyDescent="0.3">
      <c r="A8945" s="492"/>
      <c r="B8945" s="494"/>
      <c r="C8945" s="494"/>
      <c r="D8945" s="494"/>
      <c r="E8945" s="494"/>
      <c r="F8945" s="53" t="s">
        <v>24</v>
      </c>
      <c r="G8945" s="53" t="s">
        <v>25</v>
      </c>
      <c r="H8945" s="527"/>
    </row>
    <row r="8946" spans="1:9" x14ac:dyDescent="0.3">
      <c r="A8946" s="57">
        <v>1</v>
      </c>
      <c r="B8946" s="60" t="s">
        <v>1545</v>
      </c>
      <c r="C8946" s="57">
        <v>6</v>
      </c>
      <c r="D8946" s="83">
        <v>998719</v>
      </c>
      <c r="E8946" s="57">
        <v>2000</v>
      </c>
      <c r="F8946" s="58">
        <f t="shared" ref="F8946:F8957" si="217">E8946*C8946*9%</f>
        <v>1080</v>
      </c>
      <c r="G8946" s="58">
        <f t="shared" ref="G8946:G8957" si="218">F8946</f>
        <v>1080</v>
      </c>
      <c r="H8946" s="59">
        <f t="shared" ref="H8946:H8957" si="219">G8946+F8946+E8946*C8946</f>
        <v>14160</v>
      </c>
      <c r="I8946" s="362">
        <f>E8946*C8946</f>
        <v>12000</v>
      </c>
    </row>
    <row r="8947" spans="1:9" x14ac:dyDescent="0.3">
      <c r="A8947" s="57">
        <v>2</v>
      </c>
      <c r="B8947" s="60" t="s">
        <v>1542</v>
      </c>
      <c r="C8947" s="57">
        <v>1</v>
      </c>
      <c r="D8947" s="83">
        <v>998719</v>
      </c>
      <c r="E8947" s="57">
        <v>5000</v>
      </c>
      <c r="F8947" s="58">
        <f t="shared" si="217"/>
        <v>450</v>
      </c>
      <c r="G8947" s="58">
        <f t="shared" si="218"/>
        <v>450</v>
      </c>
      <c r="H8947" s="59">
        <f t="shared" si="219"/>
        <v>5900</v>
      </c>
      <c r="I8947" s="362">
        <f t="shared" ref="I8947:I8957" si="220">E8947*C8947</f>
        <v>5000</v>
      </c>
    </row>
    <row r="8948" spans="1:9" x14ac:dyDescent="0.3">
      <c r="A8948" s="57">
        <v>3</v>
      </c>
      <c r="B8948" s="60" t="s">
        <v>1546</v>
      </c>
      <c r="C8948" s="57">
        <v>14</v>
      </c>
      <c r="D8948" s="83">
        <v>998719</v>
      </c>
      <c r="E8948" s="57">
        <v>2000</v>
      </c>
      <c r="F8948" s="58">
        <f t="shared" si="217"/>
        <v>2520</v>
      </c>
      <c r="G8948" s="58">
        <f t="shared" si="218"/>
        <v>2520</v>
      </c>
      <c r="H8948" s="59">
        <f t="shared" si="219"/>
        <v>33040</v>
      </c>
      <c r="I8948" s="362">
        <f t="shared" si="220"/>
        <v>28000</v>
      </c>
    </row>
    <row r="8949" spans="1:9" x14ac:dyDescent="0.3">
      <c r="A8949" s="57">
        <v>4</v>
      </c>
      <c r="B8949" s="60" t="s">
        <v>1544</v>
      </c>
      <c r="C8949" s="57">
        <v>1</v>
      </c>
      <c r="D8949" s="83">
        <v>998719</v>
      </c>
      <c r="E8949" s="57">
        <v>5000</v>
      </c>
      <c r="F8949" s="58">
        <f t="shared" si="217"/>
        <v>450</v>
      </c>
      <c r="G8949" s="58">
        <f t="shared" si="218"/>
        <v>450</v>
      </c>
      <c r="H8949" s="59">
        <f t="shared" si="219"/>
        <v>5900</v>
      </c>
      <c r="I8949" s="362">
        <f t="shared" si="220"/>
        <v>5000</v>
      </c>
    </row>
    <row r="8950" spans="1:9" x14ac:dyDescent="0.3">
      <c r="A8950" s="57">
        <v>5</v>
      </c>
      <c r="B8950" s="60" t="s">
        <v>1543</v>
      </c>
      <c r="C8950" s="55">
        <v>1</v>
      </c>
      <c r="D8950" s="83">
        <v>998719</v>
      </c>
      <c r="E8950" s="55">
        <v>4500</v>
      </c>
      <c r="F8950" s="58">
        <f t="shared" si="217"/>
        <v>405</v>
      </c>
      <c r="G8950" s="58">
        <f t="shared" si="218"/>
        <v>405</v>
      </c>
      <c r="H8950" s="59">
        <f t="shared" si="219"/>
        <v>5310</v>
      </c>
      <c r="I8950" s="362">
        <f t="shared" si="220"/>
        <v>4500</v>
      </c>
    </row>
    <row r="8951" spans="1:9" x14ac:dyDescent="0.3">
      <c r="A8951" s="57">
        <v>6</v>
      </c>
      <c r="B8951" s="84" t="s">
        <v>1547</v>
      </c>
      <c r="C8951" s="55">
        <v>3</v>
      </c>
      <c r="D8951" s="83">
        <v>998719</v>
      </c>
      <c r="E8951" s="55">
        <v>2000</v>
      </c>
      <c r="F8951" s="93">
        <f t="shared" si="217"/>
        <v>540</v>
      </c>
      <c r="G8951" s="93">
        <f t="shared" si="218"/>
        <v>540</v>
      </c>
      <c r="H8951" s="62">
        <f t="shared" si="219"/>
        <v>7080</v>
      </c>
      <c r="I8951" s="362">
        <f t="shared" si="220"/>
        <v>6000</v>
      </c>
    </row>
    <row r="8952" spans="1:9" x14ac:dyDescent="0.3">
      <c r="A8952" s="57">
        <v>7</v>
      </c>
      <c r="B8952" s="84" t="s">
        <v>1548</v>
      </c>
      <c r="C8952" s="55">
        <v>5</v>
      </c>
      <c r="D8952" s="83">
        <v>998719</v>
      </c>
      <c r="E8952" s="55">
        <v>3000</v>
      </c>
      <c r="F8952" s="93">
        <f t="shared" si="217"/>
        <v>1350</v>
      </c>
      <c r="G8952" s="93">
        <f t="shared" si="218"/>
        <v>1350</v>
      </c>
      <c r="H8952" s="62">
        <f t="shared" si="219"/>
        <v>17700</v>
      </c>
      <c r="I8952" s="362">
        <f t="shared" si="220"/>
        <v>15000</v>
      </c>
    </row>
    <row r="8953" spans="1:9" x14ac:dyDescent="0.3">
      <c r="A8953" s="57">
        <v>8</v>
      </c>
      <c r="B8953" s="60" t="s">
        <v>1549</v>
      </c>
      <c r="C8953" s="55">
        <v>5</v>
      </c>
      <c r="D8953" s="83">
        <v>998719</v>
      </c>
      <c r="E8953" s="55">
        <v>2000</v>
      </c>
      <c r="F8953" s="93">
        <f t="shared" ref="F8953" si="221">E8953*C8953*9%</f>
        <v>900</v>
      </c>
      <c r="G8953" s="93">
        <f t="shared" ref="G8953" si="222">F8953</f>
        <v>900</v>
      </c>
      <c r="H8953" s="62">
        <f t="shared" ref="H8953" si="223">G8953+F8953+E8953*C8953</f>
        <v>11800</v>
      </c>
      <c r="I8953" s="362">
        <f t="shared" si="220"/>
        <v>10000</v>
      </c>
    </row>
    <row r="8954" spans="1:9" ht="16.5" customHeight="1" x14ac:dyDescent="0.3">
      <c r="A8954" s="57">
        <v>9</v>
      </c>
      <c r="B8954" s="84" t="s">
        <v>1552</v>
      </c>
      <c r="C8954" s="55">
        <v>1</v>
      </c>
      <c r="D8954" s="83">
        <v>998719</v>
      </c>
      <c r="E8954" s="55">
        <v>8000</v>
      </c>
      <c r="F8954" s="93">
        <f t="shared" si="217"/>
        <v>720</v>
      </c>
      <c r="G8954" s="93">
        <f t="shared" si="218"/>
        <v>720</v>
      </c>
      <c r="H8954" s="62">
        <f t="shared" si="219"/>
        <v>9440</v>
      </c>
      <c r="I8954" s="362">
        <f t="shared" si="220"/>
        <v>8000</v>
      </c>
    </row>
    <row r="8955" spans="1:9" x14ac:dyDescent="0.3">
      <c r="A8955" s="57">
        <v>10</v>
      </c>
      <c r="B8955" s="94" t="s">
        <v>1540</v>
      </c>
      <c r="C8955" s="55">
        <v>1</v>
      </c>
      <c r="D8955" s="83">
        <v>998719</v>
      </c>
      <c r="E8955" s="47">
        <v>5000</v>
      </c>
      <c r="F8955" s="47">
        <f t="shared" si="217"/>
        <v>450</v>
      </c>
      <c r="G8955" s="47">
        <f t="shared" si="218"/>
        <v>450</v>
      </c>
      <c r="H8955" s="47">
        <f t="shared" si="219"/>
        <v>5900</v>
      </c>
      <c r="I8955" s="362">
        <f t="shared" si="220"/>
        <v>5000</v>
      </c>
    </row>
    <row r="8956" spans="1:9" x14ac:dyDescent="0.3">
      <c r="A8956" s="57">
        <v>11</v>
      </c>
      <c r="B8956" s="94" t="s">
        <v>1550</v>
      </c>
      <c r="C8956" s="55">
        <v>1</v>
      </c>
      <c r="D8956" s="83">
        <v>998719</v>
      </c>
      <c r="E8956" s="47">
        <v>1500</v>
      </c>
      <c r="F8956" s="47">
        <f t="shared" si="217"/>
        <v>135</v>
      </c>
      <c r="G8956" s="47">
        <f t="shared" si="218"/>
        <v>135</v>
      </c>
      <c r="H8956" s="47">
        <f t="shared" si="219"/>
        <v>1770</v>
      </c>
      <c r="I8956" s="362">
        <f t="shared" si="220"/>
        <v>1500</v>
      </c>
    </row>
    <row r="8957" spans="1:9" x14ac:dyDescent="0.3">
      <c r="A8957" s="57">
        <v>12</v>
      </c>
      <c r="B8957" s="94" t="s">
        <v>1551</v>
      </c>
      <c r="C8957" s="55">
        <v>1</v>
      </c>
      <c r="D8957" s="86">
        <v>998719</v>
      </c>
      <c r="E8957" s="47">
        <v>500</v>
      </c>
      <c r="F8957" s="47">
        <f t="shared" si="217"/>
        <v>45</v>
      </c>
      <c r="G8957" s="47">
        <f t="shared" si="218"/>
        <v>45</v>
      </c>
      <c r="H8957" s="47">
        <f t="shared" si="219"/>
        <v>590</v>
      </c>
      <c r="I8957" s="362">
        <f t="shared" si="220"/>
        <v>500</v>
      </c>
    </row>
    <row r="8958" spans="1:9" x14ac:dyDescent="0.3">
      <c r="A8958" s="27"/>
      <c r="B8958" s="28"/>
      <c r="C8958" s="24"/>
      <c r="D8958" s="89"/>
      <c r="E8958" s="25"/>
      <c r="F8958" s="25"/>
      <c r="G8958" s="25"/>
      <c r="H8958" s="32"/>
    </row>
    <row r="8959" spans="1:9" x14ac:dyDescent="0.3">
      <c r="A8959" s="27"/>
      <c r="B8959" s="28"/>
      <c r="C8959" s="24"/>
      <c r="D8959" s="89"/>
      <c r="E8959" s="25"/>
      <c r="F8959" s="25"/>
      <c r="G8959" s="25"/>
      <c r="H8959" s="32"/>
    </row>
    <row r="8960" spans="1:9" x14ac:dyDescent="0.3">
      <c r="A8960" s="27"/>
      <c r="B8960" s="28"/>
      <c r="C8960" s="24"/>
      <c r="D8960" s="89"/>
      <c r="E8960" s="25"/>
      <c r="F8960" s="25"/>
      <c r="G8960" s="25"/>
      <c r="H8960" s="32"/>
    </row>
    <row r="8961" spans="1:8" x14ac:dyDescent="0.3">
      <c r="A8961" s="27"/>
      <c r="B8961" s="28"/>
      <c r="C8961" s="24"/>
      <c r="D8961" s="89"/>
      <c r="E8961" s="25"/>
      <c r="F8961" s="25"/>
      <c r="G8961" s="25"/>
      <c r="H8961" s="32"/>
    </row>
    <row r="8962" spans="1:8" x14ac:dyDescent="0.3">
      <c r="A8962" s="27"/>
      <c r="B8962" s="28"/>
      <c r="C8962" s="24"/>
      <c r="D8962" s="89"/>
      <c r="E8962" s="25"/>
      <c r="F8962" s="25"/>
      <c r="G8962" s="25"/>
      <c r="H8962" s="32"/>
    </row>
    <row r="8963" spans="1:8" x14ac:dyDescent="0.3">
      <c r="A8963" s="27"/>
      <c r="B8963" s="28"/>
      <c r="C8963" s="24"/>
      <c r="D8963" s="89"/>
      <c r="E8963" s="25"/>
      <c r="F8963" s="25"/>
      <c r="G8963" s="25"/>
      <c r="H8963" s="32"/>
    </row>
    <row r="8964" spans="1:8" x14ac:dyDescent="0.3">
      <c r="A8964" s="159"/>
      <c r="B8964" s="28"/>
      <c r="C8964" s="24"/>
      <c r="D8964" s="25"/>
      <c r="E8964" s="25"/>
      <c r="F8964" s="28"/>
      <c r="G8964" s="28"/>
      <c r="H8964" s="32"/>
    </row>
    <row r="8965" spans="1:8" x14ac:dyDescent="0.3">
      <c r="A8965" s="159"/>
      <c r="B8965" s="28"/>
      <c r="C8965" s="24"/>
      <c r="D8965" s="25"/>
      <c r="E8965" s="25"/>
      <c r="F8965" s="28"/>
      <c r="G8965" s="28"/>
      <c r="H8965" s="32"/>
    </row>
    <row r="8966" spans="1:8" x14ac:dyDescent="0.3">
      <c r="A8966" s="159"/>
      <c r="B8966" s="28"/>
      <c r="C8966" s="24"/>
      <c r="D8966" s="25"/>
      <c r="E8966" s="25"/>
      <c r="F8966" s="28"/>
      <c r="G8966" s="28"/>
      <c r="H8966" s="32"/>
    </row>
    <row r="8967" spans="1:8" ht="15.6" x14ac:dyDescent="0.3">
      <c r="A8967" s="64" t="s">
        <v>45</v>
      </c>
      <c r="B8967" s="28"/>
      <c r="C8967" s="24"/>
      <c r="D8967" s="25"/>
      <c r="E8967" s="25"/>
      <c r="F8967" s="447" t="s">
        <v>46</v>
      </c>
      <c r="G8967" s="447"/>
      <c r="H8967" s="66">
        <v>100500</v>
      </c>
    </row>
    <row r="8968" spans="1:8" ht="15.6" x14ac:dyDescent="0.3">
      <c r="A8968" s="497" t="s">
        <v>1553</v>
      </c>
      <c r="B8968" s="498"/>
      <c r="C8968" s="498"/>
      <c r="D8968" s="498"/>
      <c r="E8968" s="498"/>
      <c r="F8968" s="447" t="s">
        <v>47</v>
      </c>
      <c r="G8968" s="447"/>
      <c r="H8968" s="66">
        <f>H8967*9%</f>
        <v>9045</v>
      </c>
    </row>
    <row r="8969" spans="1:8" ht="15.6" x14ac:dyDescent="0.3">
      <c r="A8969" s="159"/>
      <c r="B8969" s="28"/>
      <c r="C8969" s="24"/>
      <c r="D8969" s="25"/>
      <c r="E8969" s="25"/>
      <c r="F8969" s="447" t="s">
        <v>48</v>
      </c>
      <c r="G8969" s="447"/>
      <c r="H8969" s="66">
        <f>H8967*9%</f>
        <v>9045</v>
      </c>
    </row>
    <row r="8970" spans="1:8" ht="15.6" x14ac:dyDescent="0.3">
      <c r="A8970" s="64" t="s">
        <v>49</v>
      </c>
      <c r="B8970" s="28"/>
      <c r="C8970" s="24"/>
      <c r="D8970" s="25"/>
      <c r="E8970" s="25"/>
      <c r="F8970" s="447" t="s">
        <v>50</v>
      </c>
      <c r="G8970" s="447"/>
      <c r="H8970" s="66">
        <f>H8967+H8968+H8969</f>
        <v>118590</v>
      </c>
    </row>
    <row r="8971" spans="1:8" ht="26.4" x14ac:dyDescent="0.3">
      <c r="A8971" s="160" t="s">
        <v>22</v>
      </c>
      <c r="B8971" s="71" t="s">
        <v>51</v>
      </c>
      <c r="C8971" s="161" t="s">
        <v>24</v>
      </c>
      <c r="D8971" s="161" t="s">
        <v>25</v>
      </c>
      <c r="E8971" s="528" t="s">
        <v>52</v>
      </c>
      <c r="F8971" s="528"/>
      <c r="G8971" s="162"/>
      <c r="H8971" s="154"/>
    </row>
    <row r="8972" spans="1:8" x14ac:dyDescent="0.3">
      <c r="A8972" s="72">
        <v>0.18</v>
      </c>
      <c r="B8972" s="73">
        <f>H8967</f>
        <v>100500</v>
      </c>
      <c r="C8972" s="74">
        <f>H8968</f>
        <v>9045</v>
      </c>
      <c r="D8972" s="74">
        <f>H8968</f>
        <v>9045</v>
      </c>
      <c r="E8972" s="507">
        <f>C8972+D8972</f>
        <v>18090</v>
      </c>
      <c r="F8972" s="507"/>
      <c r="G8972" s="74"/>
      <c r="H8972" s="75"/>
    </row>
    <row r="8973" spans="1:8" x14ac:dyDescent="0.3">
      <c r="A8973" s="508" t="s">
        <v>1554</v>
      </c>
      <c r="B8973" s="509"/>
      <c r="C8973" s="509"/>
      <c r="D8973" s="509"/>
      <c r="E8973" s="453"/>
      <c r="F8973" s="453"/>
      <c r="G8973" s="453"/>
      <c r="H8973" s="454"/>
    </row>
    <row r="8974" spans="1:8" ht="15.6" x14ac:dyDescent="0.3">
      <c r="A8974" s="455" t="s">
        <v>53</v>
      </c>
      <c r="B8974" s="456"/>
      <c r="C8974" s="456"/>
      <c r="D8974" s="457"/>
      <c r="E8974" s="458" t="s">
        <v>54</v>
      </c>
      <c r="F8974" s="459"/>
      <c r="G8974" s="459"/>
      <c r="H8974" s="460"/>
    </row>
    <row r="8975" spans="1:8" x14ac:dyDescent="0.3">
      <c r="A8975" s="461" t="s">
        <v>55</v>
      </c>
      <c r="B8975" s="462"/>
      <c r="C8975" s="462"/>
      <c r="D8975" s="463"/>
      <c r="E8975" s="39"/>
      <c r="F8975" s="25"/>
      <c r="G8975" s="28"/>
      <c r="H8975" s="32"/>
    </row>
    <row r="8976" spans="1:8" x14ac:dyDescent="0.3">
      <c r="A8976" s="461" t="s">
        <v>56</v>
      </c>
      <c r="B8976" s="462"/>
      <c r="C8976" s="462"/>
      <c r="D8976" s="463"/>
      <c r="E8976" s="39"/>
      <c r="F8976" s="25"/>
      <c r="G8976" s="28"/>
      <c r="H8976" s="32"/>
    </row>
    <row r="8977" spans="1:9" x14ac:dyDescent="0.3">
      <c r="A8977" s="461" t="s">
        <v>57</v>
      </c>
      <c r="B8977" s="462"/>
      <c r="C8977" s="462"/>
      <c r="D8977" s="463"/>
      <c r="E8977" s="25"/>
      <c r="F8977" s="25"/>
      <c r="G8977" s="28"/>
      <c r="H8977" s="32"/>
    </row>
    <row r="8978" spans="1:9" ht="15.6" x14ac:dyDescent="0.3">
      <c r="A8978" s="464" t="s">
        <v>58</v>
      </c>
      <c r="B8978" s="465"/>
      <c r="C8978" s="465"/>
      <c r="D8978" s="510"/>
      <c r="E8978" s="466" t="s">
        <v>59</v>
      </c>
      <c r="F8978" s="467"/>
      <c r="G8978" s="467"/>
      <c r="H8978" s="468"/>
    </row>
    <row r="8981" spans="1:9" ht="44.4" x14ac:dyDescent="0.7">
      <c r="A8981" s="469" t="s">
        <v>0</v>
      </c>
      <c r="B8981" s="470"/>
      <c r="C8981" s="470"/>
      <c r="D8981" s="470"/>
      <c r="E8981" s="471" t="s">
        <v>1</v>
      </c>
      <c r="F8981" s="472"/>
      <c r="G8981" s="472"/>
      <c r="H8981" s="473"/>
    </row>
    <row r="8982" spans="1:9" ht="20.399999999999999" x14ac:dyDescent="0.35">
      <c r="A8982" s="1"/>
      <c r="B8982" s="476" t="s">
        <v>2</v>
      </c>
      <c r="C8982" s="476"/>
      <c r="D8982" s="476"/>
      <c r="E8982" s="474"/>
      <c r="F8982" s="474"/>
      <c r="G8982" s="474"/>
      <c r="H8982" s="475"/>
    </row>
    <row r="8983" spans="1:9" x14ac:dyDescent="0.3">
      <c r="A8983" s="477" t="s">
        <v>3</v>
      </c>
      <c r="B8983" s="478"/>
      <c r="C8983" s="479" t="s">
        <v>4</v>
      </c>
      <c r="D8983" s="479"/>
      <c r="E8983" s="480" t="s">
        <v>5</v>
      </c>
      <c r="F8983" s="480"/>
      <c r="G8983" s="480"/>
      <c r="H8983" s="480"/>
    </row>
    <row r="8984" spans="1:9" ht="15.6" x14ac:dyDescent="0.3">
      <c r="A8984" s="4" t="s">
        <v>6</v>
      </c>
      <c r="B8984" s="5"/>
      <c r="C8984" s="481" t="s">
        <v>7</v>
      </c>
      <c r="D8984" s="481"/>
      <c r="E8984" s="482">
        <v>195</v>
      </c>
      <c r="F8984" s="482"/>
      <c r="G8984" s="7" t="s">
        <v>8</v>
      </c>
      <c r="H8984" s="250" t="s">
        <v>1555</v>
      </c>
    </row>
    <row r="8985" spans="1:9" ht="15.6" x14ac:dyDescent="0.3">
      <c r="A8985" s="551" t="s">
        <v>458</v>
      </c>
      <c r="B8985" s="552"/>
      <c r="C8985" s="481" t="s">
        <v>10</v>
      </c>
      <c r="D8985" s="481"/>
      <c r="E8985" s="482">
        <v>5</v>
      </c>
      <c r="F8985" s="482"/>
      <c r="G8985" s="7" t="s">
        <v>8</v>
      </c>
      <c r="H8985" s="252" t="s">
        <v>1566</v>
      </c>
    </row>
    <row r="8986" spans="1:9" ht="25.5" customHeight="1" x14ac:dyDescent="0.3">
      <c r="A8986" s="560" t="s">
        <v>459</v>
      </c>
      <c r="B8986" s="561"/>
      <c r="C8986" s="483" t="s">
        <v>12</v>
      </c>
      <c r="D8986" s="484"/>
      <c r="E8986" s="652" t="s">
        <v>466</v>
      </c>
      <c r="F8986" s="653"/>
      <c r="G8986" s="10" t="s">
        <v>8</v>
      </c>
      <c r="H8986" s="252" t="s">
        <v>465</v>
      </c>
    </row>
    <row r="8987" spans="1:9" ht="15.6" x14ac:dyDescent="0.3">
      <c r="A8987" s="253" t="s">
        <v>460</v>
      </c>
      <c r="B8987" s="254"/>
      <c r="C8987" s="481" t="s">
        <v>15</v>
      </c>
      <c r="D8987" s="481"/>
      <c r="E8987" s="489" t="s">
        <v>461</v>
      </c>
      <c r="F8987" s="490"/>
      <c r="G8987" s="490"/>
      <c r="H8987" s="491"/>
    </row>
    <row r="8988" spans="1:9" ht="15.6" x14ac:dyDescent="0.3">
      <c r="A8988" s="255" t="s">
        <v>1556</v>
      </c>
      <c r="B8988" s="256"/>
      <c r="C8988" s="489"/>
      <c r="D8988" s="490"/>
      <c r="E8988" s="490"/>
      <c r="F8988" s="490"/>
      <c r="G8988" s="490"/>
      <c r="H8988" s="491"/>
    </row>
    <row r="8989" spans="1:9" ht="15" x14ac:dyDescent="0.3">
      <c r="A8989" s="492" t="s">
        <v>17</v>
      </c>
      <c r="B8989" s="494" t="s">
        <v>18</v>
      </c>
      <c r="C8989" s="494" t="s">
        <v>19</v>
      </c>
      <c r="D8989" s="495" t="s">
        <v>20</v>
      </c>
      <c r="E8989" s="494" t="s">
        <v>21</v>
      </c>
      <c r="F8989" s="494" t="s">
        <v>22</v>
      </c>
      <c r="G8989" s="494"/>
      <c r="H8989" s="492" t="s">
        <v>23</v>
      </c>
    </row>
    <row r="8990" spans="1:9" ht="27.6" x14ac:dyDescent="0.3">
      <c r="A8990" s="492"/>
      <c r="B8990" s="494"/>
      <c r="C8990" s="494"/>
      <c r="D8990" s="505"/>
      <c r="E8990" s="494"/>
      <c r="F8990" s="53" t="s">
        <v>24</v>
      </c>
      <c r="G8990" s="53" t="s">
        <v>25</v>
      </c>
      <c r="H8990" s="492"/>
    </row>
    <row r="8991" spans="1:9" x14ac:dyDescent="0.3">
      <c r="A8991" s="55">
        <v>1</v>
      </c>
      <c r="B8991" s="84" t="s">
        <v>1557</v>
      </c>
      <c r="C8991" s="55">
        <v>8</v>
      </c>
      <c r="D8991" s="86">
        <v>998719</v>
      </c>
      <c r="E8991" s="55">
        <v>2500</v>
      </c>
      <c r="F8991" s="55">
        <f>E8991*C8991*9%</f>
        <v>1800</v>
      </c>
      <c r="G8991" s="55">
        <f>F8991</f>
        <v>1800</v>
      </c>
      <c r="H8991" s="55">
        <f>G8991+F8991+E8991*C8991</f>
        <v>23600</v>
      </c>
      <c r="I8991" s="362">
        <f>E8991*C8991</f>
        <v>20000</v>
      </c>
    </row>
    <row r="8992" spans="1:9" x14ac:dyDescent="0.3">
      <c r="A8992" s="55">
        <v>2</v>
      </c>
      <c r="B8992" s="84" t="s">
        <v>1558</v>
      </c>
      <c r="C8992" s="55">
        <v>6</v>
      </c>
      <c r="D8992" s="86">
        <v>998719</v>
      </c>
      <c r="E8992" s="55">
        <v>2500</v>
      </c>
      <c r="F8992" s="55">
        <f>E8992*C8992*9%</f>
        <v>1350</v>
      </c>
      <c r="G8992" s="55">
        <f>F8992</f>
        <v>1350</v>
      </c>
      <c r="H8992" s="55">
        <f>G8992+F8992+E8992*C8992</f>
        <v>17700</v>
      </c>
      <c r="I8992" s="362">
        <f t="shared" ref="I8992:I8997" si="224">E8992*C8992</f>
        <v>15000</v>
      </c>
    </row>
    <row r="8993" spans="1:9" x14ac:dyDescent="0.3">
      <c r="A8993" s="55">
        <v>3</v>
      </c>
      <c r="B8993" s="84" t="s">
        <v>1559</v>
      </c>
      <c r="C8993" s="55">
        <v>4</v>
      </c>
      <c r="D8993" s="86">
        <v>998719</v>
      </c>
      <c r="E8993" s="55">
        <v>3000</v>
      </c>
      <c r="F8993" s="55">
        <f t="shared" ref="F8993:F8997" si="225">E8993*C8993*9%</f>
        <v>1080</v>
      </c>
      <c r="G8993" s="55">
        <f t="shared" ref="G8993:G8997" si="226">F8993</f>
        <v>1080</v>
      </c>
      <c r="H8993" s="55">
        <f t="shared" ref="H8993:H8997" si="227">G8993+F8993+E8993*C8993</f>
        <v>14160</v>
      </c>
      <c r="I8993" s="362">
        <f t="shared" si="224"/>
        <v>12000</v>
      </c>
    </row>
    <row r="8994" spans="1:9" x14ac:dyDescent="0.3">
      <c r="A8994" s="55">
        <v>4</v>
      </c>
      <c r="B8994" s="84" t="s">
        <v>1560</v>
      </c>
      <c r="C8994" s="55">
        <v>4</v>
      </c>
      <c r="D8994" s="86">
        <v>998719</v>
      </c>
      <c r="E8994" s="55">
        <v>3000</v>
      </c>
      <c r="F8994" s="55">
        <f t="shared" si="225"/>
        <v>1080</v>
      </c>
      <c r="G8994" s="55">
        <f t="shared" si="226"/>
        <v>1080</v>
      </c>
      <c r="H8994" s="55">
        <f t="shared" si="227"/>
        <v>14160</v>
      </c>
      <c r="I8994" s="362">
        <f t="shared" si="224"/>
        <v>12000</v>
      </c>
    </row>
    <row r="8995" spans="1:9" x14ac:dyDescent="0.3">
      <c r="A8995" s="55">
        <v>5</v>
      </c>
      <c r="B8995" s="84" t="s">
        <v>1561</v>
      </c>
      <c r="C8995" s="55">
        <v>3</v>
      </c>
      <c r="D8995" s="86">
        <v>998719</v>
      </c>
      <c r="E8995" s="55">
        <v>4000</v>
      </c>
      <c r="F8995" s="55">
        <f t="shared" si="225"/>
        <v>1080</v>
      </c>
      <c r="G8995" s="55">
        <f t="shared" si="226"/>
        <v>1080</v>
      </c>
      <c r="H8995" s="55">
        <f t="shared" si="227"/>
        <v>14160</v>
      </c>
      <c r="I8995" s="362">
        <f t="shared" si="224"/>
        <v>12000</v>
      </c>
    </row>
    <row r="8996" spans="1:9" x14ac:dyDescent="0.3">
      <c r="A8996" s="55">
        <v>6</v>
      </c>
      <c r="B8996" s="84" t="s">
        <v>1562</v>
      </c>
      <c r="C8996" s="55">
        <v>3</v>
      </c>
      <c r="D8996" s="86">
        <v>998719</v>
      </c>
      <c r="E8996" s="55">
        <v>4300</v>
      </c>
      <c r="F8996" s="55">
        <f t="shared" si="225"/>
        <v>1161</v>
      </c>
      <c r="G8996" s="55">
        <f t="shared" si="226"/>
        <v>1161</v>
      </c>
      <c r="H8996" s="55">
        <f t="shared" si="227"/>
        <v>15222</v>
      </c>
      <c r="I8996" s="362">
        <f t="shared" si="224"/>
        <v>12900</v>
      </c>
    </row>
    <row r="8997" spans="1:9" x14ac:dyDescent="0.3">
      <c r="A8997" s="55">
        <v>7</v>
      </c>
      <c r="B8997" s="84" t="s">
        <v>1563</v>
      </c>
      <c r="C8997" s="55">
        <v>1</v>
      </c>
      <c r="D8997" s="86">
        <v>998719</v>
      </c>
      <c r="E8997" s="55">
        <v>4500</v>
      </c>
      <c r="F8997" s="55">
        <f t="shared" si="225"/>
        <v>405</v>
      </c>
      <c r="G8997" s="55">
        <f t="shared" si="226"/>
        <v>405</v>
      </c>
      <c r="H8997" s="55">
        <f t="shared" si="227"/>
        <v>5310</v>
      </c>
      <c r="I8997" s="362">
        <f t="shared" si="224"/>
        <v>4500</v>
      </c>
    </row>
    <row r="8998" spans="1:9" x14ac:dyDescent="0.3">
      <c r="A8998" s="163"/>
      <c r="B8998" s="163"/>
      <c r="C8998" s="163"/>
      <c r="D8998" s="163"/>
      <c r="E8998" s="163"/>
      <c r="F8998" s="163"/>
      <c r="G8998" s="163"/>
      <c r="H8998" s="163"/>
    </row>
    <row r="8999" spans="1:9" x14ac:dyDescent="0.3">
      <c r="A8999" s="163"/>
      <c r="B8999" s="163"/>
      <c r="C8999" s="163"/>
      <c r="D8999" s="163"/>
      <c r="E8999" s="163"/>
      <c r="F8999" s="163"/>
      <c r="G8999" s="163"/>
      <c r="H8999" s="163"/>
    </row>
    <row r="9000" spans="1:9" x14ac:dyDescent="0.3">
      <c r="A9000" s="163"/>
      <c r="B9000" s="163"/>
      <c r="C9000" s="163"/>
      <c r="D9000" s="163"/>
      <c r="E9000" s="163"/>
      <c r="F9000" s="163"/>
      <c r="G9000" s="163"/>
      <c r="H9000" s="163"/>
    </row>
    <row r="9001" spans="1:9" x14ac:dyDescent="0.3">
      <c r="A9001" s="163"/>
      <c r="B9001" s="163"/>
      <c r="C9001" s="163"/>
      <c r="D9001" s="163"/>
      <c r="E9001" s="163"/>
      <c r="F9001" s="163"/>
      <c r="G9001" s="163"/>
      <c r="H9001" s="163"/>
    </row>
    <row r="9002" spans="1:9" x14ac:dyDescent="0.3">
      <c r="A9002" s="163"/>
      <c r="B9002" s="163"/>
      <c r="C9002" s="163"/>
      <c r="D9002" s="163"/>
      <c r="E9002" s="163"/>
      <c r="F9002" s="163"/>
      <c r="G9002" s="163"/>
      <c r="H9002" s="163"/>
    </row>
    <row r="9003" spans="1:9" x14ac:dyDescent="0.3">
      <c r="A9003" s="258"/>
      <c r="B9003" s="257"/>
      <c r="C9003" s="258"/>
      <c r="D9003" s="86"/>
      <c r="E9003" s="55"/>
      <c r="F9003" s="259"/>
      <c r="G9003" s="259"/>
      <c r="H9003" s="258"/>
    </row>
    <row r="9004" spans="1:9" x14ac:dyDescent="0.3">
      <c r="A9004" s="55"/>
      <c r="B9004" s="84"/>
      <c r="C9004" s="55"/>
      <c r="D9004" s="55"/>
      <c r="E9004" s="55"/>
      <c r="F9004" s="55"/>
      <c r="G9004" s="55"/>
      <c r="H9004" s="55"/>
    </row>
    <row r="9005" spans="1:9" x14ac:dyDescent="0.3">
      <c r="A9005" s="163"/>
      <c r="B9005" s="163"/>
      <c r="C9005" s="163"/>
      <c r="D9005" s="163"/>
      <c r="E9005" s="163"/>
      <c r="F9005" s="163"/>
      <c r="G9005" s="163"/>
      <c r="H9005" s="163"/>
    </row>
    <row r="9006" spans="1:9" x14ac:dyDescent="0.3">
      <c r="A9006" s="55"/>
      <c r="B9006" s="257"/>
      <c r="C9006" s="55"/>
      <c r="D9006" s="55"/>
      <c r="E9006" s="55"/>
      <c r="F9006" s="55"/>
      <c r="G9006" s="55"/>
      <c r="H9006" s="55"/>
    </row>
    <row r="9007" spans="1:9" x14ac:dyDescent="0.3">
      <c r="A9007" s="57"/>
      <c r="B9007" s="84"/>
      <c r="C9007" s="85"/>
      <c r="D9007" s="86"/>
      <c r="E9007" s="87"/>
      <c r="F9007" s="47"/>
      <c r="G9007" s="47"/>
      <c r="H9007" s="47"/>
    </row>
    <row r="9008" spans="1:9" x14ac:dyDescent="0.3">
      <c r="A9008" s="57"/>
      <c r="B9008" s="84"/>
      <c r="C9008" s="85"/>
      <c r="D9008" s="86"/>
      <c r="E9008" s="47"/>
      <c r="F9008" s="47"/>
      <c r="G9008" s="47"/>
      <c r="H9008" s="47"/>
    </row>
    <row r="9009" spans="1:8" x14ac:dyDescent="0.3">
      <c r="A9009" s="55"/>
      <c r="B9009" s="84"/>
      <c r="C9009" s="55"/>
      <c r="D9009" s="86"/>
      <c r="E9009" s="47"/>
      <c r="F9009" s="47"/>
      <c r="G9009" s="47"/>
      <c r="H9009" s="47"/>
    </row>
    <row r="9010" spans="1:8" x14ac:dyDescent="0.3">
      <c r="A9010" s="27"/>
      <c r="B9010" s="28"/>
      <c r="C9010" s="24"/>
      <c r="D9010" s="25"/>
      <c r="E9010" s="25"/>
      <c r="F9010" s="28"/>
      <c r="G9010" s="28"/>
      <c r="H9010" s="32"/>
    </row>
    <row r="9011" spans="1:8" ht="15.6" x14ac:dyDescent="0.3">
      <c r="A9011" s="448" t="s">
        <v>45</v>
      </c>
      <c r="B9011" s="449"/>
      <c r="C9011" s="24"/>
      <c r="D9011" s="25"/>
      <c r="E9011" s="25"/>
      <c r="F9011" s="447" t="s">
        <v>46</v>
      </c>
      <c r="G9011" s="447"/>
      <c r="H9011" s="66">
        <v>88400</v>
      </c>
    </row>
    <row r="9012" spans="1:8" ht="15.6" x14ac:dyDescent="0.3">
      <c r="A9012" s="497" t="s">
        <v>1564</v>
      </c>
      <c r="B9012" s="498"/>
      <c r="C9012" s="498"/>
      <c r="D9012" s="498"/>
      <c r="E9012" s="498"/>
      <c r="F9012" s="447" t="s">
        <v>47</v>
      </c>
      <c r="G9012" s="447"/>
      <c r="H9012" s="66">
        <f>H9011*9%</f>
        <v>7956</v>
      </c>
    </row>
    <row r="9013" spans="1:8" ht="15.6" x14ac:dyDescent="0.3">
      <c r="A9013" s="27"/>
      <c r="B9013" s="28"/>
      <c r="C9013" s="24"/>
      <c r="D9013" s="25"/>
      <c r="E9013" s="25"/>
      <c r="F9013" s="447" t="s">
        <v>48</v>
      </c>
      <c r="G9013" s="447"/>
      <c r="H9013" s="66">
        <f>H9012</f>
        <v>7956</v>
      </c>
    </row>
    <row r="9014" spans="1:8" ht="15.6" x14ac:dyDescent="0.3">
      <c r="A9014" s="64" t="s">
        <v>49</v>
      </c>
      <c r="B9014" s="65"/>
      <c r="C9014" s="24"/>
      <c r="D9014" s="25"/>
      <c r="E9014" s="25"/>
      <c r="F9014" s="447" t="s">
        <v>50</v>
      </c>
      <c r="G9014" s="447"/>
      <c r="H9014" s="66">
        <f>H9011+H9012+H9013</f>
        <v>104312</v>
      </c>
    </row>
    <row r="9015" spans="1:8" ht="27" x14ac:dyDescent="0.3">
      <c r="A9015" s="68" t="s">
        <v>22</v>
      </c>
      <c r="B9015" s="30" t="s">
        <v>51</v>
      </c>
      <c r="C9015" s="70" t="s">
        <v>24</v>
      </c>
      <c r="D9015" s="31" t="s">
        <v>25</v>
      </c>
      <c r="E9015" s="450" t="s">
        <v>52</v>
      </c>
      <c r="F9015" s="450"/>
      <c r="G9015" s="28"/>
      <c r="H9015" s="32"/>
    </row>
    <row r="9016" spans="1:8" x14ac:dyDescent="0.3">
      <c r="A9016" s="72">
        <v>0.18</v>
      </c>
      <c r="B9016" s="73">
        <f>H9011</f>
        <v>88400</v>
      </c>
      <c r="C9016" s="91">
        <f>H9012</f>
        <v>7956</v>
      </c>
      <c r="D9016" s="91">
        <f>H9012</f>
        <v>7956</v>
      </c>
      <c r="E9016" s="506">
        <f>C9016+D9016</f>
        <v>15912</v>
      </c>
      <c r="F9016" s="507"/>
      <c r="G9016" s="74"/>
      <c r="H9016" s="75"/>
    </row>
    <row r="9017" spans="1:8" x14ac:dyDescent="0.3">
      <c r="A9017" s="508" t="s">
        <v>1565</v>
      </c>
      <c r="B9017" s="509"/>
      <c r="C9017" s="509"/>
      <c r="D9017" s="509"/>
      <c r="E9017" s="453"/>
      <c r="F9017" s="453"/>
      <c r="G9017" s="453"/>
      <c r="H9017" s="454"/>
    </row>
    <row r="9018" spans="1:8" ht="15.6" x14ac:dyDescent="0.3">
      <c r="A9018" s="455" t="s">
        <v>53</v>
      </c>
      <c r="B9018" s="456"/>
      <c r="C9018" s="456"/>
      <c r="D9018" s="457"/>
      <c r="E9018" s="458" t="s">
        <v>54</v>
      </c>
      <c r="F9018" s="459"/>
      <c r="G9018" s="459"/>
      <c r="H9018" s="460"/>
    </row>
    <row r="9019" spans="1:8" x14ac:dyDescent="0.3">
      <c r="A9019" s="461" t="s">
        <v>55</v>
      </c>
      <c r="B9019" s="462"/>
      <c r="C9019" s="462"/>
      <c r="D9019" s="463"/>
      <c r="E9019" s="39"/>
      <c r="F9019" s="28"/>
      <c r="G9019" s="28"/>
      <c r="H9019" s="32"/>
    </row>
    <row r="9020" spans="1:8" x14ac:dyDescent="0.3">
      <c r="A9020" s="461" t="s">
        <v>56</v>
      </c>
      <c r="B9020" s="462"/>
      <c r="C9020" s="462"/>
      <c r="D9020" s="463"/>
      <c r="E9020" s="39"/>
      <c r="F9020" s="28"/>
      <c r="G9020" s="28"/>
      <c r="H9020" s="32"/>
    </row>
    <row r="9021" spans="1:8" x14ac:dyDescent="0.3">
      <c r="A9021" s="461" t="s">
        <v>57</v>
      </c>
      <c r="B9021" s="462"/>
      <c r="C9021" s="462"/>
      <c r="D9021" s="463"/>
      <c r="E9021" s="39"/>
      <c r="F9021" s="28"/>
      <c r="G9021" s="28"/>
      <c r="H9021" s="32"/>
    </row>
    <row r="9022" spans="1:8" ht="15.6" x14ac:dyDescent="0.3">
      <c r="A9022" s="464" t="s">
        <v>58</v>
      </c>
      <c r="B9022" s="465"/>
      <c r="C9022" s="465"/>
      <c r="D9022" s="465"/>
      <c r="E9022" s="466" t="s">
        <v>59</v>
      </c>
      <c r="F9022" s="467"/>
      <c r="G9022" s="467"/>
      <c r="H9022" s="468"/>
    </row>
    <row r="9025" spans="1:9" ht="44.4" x14ac:dyDescent="0.7">
      <c r="A9025" s="469" t="s">
        <v>0</v>
      </c>
      <c r="B9025" s="470"/>
      <c r="C9025" s="470"/>
      <c r="D9025" s="470"/>
      <c r="E9025" s="471" t="s">
        <v>1</v>
      </c>
      <c r="F9025" s="472"/>
      <c r="G9025" s="472"/>
      <c r="H9025" s="473"/>
    </row>
    <row r="9026" spans="1:9" ht="20.399999999999999" x14ac:dyDescent="0.35">
      <c r="A9026" s="1"/>
      <c r="B9026" s="476" t="s">
        <v>2</v>
      </c>
      <c r="C9026" s="476"/>
      <c r="D9026" s="476"/>
      <c r="E9026" s="474"/>
      <c r="F9026" s="474"/>
      <c r="G9026" s="474"/>
      <c r="H9026" s="475"/>
    </row>
    <row r="9027" spans="1:9" x14ac:dyDescent="0.3">
      <c r="A9027" s="477" t="s">
        <v>3</v>
      </c>
      <c r="B9027" s="478"/>
      <c r="C9027" s="479" t="s">
        <v>4</v>
      </c>
      <c r="D9027" s="479"/>
      <c r="E9027" s="480" t="s">
        <v>5</v>
      </c>
      <c r="F9027" s="480"/>
      <c r="G9027" s="480"/>
      <c r="H9027" s="480"/>
    </row>
    <row r="9028" spans="1:9" ht="15.6" x14ac:dyDescent="0.3">
      <c r="A9028" s="4" t="s">
        <v>6</v>
      </c>
      <c r="B9028" s="5"/>
      <c r="C9028" s="481" t="s">
        <v>7</v>
      </c>
      <c r="D9028" s="481"/>
      <c r="E9028" s="482">
        <v>196</v>
      </c>
      <c r="F9028" s="482"/>
      <c r="G9028" s="7" t="s">
        <v>8</v>
      </c>
      <c r="H9028" s="250" t="s">
        <v>1555</v>
      </c>
    </row>
    <row r="9029" spans="1:9" ht="15.6" x14ac:dyDescent="0.3">
      <c r="A9029" s="551" t="s">
        <v>458</v>
      </c>
      <c r="B9029" s="552"/>
      <c r="C9029" s="481" t="s">
        <v>10</v>
      </c>
      <c r="D9029" s="481"/>
      <c r="E9029" s="482">
        <v>4</v>
      </c>
      <c r="F9029" s="482"/>
      <c r="G9029" s="7" t="s">
        <v>8</v>
      </c>
      <c r="H9029" s="250" t="s">
        <v>1566</v>
      </c>
    </row>
    <row r="9030" spans="1:9" ht="23.25" customHeight="1" x14ac:dyDescent="0.3">
      <c r="A9030" s="560" t="s">
        <v>459</v>
      </c>
      <c r="B9030" s="561"/>
      <c r="C9030" s="483" t="s">
        <v>12</v>
      </c>
      <c r="D9030" s="484"/>
      <c r="E9030" s="562" t="s">
        <v>466</v>
      </c>
      <c r="F9030" s="563"/>
      <c r="G9030" s="400" t="s">
        <v>8</v>
      </c>
      <c r="H9030" s="401" t="s">
        <v>465</v>
      </c>
    </row>
    <row r="9031" spans="1:9" ht="15.6" x14ac:dyDescent="0.3">
      <c r="A9031" s="253" t="s">
        <v>460</v>
      </c>
      <c r="B9031" s="254"/>
      <c r="C9031" s="481" t="s">
        <v>15</v>
      </c>
      <c r="D9031" s="481"/>
      <c r="E9031" s="489" t="s">
        <v>461</v>
      </c>
      <c r="F9031" s="490"/>
      <c r="G9031" s="490"/>
      <c r="H9031" s="491"/>
    </row>
    <row r="9032" spans="1:9" ht="15.6" x14ac:dyDescent="0.3">
      <c r="A9032" s="255" t="s">
        <v>1580</v>
      </c>
      <c r="B9032" s="256"/>
      <c r="C9032" s="489"/>
      <c r="D9032" s="490"/>
      <c r="E9032" s="490"/>
      <c r="F9032" s="490"/>
      <c r="G9032" s="490"/>
      <c r="H9032" s="491"/>
    </row>
    <row r="9033" spans="1:9" ht="15" x14ac:dyDescent="0.3">
      <c r="A9033" s="492" t="s">
        <v>17</v>
      </c>
      <c r="B9033" s="494" t="s">
        <v>18</v>
      </c>
      <c r="C9033" s="494" t="s">
        <v>19</v>
      </c>
      <c r="D9033" s="495" t="s">
        <v>20</v>
      </c>
      <c r="E9033" s="494" t="s">
        <v>21</v>
      </c>
      <c r="F9033" s="494" t="s">
        <v>22</v>
      </c>
      <c r="G9033" s="494"/>
      <c r="H9033" s="492" t="s">
        <v>23</v>
      </c>
    </row>
    <row r="9034" spans="1:9" ht="27.6" x14ac:dyDescent="0.3">
      <c r="A9034" s="492"/>
      <c r="B9034" s="494"/>
      <c r="C9034" s="494"/>
      <c r="D9034" s="505"/>
      <c r="E9034" s="494"/>
      <c r="F9034" s="53" t="s">
        <v>24</v>
      </c>
      <c r="G9034" s="53" t="s">
        <v>25</v>
      </c>
      <c r="H9034" s="492"/>
    </row>
    <row r="9035" spans="1:9" x14ac:dyDescent="0.3">
      <c r="A9035" s="55">
        <v>1</v>
      </c>
      <c r="B9035" s="84" t="s">
        <v>1567</v>
      </c>
      <c r="C9035" s="55">
        <v>3</v>
      </c>
      <c r="D9035" s="86">
        <v>998719</v>
      </c>
      <c r="E9035" s="55">
        <v>2500</v>
      </c>
      <c r="F9035" s="55">
        <f>E9035*C9035*9%</f>
        <v>675</v>
      </c>
      <c r="G9035" s="55">
        <f>F9035</f>
        <v>675</v>
      </c>
      <c r="H9035" s="55">
        <f>G9035+F9035+E9035*C9035</f>
        <v>8850</v>
      </c>
      <c r="I9035" s="362">
        <f>E9035*C9035</f>
        <v>7500</v>
      </c>
    </row>
    <row r="9036" spans="1:9" x14ac:dyDescent="0.3">
      <c r="A9036" s="55">
        <v>2</v>
      </c>
      <c r="B9036" s="84" t="s">
        <v>1560</v>
      </c>
      <c r="C9036" s="55">
        <v>4</v>
      </c>
      <c r="D9036" s="86">
        <v>998719</v>
      </c>
      <c r="E9036" s="55">
        <v>3000</v>
      </c>
      <c r="F9036" s="55">
        <f>E9036*C9036*9%</f>
        <v>1080</v>
      </c>
      <c r="G9036" s="55">
        <f>F9036</f>
        <v>1080</v>
      </c>
      <c r="H9036" s="55">
        <f>G9036+F9036+E9036*C9036</f>
        <v>14160</v>
      </c>
      <c r="I9036" s="362">
        <f t="shared" ref="I9036:I9041" si="228">E9036*C9036</f>
        <v>12000</v>
      </c>
    </row>
    <row r="9037" spans="1:9" x14ac:dyDescent="0.3">
      <c r="A9037" s="55">
        <v>3</v>
      </c>
      <c r="B9037" s="84" t="s">
        <v>1561</v>
      </c>
      <c r="C9037" s="55">
        <v>3</v>
      </c>
      <c r="D9037" s="86">
        <v>998719</v>
      </c>
      <c r="E9037" s="55">
        <v>4000</v>
      </c>
      <c r="F9037" s="55">
        <f t="shared" ref="F9037:F9040" si="229">E9037*C9037*9%</f>
        <v>1080</v>
      </c>
      <c r="G9037" s="55">
        <f t="shared" ref="G9037:G9040" si="230">F9037</f>
        <v>1080</v>
      </c>
      <c r="H9037" s="55">
        <f t="shared" ref="H9037:H9040" si="231">G9037+F9037+E9037*C9037</f>
        <v>14160</v>
      </c>
      <c r="I9037" s="362">
        <f t="shared" si="228"/>
        <v>12000</v>
      </c>
    </row>
    <row r="9038" spans="1:9" x14ac:dyDescent="0.3">
      <c r="A9038" s="55">
        <v>4</v>
      </c>
      <c r="B9038" s="84" t="s">
        <v>1562</v>
      </c>
      <c r="C9038" s="55">
        <v>3</v>
      </c>
      <c r="D9038" s="86">
        <v>998719</v>
      </c>
      <c r="E9038" s="55">
        <v>4300</v>
      </c>
      <c r="F9038" s="55">
        <f t="shared" si="229"/>
        <v>1161</v>
      </c>
      <c r="G9038" s="55">
        <f t="shared" si="230"/>
        <v>1161</v>
      </c>
      <c r="H9038" s="55">
        <f t="shared" si="231"/>
        <v>15222</v>
      </c>
      <c r="I9038" s="362">
        <f t="shared" si="228"/>
        <v>12900</v>
      </c>
    </row>
    <row r="9039" spans="1:9" x14ac:dyDescent="0.3">
      <c r="A9039" s="55">
        <v>5</v>
      </c>
      <c r="B9039" s="84" t="s">
        <v>1563</v>
      </c>
      <c r="C9039" s="55">
        <v>1</v>
      </c>
      <c r="D9039" s="86">
        <v>998719</v>
      </c>
      <c r="E9039" s="55">
        <v>4500</v>
      </c>
      <c r="F9039" s="55">
        <f t="shared" si="229"/>
        <v>405</v>
      </c>
      <c r="G9039" s="55">
        <f t="shared" si="230"/>
        <v>405</v>
      </c>
      <c r="H9039" s="55">
        <f t="shared" si="231"/>
        <v>5310</v>
      </c>
      <c r="I9039" s="362">
        <f t="shared" si="228"/>
        <v>4500</v>
      </c>
    </row>
    <row r="9040" spans="1:9" x14ac:dyDescent="0.3">
      <c r="A9040" s="55">
        <v>6</v>
      </c>
      <c r="B9040" s="84" t="s">
        <v>1581</v>
      </c>
      <c r="C9040" s="55">
        <v>64</v>
      </c>
      <c r="D9040" s="86">
        <v>998719</v>
      </c>
      <c r="E9040" s="55">
        <v>750</v>
      </c>
      <c r="F9040" s="55">
        <f t="shared" si="229"/>
        <v>4320</v>
      </c>
      <c r="G9040" s="55">
        <f t="shared" si="230"/>
        <v>4320</v>
      </c>
      <c r="H9040" s="55">
        <f t="shared" si="231"/>
        <v>56640</v>
      </c>
      <c r="I9040" s="362">
        <f t="shared" si="228"/>
        <v>48000</v>
      </c>
    </row>
    <row r="9041" spans="1:9" x14ac:dyDescent="0.3">
      <c r="A9041" s="55"/>
      <c r="B9041" s="84"/>
      <c r="C9041" s="55"/>
      <c r="D9041" s="86"/>
      <c r="E9041" s="55"/>
      <c r="F9041" s="55"/>
      <c r="G9041" s="55"/>
      <c r="H9041" s="55"/>
      <c r="I9041" s="362">
        <f t="shared" si="228"/>
        <v>0</v>
      </c>
    </row>
    <row r="9042" spans="1:9" x14ac:dyDescent="0.3">
      <c r="A9042" s="163"/>
      <c r="B9042" s="163"/>
      <c r="C9042" s="163"/>
      <c r="D9042" s="163"/>
      <c r="E9042" s="163"/>
      <c r="F9042" s="163"/>
      <c r="G9042" s="163"/>
      <c r="H9042" s="163"/>
    </row>
    <row r="9043" spans="1:9" x14ac:dyDescent="0.3">
      <c r="A9043" s="163"/>
      <c r="B9043" s="163"/>
      <c r="C9043" s="163"/>
      <c r="D9043" s="163"/>
      <c r="E9043" s="163"/>
      <c r="F9043" s="163"/>
      <c r="G9043" s="163"/>
      <c r="H9043" s="163"/>
    </row>
    <row r="9044" spans="1:9" x14ac:dyDescent="0.3">
      <c r="A9044" s="163"/>
      <c r="B9044" s="163"/>
      <c r="C9044" s="163"/>
      <c r="D9044" s="163"/>
      <c r="E9044" s="163"/>
      <c r="F9044" s="163"/>
      <c r="G9044" s="163"/>
      <c r="H9044" s="163"/>
    </row>
    <row r="9045" spans="1:9" x14ac:dyDescent="0.3">
      <c r="A9045" s="163"/>
      <c r="B9045" s="163"/>
      <c r="C9045" s="163"/>
      <c r="D9045" s="163"/>
      <c r="E9045" s="163"/>
      <c r="F9045" s="163"/>
      <c r="G9045" s="163"/>
      <c r="H9045" s="163"/>
    </row>
    <row r="9046" spans="1:9" x14ac:dyDescent="0.3">
      <c r="A9046" s="163"/>
      <c r="B9046" s="163"/>
      <c r="C9046" s="163"/>
      <c r="D9046" s="163"/>
      <c r="E9046" s="163"/>
      <c r="F9046" s="163"/>
      <c r="G9046" s="163"/>
      <c r="H9046" s="163"/>
    </row>
    <row r="9047" spans="1:9" x14ac:dyDescent="0.3">
      <c r="A9047" s="258"/>
      <c r="B9047" s="257"/>
      <c r="C9047" s="258"/>
      <c r="D9047" s="86"/>
      <c r="E9047" s="55"/>
      <c r="F9047" s="259"/>
      <c r="G9047" s="259"/>
      <c r="H9047" s="258"/>
    </row>
    <row r="9048" spans="1:9" x14ac:dyDescent="0.3">
      <c r="A9048" s="55"/>
      <c r="B9048" s="84"/>
      <c r="C9048" s="55"/>
      <c r="D9048" s="55"/>
      <c r="E9048" s="55"/>
      <c r="F9048" s="55"/>
      <c r="G9048" s="55"/>
      <c r="H9048" s="55"/>
    </row>
    <row r="9049" spans="1:9" x14ac:dyDescent="0.3">
      <c r="A9049" s="163"/>
      <c r="B9049" s="163"/>
      <c r="C9049" s="163"/>
      <c r="D9049" s="163"/>
      <c r="E9049" s="163"/>
      <c r="F9049" s="163"/>
      <c r="G9049" s="163"/>
      <c r="H9049" s="163"/>
    </row>
    <row r="9050" spans="1:9" x14ac:dyDescent="0.3">
      <c r="A9050" s="55"/>
      <c r="B9050" s="257"/>
      <c r="C9050" s="55"/>
      <c r="D9050" s="55"/>
      <c r="E9050" s="55"/>
      <c r="F9050" s="55"/>
      <c r="G9050" s="55"/>
      <c r="H9050" s="55"/>
    </row>
    <row r="9051" spans="1:9" x14ac:dyDescent="0.3">
      <c r="A9051" s="57"/>
      <c r="B9051" s="84"/>
      <c r="C9051" s="85"/>
      <c r="D9051" s="86"/>
      <c r="E9051" s="87"/>
      <c r="F9051" s="47"/>
      <c r="G9051" s="47"/>
      <c r="H9051" s="47"/>
    </row>
    <row r="9052" spans="1:9" x14ac:dyDescent="0.3">
      <c r="A9052" s="57"/>
      <c r="B9052" s="84"/>
      <c r="C9052" s="85"/>
      <c r="D9052" s="86"/>
      <c r="E9052" s="47"/>
      <c r="F9052" s="47"/>
      <c r="G9052" s="47"/>
      <c r="H9052" s="47"/>
    </row>
    <row r="9053" spans="1:9" x14ac:dyDescent="0.3">
      <c r="A9053" s="55"/>
      <c r="B9053" s="84"/>
      <c r="C9053" s="55"/>
      <c r="D9053" s="86"/>
      <c r="E9053" s="47"/>
      <c r="F9053" s="47"/>
      <c r="G9053" s="47"/>
      <c r="H9053" s="47"/>
    </row>
    <row r="9054" spans="1:9" x14ac:dyDescent="0.3">
      <c r="A9054" s="27"/>
      <c r="B9054" s="28"/>
      <c r="C9054" s="24"/>
      <c r="D9054" s="25"/>
      <c r="E9054" s="25"/>
      <c r="F9054" s="28"/>
      <c r="G9054" s="28"/>
      <c r="H9054" s="32"/>
    </row>
    <row r="9055" spans="1:9" ht="15.6" x14ac:dyDescent="0.3">
      <c r="A9055" s="448" t="s">
        <v>45</v>
      </c>
      <c r="B9055" s="449"/>
      <c r="C9055" s="24"/>
      <c r="D9055" s="25"/>
      <c r="E9055" s="25"/>
      <c r="F9055" s="447" t="s">
        <v>46</v>
      </c>
      <c r="G9055" s="447"/>
      <c r="H9055" s="66">
        <f>C9035*E9035+C9036*E9036+C9037*E9037+C9038*E9038+C9039*E9039+C9040*E9040</f>
        <v>96900</v>
      </c>
    </row>
    <row r="9056" spans="1:9" ht="15.6" x14ac:dyDescent="0.3">
      <c r="A9056" s="497" t="s">
        <v>1616</v>
      </c>
      <c r="B9056" s="498"/>
      <c r="C9056" s="498"/>
      <c r="D9056" s="498"/>
      <c r="E9056" s="498"/>
      <c r="F9056" s="447" t="s">
        <v>47</v>
      </c>
      <c r="G9056" s="447"/>
      <c r="H9056" s="66">
        <f>H9055*9%</f>
        <v>8721</v>
      </c>
    </row>
    <row r="9057" spans="1:8" ht="15.6" x14ac:dyDescent="0.3">
      <c r="A9057" s="27"/>
      <c r="B9057" s="28"/>
      <c r="C9057" s="24"/>
      <c r="D9057" s="25"/>
      <c r="E9057" s="25"/>
      <c r="F9057" s="447" t="s">
        <v>48</v>
      </c>
      <c r="G9057" s="447"/>
      <c r="H9057" s="66">
        <f>H9056</f>
        <v>8721</v>
      </c>
    </row>
    <row r="9058" spans="1:8" ht="15.6" x14ac:dyDescent="0.3">
      <c r="A9058" s="64" t="s">
        <v>49</v>
      </c>
      <c r="B9058" s="65"/>
      <c r="C9058" s="24"/>
      <c r="D9058" s="25"/>
      <c r="E9058" s="25"/>
      <c r="F9058" s="447" t="s">
        <v>50</v>
      </c>
      <c r="G9058" s="447"/>
      <c r="H9058" s="66">
        <f>H9055+H9056+H9057</f>
        <v>114342</v>
      </c>
    </row>
    <row r="9059" spans="1:8" ht="27" x14ac:dyDescent="0.3">
      <c r="A9059" s="68" t="s">
        <v>22</v>
      </c>
      <c r="B9059" s="30" t="s">
        <v>51</v>
      </c>
      <c r="C9059" s="70" t="s">
        <v>24</v>
      </c>
      <c r="D9059" s="31" t="s">
        <v>25</v>
      </c>
      <c r="E9059" s="450" t="s">
        <v>52</v>
      </c>
      <c r="F9059" s="450"/>
      <c r="G9059" s="28"/>
      <c r="H9059" s="32"/>
    </row>
    <row r="9060" spans="1:8" x14ac:dyDescent="0.3">
      <c r="A9060" s="72">
        <v>0.18</v>
      </c>
      <c r="B9060" s="73">
        <f>H9055</f>
        <v>96900</v>
      </c>
      <c r="C9060" s="91">
        <f>H9056</f>
        <v>8721</v>
      </c>
      <c r="D9060" s="91">
        <f>H9056</f>
        <v>8721</v>
      </c>
      <c r="E9060" s="506">
        <f>C9060+D9060</f>
        <v>17442</v>
      </c>
      <c r="F9060" s="507"/>
      <c r="G9060" s="74"/>
      <c r="H9060" s="75"/>
    </row>
    <row r="9061" spans="1:8" x14ac:dyDescent="0.3">
      <c r="A9061" s="508" t="s">
        <v>1617</v>
      </c>
      <c r="B9061" s="509"/>
      <c r="C9061" s="509"/>
      <c r="D9061" s="509"/>
      <c r="E9061" s="453"/>
      <c r="F9061" s="453"/>
      <c r="G9061" s="453"/>
      <c r="H9061" s="454"/>
    </row>
    <row r="9062" spans="1:8" ht="15.6" x14ac:dyDescent="0.3">
      <c r="A9062" s="455" t="s">
        <v>53</v>
      </c>
      <c r="B9062" s="456"/>
      <c r="C9062" s="456"/>
      <c r="D9062" s="457"/>
      <c r="E9062" s="458" t="s">
        <v>54</v>
      </c>
      <c r="F9062" s="459"/>
      <c r="G9062" s="459"/>
      <c r="H9062" s="460"/>
    </row>
    <row r="9063" spans="1:8" x14ac:dyDescent="0.3">
      <c r="A9063" s="461" t="s">
        <v>55</v>
      </c>
      <c r="B9063" s="462"/>
      <c r="C9063" s="462"/>
      <c r="D9063" s="463"/>
      <c r="E9063" s="39"/>
      <c r="F9063" s="28"/>
      <c r="G9063" s="28"/>
      <c r="H9063" s="32"/>
    </row>
    <row r="9064" spans="1:8" x14ac:dyDescent="0.3">
      <c r="A9064" s="461" t="s">
        <v>56</v>
      </c>
      <c r="B9064" s="462"/>
      <c r="C9064" s="462"/>
      <c r="D9064" s="463"/>
      <c r="E9064" s="39"/>
      <c r="F9064" s="28"/>
      <c r="G9064" s="28"/>
      <c r="H9064" s="32"/>
    </row>
    <row r="9065" spans="1:8" x14ac:dyDescent="0.3">
      <c r="A9065" s="461" t="s">
        <v>57</v>
      </c>
      <c r="B9065" s="462"/>
      <c r="C9065" s="462"/>
      <c r="D9065" s="463"/>
      <c r="E9065" s="39"/>
      <c r="F9065" s="28"/>
      <c r="G9065" s="28"/>
      <c r="H9065" s="32"/>
    </row>
    <row r="9066" spans="1:8" ht="15.6" x14ac:dyDescent="0.3">
      <c r="A9066" s="464" t="s">
        <v>58</v>
      </c>
      <c r="B9066" s="465"/>
      <c r="C9066" s="465"/>
      <c r="D9066" s="465"/>
      <c r="E9066" s="466" t="s">
        <v>59</v>
      </c>
      <c r="F9066" s="467"/>
      <c r="G9066" s="467"/>
      <c r="H9066" s="468"/>
    </row>
    <row r="9072" spans="1:8" ht="44.4" x14ac:dyDescent="0.7">
      <c r="A9072" s="469" t="s">
        <v>0</v>
      </c>
      <c r="B9072" s="470"/>
      <c r="C9072" s="470"/>
      <c r="D9072" s="470"/>
      <c r="E9072" s="531" t="s">
        <v>92</v>
      </c>
      <c r="F9072" s="544"/>
      <c r="G9072" s="544"/>
      <c r="H9072" s="545"/>
    </row>
    <row r="9073" spans="1:9" ht="20.399999999999999" x14ac:dyDescent="0.35">
      <c r="A9073" s="1"/>
      <c r="B9073" s="476" t="s">
        <v>2</v>
      </c>
      <c r="C9073" s="476"/>
      <c r="D9073" s="476"/>
      <c r="E9073" s="546"/>
      <c r="F9073" s="546"/>
      <c r="G9073" s="546"/>
      <c r="H9073" s="547"/>
    </row>
    <row r="9074" spans="1:9" x14ac:dyDescent="0.3">
      <c r="A9074" s="477" t="s">
        <v>3</v>
      </c>
      <c r="B9074" s="478"/>
      <c r="C9074" s="479" t="s">
        <v>4</v>
      </c>
      <c r="D9074" s="479"/>
      <c r="E9074" s="548" t="s">
        <v>5</v>
      </c>
      <c r="F9074" s="549"/>
      <c r="G9074" s="549"/>
      <c r="H9074" s="550"/>
    </row>
    <row r="9075" spans="1:9" ht="15.6" x14ac:dyDescent="0.3">
      <c r="A9075" s="138" t="s">
        <v>6</v>
      </c>
      <c r="B9075" s="5"/>
      <c r="C9075" s="481" t="s">
        <v>7</v>
      </c>
      <c r="D9075" s="481"/>
      <c r="E9075" s="482">
        <v>197</v>
      </c>
      <c r="F9075" s="482"/>
      <c r="G9075" s="7" t="s">
        <v>8</v>
      </c>
      <c r="H9075" s="8" t="s">
        <v>1568</v>
      </c>
    </row>
    <row r="9076" spans="1:9" ht="15.6" x14ac:dyDescent="0.3">
      <c r="A9076" s="556" t="s">
        <v>919</v>
      </c>
      <c r="B9076" s="557"/>
      <c r="C9076" s="481" t="s">
        <v>10</v>
      </c>
      <c r="D9076" s="481"/>
      <c r="E9076" s="482"/>
      <c r="F9076" s="482"/>
      <c r="G9076" s="7" t="s">
        <v>8</v>
      </c>
      <c r="H9076" s="6"/>
    </row>
    <row r="9077" spans="1:9" ht="15.6" x14ac:dyDescent="0.3">
      <c r="A9077" s="577" t="s">
        <v>920</v>
      </c>
      <c r="B9077" s="578"/>
      <c r="C9077" s="481" t="s">
        <v>12</v>
      </c>
      <c r="D9077" s="481"/>
      <c r="E9077" s="482" t="s">
        <v>1569</v>
      </c>
      <c r="F9077" s="482"/>
      <c r="G9077" s="7" t="s">
        <v>8</v>
      </c>
      <c r="H9077" s="8">
        <v>46297</v>
      </c>
    </row>
    <row r="9078" spans="1:9" ht="15.6" x14ac:dyDescent="0.3">
      <c r="A9078" s="556" t="s">
        <v>921</v>
      </c>
      <c r="B9078" s="557"/>
      <c r="C9078" s="481" t="s">
        <v>15</v>
      </c>
      <c r="D9078" s="481"/>
      <c r="E9078" s="566" t="s">
        <v>533</v>
      </c>
      <c r="F9078" s="567"/>
      <c r="G9078" s="567"/>
      <c r="H9078" s="568"/>
    </row>
    <row r="9079" spans="1:9" ht="15.6" x14ac:dyDescent="0.3">
      <c r="A9079" s="558" t="s">
        <v>922</v>
      </c>
      <c r="B9079" s="559"/>
      <c r="C9079" s="569"/>
      <c r="D9079" s="570"/>
      <c r="E9079" s="570"/>
      <c r="F9079" s="570"/>
      <c r="G9079" s="570"/>
      <c r="H9079" s="571"/>
    </row>
    <row r="9080" spans="1:9" ht="15" x14ac:dyDescent="0.3">
      <c r="A9080" s="492" t="s">
        <v>17</v>
      </c>
      <c r="B9080" s="494" t="s">
        <v>18</v>
      </c>
      <c r="C9080" s="494" t="s">
        <v>19</v>
      </c>
      <c r="D9080" s="494" t="s">
        <v>20</v>
      </c>
      <c r="E9080" s="494" t="s">
        <v>21</v>
      </c>
      <c r="F9080" s="494" t="s">
        <v>22</v>
      </c>
      <c r="G9080" s="494"/>
      <c r="H9080" s="492" t="s">
        <v>23</v>
      </c>
    </row>
    <row r="9081" spans="1:9" ht="27.6" x14ac:dyDescent="0.3">
      <c r="A9081" s="492"/>
      <c r="B9081" s="494"/>
      <c r="C9081" s="494"/>
      <c r="D9081" s="494"/>
      <c r="E9081" s="494"/>
      <c r="F9081" s="53" t="s">
        <v>24</v>
      </c>
      <c r="G9081" s="53" t="s">
        <v>25</v>
      </c>
      <c r="H9081" s="492"/>
    </row>
    <row r="9082" spans="1:9" x14ac:dyDescent="0.3">
      <c r="A9082" s="57">
        <v>1</v>
      </c>
      <c r="B9082" s="113" t="s">
        <v>1570</v>
      </c>
      <c r="C9082" s="57">
        <v>9</v>
      </c>
      <c r="D9082" s="86">
        <v>998719</v>
      </c>
      <c r="E9082" s="402">
        <v>2800</v>
      </c>
      <c r="F9082" s="403">
        <f>C9082*E9082*9%</f>
        <v>2268</v>
      </c>
      <c r="G9082" s="403">
        <f>C9082*E9082*9%</f>
        <v>2268</v>
      </c>
      <c r="H9082" s="62">
        <f>C9082*E9082+F9082+G9082</f>
        <v>29736</v>
      </c>
      <c r="I9082" s="362">
        <v>25200</v>
      </c>
    </row>
    <row r="9083" spans="1:9" ht="28.8" x14ac:dyDescent="0.3">
      <c r="A9083" s="57">
        <v>2</v>
      </c>
      <c r="B9083" s="113" t="s">
        <v>1571</v>
      </c>
      <c r="C9083" s="55">
        <v>1</v>
      </c>
      <c r="D9083" s="86">
        <v>998719</v>
      </c>
      <c r="E9083" s="55">
        <v>8000</v>
      </c>
      <c r="F9083" s="93">
        <f t="shared" ref="F9083:F9085" si="232">C9083*E9083*9%</f>
        <v>720</v>
      </c>
      <c r="G9083" s="93">
        <f t="shared" ref="G9083:G9085" si="233">C9083*E9083*9%</f>
        <v>720</v>
      </c>
      <c r="H9083" s="62">
        <f>C9083*E9083+F9083+G9083</f>
        <v>9440</v>
      </c>
      <c r="I9083" s="362">
        <f>C9083*E9083</f>
        <v>8000</v>
      </c>
    </row>
    <row r="9084" spans="1:9" x14ac:dyDescent="0.3">
      <c r="A9084" s="55">
        <v>3</v>
      </c>
      <c r="B9084" s="113" t="s">
        <v>1572</v>
      </c>
      <c r="C9084" s="55">
        <v>1</v>
      </c>
      <c r="D9084" s="86">
        <v>998719</v>
      </c>
      <c r="E9084" s="55">
        <v>17500</v>
      </c>
      <c r="F9084" s="58">
        <f t="shared" si="232"/>
        <v>1575</v>
      </c>
      <c r="G9084" s="58">
        <f t="shared" si="233"/>
        <v>1575</v>
      </c>
      <c r="H9084" s="59">
        <f t="shared" ref="H9084:H9085" si="234">C9084*E9084+F9084+G9084</f>
        <v>20650</v>
      </c>
      <c r="I9084" s="362">
        <f t="shared" ref="I9084:I9085" si="235">C9084*E9084</f>
        <v>17500</v>
      </c>
    </row>
    <row r="9085" spans="1:9" x14ac:dyDescent="0.3">
      <c r="A9085" s="90">
        <v>4</v>
      </c>
      <c r="B9085" s="113" t="s">
        <v>1573</v>
      </c>
      <c r="C9085" s="55">
        <v>30</v>
      </c>
      <c r="D9085" s="86">
        <v>27101985</v>
      </c>
      <c r="E9085" s="55">
        <v>140</v>
      </c>
      <c r="F9085" s="58">
        <f t="shared" si="232"/>
        <v>378</v>
      </c>
      <c r="G9085" s="58">
        <f t="shared" si="233"/>
        <v>378</v>
      </c>
      <c r="H9085" s="59">
        <f t="shared" si="234"/>
        <v>4956</v>
      </c>
      <c r="I9085" s="362">
        <f t="shared" si="235"/>
        <v>4200</v>
      </c>
    </row>
    <row r="9086" spans="1:9" x14ac:dyDescent="0.3">
      <c r="A9086" s="344"/>
      <c r="B9086" s="113"/>
      <c r="C9086" s="55"/>
      <c r="D9086" s="56"/>
      <c r="E9086" s="55"/>
      <c r="F9086" s="58"/>
      <c r="G9086" s="58"/>
      <c r="H9086" s="59"/>
    </row>
    <row r="9087" spans="1:9" x14ac:dyDescent="0.3">
      <c r="A9087" s="90"/>
      <c r="B9087" s="132"/>
      <c r="C9087" s="24"/>
      <c r="D9087" s="164"/>
      <c r="E9087" s="24"/>
      <c r="F9087" s="165"/>
      <c r="G9087" s="165"/>
      <c r="H9087" s="166"/>
    </row>
    <row r="9088" spans="1:9" x14ac:dyDescent="0.3">
      <c r="A9088" s="27"/>
      <c r="B9088" s="132"/>
      <c r="C9088" s="24"/>
      <c r="D9088" s="25"/>
      <c r="E9088" s="25"/>
      <c r="F9088" s="165"/>
      <c r="G9088" s="165"/>
      <c r="H9088" s="166"/>
    </row>
    <row r="9089" spans="1:8" x14ac:dyDescent="0.3">
      <c r="A9089" s="27"/>
      <c r="B9089" s="28"/>
      <c r="C9089" s="24"/>
      <c r="D9089" s="25"/>
      <c r="E9089" s="25"/>
      <c r="F9089" s="165"/>
      <c r="G9089" s="165"/>
      <c r="H9089" s="166"/>
    </row>
    <row r="9090" spans="1:8" x14ac:dyDescent="0.3">
      <c r="A9090" s="27"/>
      <c r="B9090" s="28"/>
      <c r="C9090" s="24"/>
      <c r="D9090" s="25"/>
      <c r="E9090" s="25"/>
      <c r="F9090" s="165"/>
      <c r="G9090" s="165"/>
      <c r="H9090" s="166"/>
    </row>
    <row r="9091" spans="1:8" x14ac:dyDescent="0.3">
      <c r="A9091" s="27"/>
      <c r="B9091" s="28"/>
      <c r="C9091" s="24"/>
      <c r="D9091" s="25"/>
      <c r="E9091" s="25"/>
      <c r="F9091" s="28"/>
      <c r="G9091" s="28"/>
      <c r="H9091" s="32"/>
    </row>
    <row r="9092" spans="1:8" x14ac:dyDescent="0.3">
      <c r="A9092" s="27"/>
      <c r="B9092" s="28"/>
      <c r="C9092" s="24"/>
      <c r="D9092" s="25"/>
      <c r="E9092" s="25"/>
      <c r="F9092" s="28"/>
      <c r="G9092" s="28"/>
      <c r="H9092" s="32"/>
    </row>
    <row r="9093" spans="1:8" x14ac:dyDescent="0.3">
      <c r="A9093" s="27"/>
      <c r="B9093" s="28"/>
      <c r="C9093" s="24"/>
      <c r="D9093" s="25"/>
      <c r="E9093" s="25"/>
      <c r="F9093" s="28"/>
      <c r="G9093" s="28"/>
      <c r="H9093" s="32"/>
    </row>
    <row r="9094" spans="1:8" x14ac:dyDescent="0.3">
      <c r="A9094" s="27"/>
      <c r="B9094" s="28"/>
      <c r="C9094" s="24"/>
      <c r="D9094" s="25"/>
      <c r="E9094" s="25"/>
      <c r="F9094" s="28"/>
      <c r="G9094" s="28"/>
      <c r="H9094" s="32"/>
    </row>
    <row r="9095" spans="1:8" x14ac:dyDescent="0.3">
      <c r="A9095" s="27"/>
      <c r="B9095" s="28"/>
      <c r="C9095" s="24"/>
      <c r="D9095" s="25"/>
      <c r="E9095" s="25"/>
      <c r="F9095" s="28"/>
      <c r="G9095" s="28"/>
      <c r="H9095" s="32"/>
    </row>
    <row r="9096" spans="1:8" x14ac:dyDescent="0.3">
      <c r="A9096" s="27"/>
      <c r="B9096" s="28"/>
      <c r="C9096" s="24"/>
      <c r="D9096" s="25"/>
      <c r="E9096" s="25"/>
      <c r="F9096" s="28"/>
      <c r="G9096" s="28"/>
      <c r="H9096" s="32"/>
    </row>
    <row r="9097" spans="1:8" x14ac:dyDescent="0.3">
      <c r="A9097" s="27"/>
      <c r="B9097" s="28"/>
      <c r="C9097" s="24"/>
      <c r="D9097" s="25"/>
      <c r="E9097" s="25"/>
      <c r="F9097" s="28"/>
      <c r="G9097" s="28"/>
      <c r="H9097" s="32"/>
    </row>
    <row r="9098" spans="1:8" x14ac:dyDescent="0.3">
      <c r="A9098" s="27"/>
      <c r="B9098" s="28"/>
      <c r="C9098" s="24"/>
      <c r="D9098" s="25"/>
      <c r="E9098" s="25"/>
      <c r="F9098" s="28"/>
      <c r="G9098" s="28"/>
      <c r="H9098" s="32"/>
    </row>
    <row r="9099" spans="1:8" x14ac:dyDescent="0.3">
      <c r="A9099" s="27"/>
      <c r="B9099" s="28"/>
      <c r="C9099" s="24"/>
      <c r="D9099" s="25"/>
      <c r="E9099" s="25"/>
      <c r="F9099" s="28"/>
      <c r="G9099" s="28"/>
      <c r="H9099" s="32"/>
    </row>
    <row r="9100" spans="1:8" x14ac:dyDescent="0.3">
      <c r="A9100" s="27"/>
      <c r="B9100" s="28"/>
      <c r="C9100" s="24"/>
      <c r="D9100" s="25"/>
      <c r="E9100" s="25"/>
      <c r="F9100" s="28"/>
      <c r="G9100" s="28"/>
      <c r="H9100" s="32"/>
    </row>
    <row r="9101" spans="1:8" x14ac:dyDescent="0.3">
      <c r="A9101" s="27"/>
      <c r="B9101" s="28"/>
      <c r="C9101" s="24"/>
      <c r="D9101" s="25"/>
      <c r="E9101" s="25"/>
      <c r="F9101" s="28"/>
      <c r="G9101" s="28"/>
      <c r="H9101" s="32"/>
    </row>
    <row r="9102" spans="1:8" ht="15.6" x14ac:dyDescent="0.3">
      <c r="A9102" s="448" t="s">
        <v>45</v>
      </c>
      <c r="B9102" s="449"/>
      <c r="C9102" s="449"/>
      <c r="D9102" s="25"/>
      <c r="E9102" s="25"/>
      <c r="F9102" s="447" t="s">
        <v>46</v>
      </c>
      <c r="G9102" s="447"/>
      <c r="H9102" s="66">
        <v>54900</v>
      </c>
    </row>
    <row r="9103" spans="1:8" ht="15.6" x14ac:dyDescent="0.3">
      <c r="A9103" s="497" t="s">
        <v>1574</v>
      </c>
      <c r="B9103" s="498"/>
      <c r="C9103" s="498"/>
      <c r="D9103" s="498"/>
      <c r="E9103" s="498"/>
      <c r="F9103" s="447" t="s">
        <v>47</v>
      </c>
      <c r="G9103" s="447"/>
      <c r="H9103" s="66">
        <f>H9102*9%</f>
        <v>4941</v>
      </c>
    </row>
    <row r="9104" spans="1:8" ht="15.6" x14ac:dyDescent="0.3">
      <c r="A9104" s="27"/>
      <c r="B9104" s="28"/>
      <c r="C9104" s="24"/>
      <c r="D9104" s="25"/>
      <c r="E9104" s="25"/>
      <c r="F9104" s="447" t="s">
        <v>48</v>
      </c>
      <c r="G9104" s="447"/>
      <c r="H9104" s="66">
        <f>H9102*9%</f>
        <v>4941</v>
      </c>
    </row>
    <row r="9105" spans="1:8" ht="15.6" x14ac:dyDescent="0.3">
      <c r="A9105" s="448" t="s">
        <v>49</v>
      </c>
      <c r="B9105" s="449"/>
      <c r="C9105" s="449"/>
      <c r="D9105" s="449"/>
      <c r="E9105" s="25"/>
      <c r="F9105" s="447" t="s">
        <v>50</v>
      </c>
      <c r="G9105" s="447"/>
      <c r="H9105" s="66">
        <f>SUM(H9102:H9104)</f>
        <v>64782</v>
      </c>
    </row>
    <row r="9106" spans="1:8" ht="27" x14ac:dyDescent="0.3">
      <c r="A9106" s="68" t="s">
        <v>22</v>
      </c>
      <c r="B9106" s="69" t="s">
        <v>51</v>
      </c>
      <c r="C9106" s="70" t="s">
        <v>546</v>
      </c>
      <c r="D9106" s="31" t="s">
        <v>25</v>
      </c>
      <c r="E9106" s="450" t="s">
        <v>52</v>
      </c>
      <c r="F9106" s="450"/>
      <c r="G9106" s="28"/>
      <c r="H9106" s="32"/>
    </row>
    <row r="9107" spans="1:8" x14ac:dyDescent="0.3">
      <c r="A9107" s="72">
        <v>0.18</v>
      </c>
      <c r="B9107" s="73">
        <f>H9102</f>
        <v>54900</v>
      </c>
      <c r="C9107" s="74">
        <f>H9103</f>
        <v>4941</v>
      </c>
      <c r="D9107" s="74">
        <f>H9104</f>
        <v>4941</v>
      </c>
      <c r="E9107" s="507">
        <f>C9107+D9107</f>
        <v>9882</v>
      </c>
      <c r="F9107" s="507"/>
      <c r="G9107" s="74"/>
      <c r="H9107" s="75"/>
    </row>
    <row r="9108" spans="1:8" x14ac:dyDescent="0.3">
      <c r="A9108" s="452" t="s">
        <v>1612</v>
      </c>
      <c r="B9108" s="453"/>
      <c r="C9108" s="453"/>
      <c r="D9108" s="453"/>
      <c r="E9108" s="453"/>
      <c r="F9108" s="453"/>
      <c r="G9108" s="453"/>
      <c r="H9108" s="454"/>
    </row>
    <row r="9109" spans="1:8" ht="15.6" x14ac:dyDescent="0.3">
      <c r="A9109" s="455" t="s">
        <v>53</v>
      </c>
      <c r="B9109" s="456"/>
      <c r="C9109" s="456"/>
      <c r="D9109" s="457"/>
      <c r="E9109" s="458" t="s">
        <v>54</v>
      </c>
      <c r="F9109" s="459"/>
      <c r="G9109" s="459"/>
      <c r="H9109" s="460"/>
    </row>
    <row r="9110" spans="1:8" x14ac:dyDescent="0.3">
      <c r="A9110" s="461" t="s">
        <v>55</v>
      </c>
      <c r="B9110" s="462"/>
      <c r="C9110" s="462"/>
      <c r="D9110" s="463"/>
      <c r="E9110" s="39"/>
      <c r="F9110" s="28"/>
      <c r="G9110" s="28"/>
      <c r="H9110" s="32"/>
    </row>
    <row r="9111" spans="1:8" x14ac:dyDescent="0.3">
      <c r="A9111" s="461" t="s">
        <v>56</v>
      </c>
      <c r="B9111" s="462"/>
      <c r="C9111" s="462"/>
      <c r="D9111" s="463"/>
      <c r="E9111" s="39"/>
      <c r="F9111" s="28"/>
      <c r="G9111" s="28"/>
      <c r="H9111" s="32"/>
    </row>
    <row r="9112" spans="1:8" x14ac:dyDescent="0.3">
      <c r="A9112" s="461" t="s">
        <v>57</v>
      </c>
      <c r="B9112" s="462"/>
      <c r="C9112" s="462"/>
      <c r="D9112" s="463"/>
      <c r="E9112" s="167"/>
      <c r="H9112" s="168"/>
    </row>
    <row r="9113" spans="1:8" ht="15.6" x14ac:dyDescent="0.3">
      <c r="A9113" s="464" t="s">
        <v>58</v>
      </c>
      <c r="B9113" s="465"/>
      <c r="C9113" s="465"/>
      <c r="D9113" s="510"/>
      <c r="E9113" s="466" t="s">
        <v>59</v>
      </c>
      <c r="F9113" s="467"/>
      <c r="G9113" s="467"/>
      <c r="H9113" s="468"/>
    </row>
    <row r="9118" spans="1:8" ht="44.4" x14ac:dyDescent="0.7">
      <c r="A9118" s="469" t="s">
        <v>0</v>
      </c>
      <c r="B9118" s="470"/>
      <c r="C9118" s="470"/>
      <c r="D9118" s="470"/>
      <c r="E9118" s="531" t="s">
        <v>92</v>
      </c>
      <c r="F9118" s="544"/>
      <c r="G9118" s="544"/>
      <c r="H9118" s="545"/>
    </row>
    <row r="9119" spans="1:8" ht="20.399999999999999" x14ac:dyDescent="0.35">
      <c r="A9119" s="1"/>
      <c r="B9119" s="476" t="s">
        <v>2</v>
      </c>
      <c r="C9119" s="476"/>
      <c r="D9119" s="476"/>
      <c r="E9119" s="546"/>
      <c r="F9119" s="546"/>
      <c r="G9119" s="546"/>
      <c r="H9119" s="547"/>
    </row>
    <row r="9120" spans="1:8" x14ac:dyDescent="0.3">
      <c r="A9120" s="477" t="s">
        <v>3</v>
      </c>
      <c r="B9120" s="478"/>
      <c r="C9120" s="479" t="s">
        <v>4</v>
      </c>
      <c r="D9120" s="479"/>
      <c r="E9120" s="548" t="s">
        <v>5</v>
      </c>
      <c r="F9120" s="549"/>
      <c r="G9120" s="549"/>
      <c r="H9120" s="550"/>
    </row>
    <row r="9121" spans="1:8" ht="15.6" x14ac:dyDescent="0.3">
      <c r="A9121" s="138" t="s">
        <v>6</v>
      </c>
      <c r="B9121" s="5"/>
      <c r="C9121" s="481" t="s">
        <v>7</v>
      </c>
      <c r="D9121" s="481"/>
      <c r="E9121" s="482">
        <v>198</v>
      </c>
      <c r="F9121" s="482"/>
      <c r="G9121" s="7" t="s">
        <v>8</v>
      </c>
      <c r="H9121" s="8" t="s">
        <v>1568</v>
      </c>
    </row>
    <row r="9122" spans="1:8" ht="15.6" x14ac:dyDescent="0.3">
      <c r="A9122" s="556" t="s">
        <v>1614</v>
      </c>
      <c r="B9122" s="557"/>
      <c r="C9122" s="481" t="s">
        <v>10</v>
      </c>
      <c r="D9122" s="481"/>
      <c r="E9122" s="482"/>
      <c r="F9122" s="482"/>
      <c r="G9122" s="7" t="s">
        <v>8</v>
      </c>
      <c r="H9122" s="6"/>
    </row>
    <row r="9123" spans="1:8" ht="15.6" x14ac:dyDescent="0.3">
      <c r="A9123" s="577" t="s">
        <v>1618</v>
      </c>
      <c r="B9123" s="578"/>
      <c r="C9123" s="481" t="s">
        <v>12</v>
      </c>
      <c r="D9123" s="481"/>
      <c r="E9123" s="482"/>
      <c r="F9123" s="482"/>
      <c r="G9123" s="7" t="s">
        <v>8</v>
      </c>
      <c r="H9123" s="8"/>
    </row>
    <row r="9124" spans="1:8" ht="15.6" x14ac:dyDescent="0.3">
      <c r="A9124" s="556"/>
      <c r="B9124" s="557"/>
      <c r="C9124" s="481" t="s">
        <v>15</v>
      </c>
      <c r="D9124" s="481"/>
      <c r="E9124" s="566"/>
      <c r="F9124" s="567"/>
      <c r="G9124" s="567"/>
      <c r="H9124" s="568"/>
    </row>
    <row r="9125" spans="1:8" ht="15.6" x14ac:dyDescent="0.3">
      <c r="A9125" s="558" t="s">
        <v>1575</v>
      </c>
      <c r="B9125" s="559"/>
      <c r="C9125" s="569"/>
      <c r="D9125" s="570"/>
      <c r="E9125" s="570"/>
      <c r="F9125" s="570"/>
      <c r="G9125" s="570"/>
      <c r="H9125" s="571"/>
    </row>
    <row r="9126" spans="1:8" ht="15" x14ac:dyDescent="0.3">
      <c r="A9126" s="492" t="s">
        <v>17</v>
      </c>
      <c r="B9126" s="494" t="s">
        <v>18</v>
      </c>
      <c r="C9126" s="494" t="s">
        <v>19</v>
      </c>
      <c r="D9126" s="494" t="s">
        <v>20</v>
      </c>
      <c r="E9126" s="494" t="s">
        <v>21</v>
      </c>
      <c r="F9126" s="494" t="s">
        <v>22</v>
      </c>
      <c r="G9126" s="494"/>
      <c r="H9126" s="492" t="s">
        <v>23</v>
      </c>
    </row>
    <row r="9127" spans="1:8" ht="27.6" x14ac:dyDescent="0.3">
      <c r="A9127" s="492"/>
      <c r="B9127" s="494"/>
      <c r="C9127" s="494"/>
      <c r="D9127" s="494"/>
      <c r="E9127" s="494"/>
      <c r="F9127" s="53" t="s">
        <v>24</v>
      </c>
      <c r="G9127" s="53" t="s">
        <v>25</v>
      </c>
      <c r="H9127" s="492"/>
    </row>
    <row r="9128" spans="1:8" ht="28.8" x14ac:dyDescent="0.3">
      <c r="A9128" s="57">
        <v>1</v>
      </c>
      <c r="B9128" s="113" t="s">
        <v>1576</v>
      </c>
      <c r="C9128" s="55">
        <v>1</v>
      </c>
      <c r="D9128" s="86">
        <v>85389000</v>
      </c>
      <c r="E9128" s="55">
        <v>18500</v>
      </c>
      <c r="F9128" s="93">
        <f>C9128*E9128*9%</f>
        <v>1665</v>
      </c>
      <c r="G9128" s="93">
        <f>C9128*E9128*9%</f>
        <v>1665</v>
      </c>
      <c r="H9128" s="62">
        <v>25200</v>
      </c>
    </row>
    <row r="9129" spans="1:8" x14ac:dyDescent="0.3">
      <c r="A9129" s="57">
        <v>2</v>
      </c>
      <c r="B9129" s="113" t="s">
        <v>1577</v>
      </c>
      <c r="C9129" s="55">
        <v>1</v>
      </c>
      <c r="D9129" s="86">
        <v>998719</v>
      </c>
      <c r="E9129" s="55">
        <v>1200</v>
      </c>
      <c r="F9129" s="93">
        <f t="shared" ref="F9129" si="236">C9129*E9129*9%</f>
        <v>108</v>
      </c>
      <c r="G9129" s="93">
        <f t="shared" ref="G9129" si="237">C9129*E9129*9%</f>
        <v>108</v>
      </c>
      <c r="H9129" s="62">
        <f t="shared" ref="H9129" si="238">C9129*E9129+F9129+G9129</f>
        <v>1416</v>
      </c>
    </row>
    <row r="9130" spans="1:8" x14ac:dyDescent="0.3">
      <c r="A9130" s="55"/>
      <c r="B9130" s="113"/>
      <c r="C9130" s="55"/>
      <c r="D9130" s="86"/>
      <c r="E9130" s="55"/>
      <c r="F9130" s="58"/>
      <c r="G9130" s="58"/>
      <c r="H9130" s="59"/>
    </row>
    <row r="9131" spans="1:8" x14ac:dyDescent="0.3">
      <c r="A9131" s="90"/>
      <c r="B9131" s="113"/>
      <c r="C9131" s="55"/>
      <c r="D9131" s="56"/>
      <c r="E9131" s="55"/>
      <c r="F9131" s="58"/>
      <c r="G9131" s="58"/>
      <c r="H9131" s="59"/>
    </row>
    <row r="9132" spans="1:8" x14ac:dyDescent="0.3">
      <c r="A9132" s="344"/>
      <c r="B9132" s="113"/>
      <c r="C9132" s="55"/>
      <c r="D9132" s="56"/>
      <c r="E9132" s="55"/>
      <c r="F9132" s="58"/>
      <c r="G9132" s="58"/>
      <c r="H9132" s="59"/>
    </row>
    <row r="9133" spans="1:8" x14ac:dyDescent="0.3">
      <c r="A9133" s="90"/>
      <c r="B9133" s="132"/>
      <c r="C9133" s="24"/>
      <c r="D9133" s="164"/>
      <c r="E9133" s="24"/>
      <c r="F9133" s="165"/>
      <c r="G9133" s="165"/>
      <c r="H9133" s="166"/>
    </row>
    <row r="9134" spans="1:8" x14ac:dyDescent="0.3">
      <c r="A9134" s="27"/>
      <c r="B9134" s="132"/>
      <c r="C9134" s="24"/>
      <c r="D9134" s="25"/>
      <c r="E9134" s="25"/>
      <c r="F9134" s="165"/>
      <c r="G9134" s="165"/>
      <c r="H9134" s="166"/>
    </row>
    <row r="9135" spans="1:8" x14ac:dyDescent="0.3">
      <c r="A9135" s="27"/>
      <c r="B9135" s="28"/>
      <c r="C9135" s="24"/>
      <c r="D9135" s="25"/>
      <c r="E9135" s="25"/>
      <c r="F9135" s="165"/>
      <c r="G9135" s="165"/>
      <c r="H9135" s="166"/>
    </row>
    <row r="9136" spans="1:8" x14ac:dyDescent="0.3">
      <c r="A9136" s="27"/>
      <c r="B9136" s="28"/>
      <c r="C9136" s="24"/>
      <c r="D9136" s="25"/>
      <c r="E9136" s="25"/>
      <c r="F9136" s="165"/>
      <c r="G9136" s="165"/>
      <c r="H9136" s="166"/>
    </row>
    <row r="9137" spans="1:8" x14ac:dyDescent="0.3">
      <c r="A9137" s="27"/>
      <c r="B9137" s="28"/>
      <c r="C9137" s="24"/>
      <c r="D9137" s="25"/>
      <c r="E9137" s="25"/>
      <c r="F9137" s="28"/>
      <c r="G9137" s="28"/>
      <c r="H9137" s="32"/>
    </row>
    <row r="9138" spans="1:8" x14ac:dyDescent="0.3">
      <c r="A9138" s="27"/>
      <c r="B9138" s="28"/>
      <c r="C9138" s="24"/>
      <c r="D9138" s="25"/>
      <c r="E9138" s="25"/>
      <c r="F9138" s="28"/>
      <c r="G9138" s="28"/>
      <c r="H9138" s="32"/>
    </row>
    <row r="9139" spans="1:8" x14ac:dyDescent="0.3">
      <c r="A9139" s="27"/>
      <c r="B9139" s="28"/>
      <c r="C9139" s="24"/>
      <c r="D9139" s="25"/>
      <c r="E9139" s="25"/>
      <c r="F9139" s="28"/>
      <c r="G9139" s="28"/>
      <c r="H9139" s="32"/>
    </row>
    <row r="9140" spans="1:8" x14ac:dyDescent="0.3">
      <c r="A9140" s="27"/>
      <c r="B9140" s="28"/>
      <c r="C9140" s="24"/>
      <c r="D9140" s="25"/>
      <c r="E9140" s="25"/>
      <c r="F9140" s="28"/>
      <c r="G9140" s="28"/>
      <c r="H9140" s="32"/>
    </row>
    <row r="9141" spans="1:8" x14ac:dyDescent="0.3">
      <c r="A9141" s="27"/>
      <c r="B9141" s="28"/>
      <c r="C9141" s="24"/>
      <c r="D9141" s="25"/>
      <c r="E9141" s="25"/>
      <c r="F9141" s="28"/>
      <c r="G9141" s="28"/>
      <c r="H9141" s="32"/>
    </row>
    <row r="9142" spans="1:8" x14ac:dyDescent="0.3">
      <c r="A9142" s="27"/>
      <c r="B9142" s="28"/>
      <c r="C9142" s="24"/>
      <c r="D9142" s="25"/>
      <c r="E9142" s="25"/>
      <c r="F9142" s="28"/>
      <c r="G9142" s="28"/>
      <c r="H9142" s="32"/>
    </row>
    <row r="9143" spans="1:8" x14ac:dyDescent="0.3">
      <c r="A9143" s="27"/>
      <c r="B9143" s="28"/>
      <c r="C9143" s="24"/>
      <c r="D9143" s="25"/>
      <c r="E9143" s="25"/>
      <c r="F9143" s="28"/>
      <c r="G9143" s="28"/>
      <c r="H9143" s="32"/>
    </row>
    <row r="9144" spans="1:8" x14ac:dyDescent="0.3">
      <c r="A9144" s="27"/>
      <c r="B9144" s="28"/>
      <c r="C9144" s="24"/>
      <c r="D9144" s="25"/>
      <c r="E9144" s="25"/>
      <c r="F9144" s="28"/>
      <c r="G9144" s="28"/>
      <c r="H9144" s="32"/>
    </row>
    <row r="9145" spans="1:8" x14ac:dyDescent="0.3">
      <c r="A9145" s="27"/>
      <c r="B9145" s="28"/>
      <c r="C9145" s="24"/>
      <c r="D9145" s="25"/>
      <c r="E9145" s="25"/>
      <c r="F9145" s="28"/>
      <c r="G9145" s="28"/>
      <c r="H9145" s="32"/>
    </row>
    <row r="9146" spans="1:8" x14ac:dyDescent="0.3">
      <c r="A9146" s="27"/>
      <c r="B9146" s="28"/>
      <c r="C9146" s="24"/>
      <c r="D9146" s="25"/>
      <c r="E9146" s="25"/>
      <c r="F9146" s="28"/>
      <c r="G9146" s="28"/>
      <c r="H9146" s="32"/>
    </row>
    <row r="9147" spans="1:8" x14ac:dyDescent="0.3">
      <c r="A9147" s="27"/>
      <c r="B9147" s="28"/>
      <c r="C9147" s="24"/>
      <c r="D9147" s="25"/>
      <c r="E9147" s="25"/>
      <c r="F9147" s="28"/>
      <c r="G9147" s="28"/>
      <c r="H9147" s="32"/>
    </row>
    <row r="9148" spans="1:8" ht="15.6" x14ac:dyDescent="0.3">
      <c r="A9148" s="448" t="s">
        <v>45</v>
      </c>
      <c r="B9148" s="449"/>
      <c r="C9148" s="449"/>
      <c r="D9148" s="25"/>
      <c r="E9148" s="25"/>
      <c r="F9148" s="447" t="s">
        <v>46</v>
      </c>
      <c r="G9148" s="447"/>
      <c r="H9148" s="66">
        <f>C9128*E9128+C9129*E9129</f>
        <v>19700</v>
      </c>
    </row>
    <row r="9149" spans="1:8" ht="15.6" x14ac:dyDescent="0.3">
      <c r="A9149" s="497" t="s">
        <v>1578</v>
      </c>
      <c r="B9149" s="498"/>
      <c r="C9149" s="498"/>
      <c r="D9149" s="498"/>
      <c r="E9149" s="498"/>
      <c r="F9149" s="447" t="s">
        <v>47</v>
      </c>
      <c r="G9149" s="447"/>
      <c r="H9149" s="66">
        <f>H9148*9%</f>
        <v>1773</v>
      </c>
    </row>
    <row r="9150" spans="1:8" ht="15.6" x14ac:dyDescent="0.3">
      <c r="A9150" s="27"/>
      <c r="B9150" s="28"/>
      <c r="C9150" s="24"/>
      <c r="D9150" s="25"/>
      <c r="E9150" s="25"/>
      <c r="F9150" s="447" t="s">
        <v>48</v>
      </c>
      <c r="G9150" s="447"/>
      <c r="H9150" s="66">
        <f>H9148*9%</f>
        <v>1773</v>
      </c>
    </row>
    <row r="9151" spans="1:8" ht="15.6" x14ac:dyDescent="0.3">
      <c r="A9151" s="448" t="s">
        <v>49</v>
      </c>
      <c r="B9151" s="449"/>
      <c r="C9151" s="449"/>
      <c r="D9151" s="449"/>
      <c r="E9151" s="25"/>
      <c r="F9151" s="447" t="s">
        <v>50</v>
      </c>
      <c r="G9151" s="447"/>
      <c r="H9151" s="66">
        <f>SUM(H9148:H9150)</f>
        <v>23246</v>
      </c>
    </row>
    <row r="9152" spans="1:8" ht="27" x14ac:dyDescent="0.3">
      <c r="A9152" s="68" t="s">
        <v>22</v>
      </c>
      <c r="B9152" s="69" t="s">
        <v>51</v>
      </c>
      <c r="C9152" s="70" t="s">
        <v>24</v>
      </c>
      <c r="D9152" s="31" t="s">
        <v>25</v>
      </c>
      <c r="E9152" s="450" t="s">
        <v>52</v>
      </c>
      <c r="F9152" s="450"/>
      <c r="G9152" s="28"/>
      <c r="H9152" s="32"/>
    </row>
    <row r="9153" spans="1:8" x14ac:dyDescent="0.3">
      <c r="A9153" s="72">
        <v>0.18</v>
      </c>
      <c r="B9153" s="73">
        <f>H9148</f>
        <v>19700</v>
      </c>
      <c r="C9153" s="74">
        <f>H9149</f>
        <v>1773</v>
      </c>
      <c r="D9153" s="74">
        <f>H9150</f>
        <v>1773</v>
      </c>
      <c r="E9153" s="507">
        <f>C9153+D9153</f>
        <v>3546</v>
      </c>
      <c r="F9153" s="507"/>
      <c r="G9153" s="74"/>
      <c r="H9153" s="75"/>
    </row>
    <row r="9154" spans="1:8" x14ac:dyDescent="0.3">
      <c r="A9154" s="452" t="s">
        <v>1579</v>
      </c>
      <c r="B9154" s="453"/>
      <c r="C9154" s="453"/>
      <c r="D9154" s="453"/>
      <c r="E9154" s="453"/>
      <c r="F9154" s="453"/>
      <c r="G9154" s="453"/>
      <c r="H9154" s="454"/>
    </row>
    <row r="9155" spans="1:8" ht="15.6" x14ac:dyDescent="0.3">
      <c r="A9155" s="455" t="s">
        <v>53</v>
      </c>
      <c r="B9155" s="456"/>
      <c r="C9155" s="456"/>
      <c r="D9155" s="457"/>
      <c r="E9155" s="458" t="s">
        <v>54</v>
      </c>
      <c r="F9155" s="459"/>
      <c r="G9155" s="459"/>
      <c r="H9155" s="460"/>
    </row>
    <row r="9156" spans="1:8" x14ac:dyDescent="0.3">
      <c r="A9156" s="461" t="s">
        <v>55</v>
      </c>
      <c r="B9156" s="462"/>
      <c r="C9156" s="462"/>
      <c r="D9156" s="463"/>
      <c r="E9156" s="39"/>
      <c r="F9156" s="28"/>
      <c r="G9156" s="28"/>
      <c r="H9156" s="32"/>
    </row>
    <row r="9157" spans="1:8" x14ac:dyDescent="0.3">
      <c r="A9157" s="461" t="s">
        <v>56</v>
      </c>
      <c r="B9157" s="462"/>
      <c r="C9157" s="462"/>
      <c r="D9157" s="463"/>
      <c r="E9157" s="39"/>
      <c r="F9157" s="28"/>
      <c r="G9157" s="28"/>
      <c r="H9157" s="32"/>
    </row>
    <row r="9158" spans="1:8" x14ac:dyDescent="0.3">
      <c r="A9158" s="461" t="s">
        <v>57</v>
      </c>
      <c r="B9158" s="462"/>
      <c r="C9158" s="462"/>
      <c r="D9158" s="463"/>
      <c r="E9158" s="167"/>
      <c r="H9158" s="168"/>
    </row>
    <row r="9159" spans="1:8" ht="15.6" x14ac:dyDescent="0.3">
      <c r="A9159" s="464" t="s">
        <v>58</v>
      </c>
      <c r="B9159" s="465"/>
      <c r="C9159" s="465"/>
      <c r="D9159" s="510"/>
      <c r="E9159" s="466" t="s">
        <v>59</v>
      </c>
      <c r="F9159" s="467"/>
      <c r="G9159" s="467"/>
      <c r="H9159" s="468"/>
    </row>
    <row r="9164" spans="1:8" ht="44.4" x14ac:dyDescent="0.7">
      <c r="A9164" s="469" t="s">
        <v>0</v>
      </c>
      <c r="B9164" s="470"/>
      <c r="C9164" s="470"/>
      <c r="D9164" s="470"/>
      <c r="E9164" s="471" t="s">
        <v>1</v>
      </c>
      <c r="F9164" s="472"/>
      <c r="G9164" s="472"/>
      <c r="H9164" s="473"/>
    </row>
    <row r="9165" spans="1:8" ht="20.399999999999999" x14ac:dyDescent="0.35">
      <c r="A9165" s="1"/>
      <c r="B9165" s="476" t="s">
        <v>2</v>
      </c>
      <c r="C9165" s="476"/>
      <c r="D9165" s="476"/>
      <c r="E9165" s="474"/>
      <c r="F9165" s="474"/>
      <c r="G9165" s="474"/>
      <c r="H9165" s="475"/>
    </row>
    <row r="9166" spans="1:8" x14ac:dyDescent="0.3">
      <c r="A9166" s="477" t="s">
        <v>3</v>
      </c>
      <c r="B9166" s="478"/>
      <c r="C9166" s="479" t="s">
        <v>4</v>
      </c>
      <c r="D9166" s="479"/>
      <c r="E9166" s="480" t="s">
        <v>5</v>
      </c>
      <c r="F9166" s="480"/>
      <c r="G9166" s="480"/>
      <c r="H9166" s="480"/>
    </row>
    <row r="9167" spans="1:8" ht="15.6" x14ac:dyDescent="0.3">
      <c r="A9167" s="4" t="s">
        <v>6</v>
      </c>
      <c r="B9167" s="5"/>
      <c r="C9167" s="481" t="s">
        <v>7</v>
      </c>
      <c r="D9167" s="481"/>
      <c r="E9167" s="482">
        <v>199</v>
      </c>
      <c r="F9167" s="482"/>
      <c r="G9167" s="7" t="s">
        <v>8</v>
      </c>
      <c r="H9167" s="250" t="s">
        <v>1555</v>
      </c>
    </row>
    <row r="9168" spans="1:8" ht="15.6" x14ac:dyDescent="0.3">
      <c r="A9168" s="551" t="s">
        <v>458</v>
      </c>
      <c r="B9168" s="552"/>
      <c r="C9168" s="481" t="s">
        <v>10</v>
      </c>
      <c r="D9168" s="481"/>
      <c r="E9168" s="482">
        <v>6</v>
      </c>
      <c r="F9168" s="482"/>
      <c r="G9168" s="7" t="s">
        <v>8</v>
      </c>
      <c r="H9168" s="250" t="s">
        <v>1582</v>
      </c>
    </row>
    <row r="9169" spans="1:9" ht="27.75" customHeight="1" x14ac:dyDescent="0.3">
      <c r="A9169" s="560" t="s">
        <v>459</v>
      </c>
      <c r="B9169" s="561"/>
      <c r="C9169" s="483" t="s">
        <v>12</v>
      </c>
      <c r="D9169" s="484"/>
      <c r="E9169" s="562" t="s">
        <v>466</v>
      </c>
      <c r="F9169" s="563"/>
      <c r="G9169" s="400" t="s">
        <v>8</v>
      </c>
      <c r="H9169" s="401" t="s">
        <v>465</v>
      </c>
    </row>
    <row r="9170" spans="1:9" ht="15.6" x14ac:dyDescent="0.3">
      <c r="A9170" s="253" t="s">
        <v>460</v>
      </c>
      <c r="B9170" s="254"/>
      <c r="C9170" s="481" t="s">
        <v>15</v>
      </c>
      <c r="D9170" s="481"/>
      <c r="E9170" s="489" t="s">
        <v>461</v>
      </c>
      <c r="F9170" s="490"/>
      <c r="G9170" s="490"/>
      <c r="H9170" s="491"/>
    </row>
    <row r="9171" spans="1:9" ht="15.6" x14ac:dyDescent="0.3">
      <c r="A9171" s="255" t="s">
        <v>1583</v>
      </c>
      <c r="B9171" s="256"/>
      <c r="C9171" s="489"/>
      <c r="D9171" s="490"/>
      <c r="E9171" s="490"/>
      <c r="F9171" s="490"/>
      <c r="G9171" s="490"/>
      <c r="H9171" s="491"/>
    </row>
    <row r="9172" spans="1:9" ht="15" x14ac:dyDescent="0.3">
      <c r="A9172" s="492" t="s">
        <v>17</v>
      </c>
      <c r="B9172" s="494" t="s">
        <v>18</v>
      </c>
      <c r="C9172" s="494" t="s">
        <v>19</v>
      </c>
      <c r="D9172" s="495" t="s">
        <v>20</v>
      </c>
      <c r="E9172" s="494" t="s">
        <v>21</v>
      </c>
      <c r="F9172" s="494" t="s">
        <v>22</v>
      </c>
      <c r="G9172" s="494"/>
      <c r="H9172" s="492" t="s">
        <v>23</v>
      </c>
    </row>
    <row r="9173" spans="1:9" ht="27.6" x14ac:dyDescent="0.3">
      <c r="A9173" s="492"/>
      <c r="B9173" s="494"/>
      <c r="C9173" s="494"/>
      <c r="D9173" s="505"/>
      <c r="E9173" s="494"/>
      <c r="F9173" s="53" t="s">
        <v>24</v>
      </c>
      <c r="G9173" s="53" t="s">
        <v>25</v>
      </c>
      <c r="H9173" s="492"/>
    </row>
    <row r="9174" spans="1:9" x14ac:dyDescent="0.3">
      <c r="A9174" s="55">
        <v>1</v>
      </c>
      <c r="B9174" s="84" t="s">
        <v>1557</v>
      </c>
      <c r="C9174" s="55">
        <v>3</v>
      </c>
      <c r="D9174" s="86">
        <v>998719</v>
      </c>
      <c r="E9174" s="55">
        <v>2500</v>
      </c>
      <c r="F9174" s="55">
        <f>E9174*C9174*9%</f>
        <v>675</v>
      </c>
      <c r="G9174" s="55">
        <f>F9174</f>
        <v>675</v>
      </c>
      <c r="H9174" s="55">
        <f>G9174+F9174+E9174*C9174</f>
        <v>8850</v>
      </c>
      <c r="I9174" s="362">
        <f>E9174*C9174</f>
        <v>7500</v>
      </c>
    </row>
    <row r="9175" spans="1:9" x14ac:dyDescent="0.3">
      <c r="A9175" s="55">
        <v>2</v>
      </c>
      <c r="B9175" s="84" t="s">
        <v>1584</v>
      </c>
      <c r="C9175" s="55">
        <v>2</v>
      </c>
      <c r="D9175" s="86">
        <v>998719</v>
      </c>
      <c r="E9175" s="55">
        <v>2500</v>
      </c>
      <c r="F9175" s="55">
        <f>E9175*C9175*9%</f>
        <v>450</v>
      </c>
      <c r="G9175" s="55">
        <f>F9175</f>
        <v>450</v>
      </c>
      <c r="H9175" s="55">
        <f>G9175+F9175+E9175*C9175</f>
        <v>5900</v>
      </c>
      <c r="I9175" s="362">
        <f t="shared" ref="I9175:I9180" si="239">E9175*C9175</f>
        <v>5000</v>
      </c>
    </row>
    <row r="9176" spans="1:9" x14ac:dyDescent="0.3">
      <c r="A9176" s="55">
        <v>3</v>
      </c>
      <c r="B9176" s="84" t="s">
        <v>1558</v>
      </c>
      <c r="C9176" s="55">
        <v>2</v>
      </c>
      <c r="D9176" s="86">
        <v>998719</v>
      </c>
      <c r="E9176" s="55">
        <v>2500</v>
      </c>
      <c r="F9176" s="55">
        <f>E9176*C9176*9%</f>
        <v>450</v>
      </c>
      <c r="G9176" s="55">
        <f>F9176</f>
        <v>450</v>
      </c>
      <c r="H9176" s="55">
        <f>G9176+F9176+E9176*C9176</f>
        <v>5900</v>
      </c>
      <c r="I9176" s="362">
        <f t="shared" si="239"/>
        <v>5000</v>
      </c>
    </row>
    <row r="9177" spans="1:9" x14ac:dyDescent="0.3">
      <c r="A9177" s="55">
        <v>4</v>
      </c>
      <c r="B9177" s="84" t="s">
        <v>1559</v>
      </c>
      <c r="C9177" s="55">
        <v>4</v>
      </c>
      <c r="D9177" s="86">
        <v>998719</v>
      </c>
      <c r="E9177" s="55">
        <v>3000</v>
      </c>
      <c r="F9177" s="55">
        <f>E9177*C9177*9%</f>
        <v>1080</v>
      </c>
      <c r="G9177" s="55">
        <f>F9177</f>
        <v>1080</v>
      </c>
      <c r="H9177" s="55">
        <f t="shared" ref="H9177:H9178" si="240">G9177+F9177+E9177*C9177</f>
        <v>14160</v>
      </c>
      <c r="I9177" s="362">
        <f t="shared" si="239"/>
        <v>12000</v>
      </c>
    </row>
    <row r="9178" spans="1:9" x14ac:dyDescent="0.3">
      <c r="A9178" s="55">
        <v>5</v>
      </c>
      <c r="B9178" s="84" t="s">
        <v>1561</v>
      </c>
      <c r="C9178" s="55">
        <v>3</v>
      </c>
      <c r="D9178" s="86">
        <v>998719</v>
      </c>
      <c r="E9178" s="55">
        <v>4000</v>
      </c>
      <c r="F9178" s="55">
        <f t="shared" ref="F9178" si="241">E9178*C9178*9%</f>
        <v>1080</v>
      </c>
      <c r="G9178" s="55">
        <f>F9178</f>
        <v>1080</v>
      </c>
      <c r="H9178" s="55">
        <f t="shared" si="240"/>
        <v>14160</v>
      </c>
      <c r="I9178" s="362">
        <f t="shared" si="239"/>
        <v>12000</v>
      </c>
    </row>
    <row r="9179" spans="1:9" x14ac:dyDescent="0.3">
      <c r="A9179" s="55">
        <v>6</v>
      </c>
      <c r="B9179" s="84" t="s">
        <v>1585</v>
      </c>
      <c r="C9179" s="55">
        <v>3</v>
      </c>
      <c r="D9179" s="86">
        <v>998719</v>
      </c>
      <c r="E9179" s="55">
        <v>4300</v>
      </c>
      <c r="F9179" s="55">
        <f t="shared" ref="F9179:F9180" si="242">E9179*C9179*9%</f>
        <v>1161</v>
      </c>
      <c r="G9179" s="55">
        <f t="shared" ref="G9179:G9180" si="243">F9179</f>
        <v>1161</v>
      </c>
      <c r="H9179" s="55">
        <f t="shared" ref="H9179:H9180" si="244">G9179+F9179+E9179*C9179</f>
        <v>15222</v>
      </c>
      <c r="I9179" s="362">
        <f t="shared" si="239"/>
        <v>12900</v>
      </c>
    </row>
    <row r="9180" spans="1:9" x14ac:dyDescent="0.3">
      <c r="A9180" s="55">
        <v>7</v>
      </c>
      <c r="B9180" s="84" t="s">
        <v>1563</v>
      </c>
      <c r="C9180" s="55">
        <v>1</v>
      </c>
      <c r="D9180" s="86">
        <v>998719</v>
      </c>
      <c r="E9180" s="55">
        <v>4500</v>
      </c>
      <c r="F9180" s="55">
        <f t="shared" si="242"/>
        <v>405</v>
      </c>
      <c r="G9180" s="55">
        <f t="shared" si="243"/>
        <v>405</v>
      </c>
      <c r="H9180" s="55">
        <f t="shared" si="244"/>
        <v>5310</v>
      </c>
      <c r="I9180" s="362">
        <f t="shared" si="239"/>
        <v>4500</v>
      </c>
    </row>
    <row r="9181" spans="1:9" x14ac:dyDescent="0.3">
      <c r="A9181" s="55"/>
      <c r="B9181" s="84"/>
      <c r="C9181" s="55"/>
      <c r="D9181" s="86"/>
      <c r="E9181" s="55"/>
      <c r="F9181" s="55"/>
      <c r="G9181" s="55"/>
      <c r="H9181" s="55"/>
    </row>
    <row r="9182" spans="1:9" x14ac:dyDescent="0.3">
      <c r="A9182" s="55"/>
      <c r="B9182" s="84"/>
      <c r="C9182" s="55"/>
      <c r="D9182" s="86"/>
      <c r="E9182" s="55"/>
      <c r="F9182" s="55"/>
      <c r="G9182" s="55"/>
      <c r="H9182" s="55"/>
    </row>
    <row r="9183" spans="1:9" x14ac:dyDescent="0.3">
      <c r="A9183" s="163"/>
      <c r="B9183" s="163"/>
      <c r="C9183" s="163"/>
      <c r="D9183" s="163"/>
      <c r="E9183" s="163"/>
      <c r="F9183" s="163"/>
      <c r="G9183" s="163"/>
      <c r="H9183" s="163"/>
    </row>
    <row r="9184" spans="1:9" x14ac:dyDescent="0.3">
      <c r="A9184" s="163"/>
      <c r="B9184" s="163"/>
      <c r="C9184" s="163"/>
      <c r="D9184" s="163"/>
      <c r="E9184" s="163"/>
      <c r="F9184" s="163"/>
      <c r="G9184" s="163"/>
      <c r="H9184" s="163"/>
    </row>
    <row r="9185" spans="1:8" x14ac:dyDescent="0.3">
      <c r="A9185" s="163"/>
      <c r="B9185" s="163"/>
      <c r="C9185" s="163"/>
      <c r="D9185" s="163"/>
      <c r="E9185" s="163"/>
      <c r="F9185" s="163"/>
      <c r="G9185" s="163"/>
      <c r="H9185" s="163"/>
    </row>
    <row r="9186" spans="1:8" x14ac:dyDescent="0.3">
      <c r="A9186" s="163"/>
      <c r="B9186" s="163"/>
      <c r="C9186" s="163"/>
      <c r="D9186" s="163"/>
      <c r="E9186" s="163"/>
      <c r="F9186" s="163"/>
      <c r="G9186" s="163"/>
      <c r="H9186" s="163"/>
    </row>
    <row r="9187" spans="1:8" x14ac:dyDescent="0.3">
      <c r="A9187" s="163"/>
      <c r="B9187" s="163"/>
      <c r="C9187" s="163"/>
      <c r="D9187" s="163"/>
      <c r="E9187" s="163"/>
      <c r="F9187" s="163"/>
      <c r="G9187" s="163"/>
      <c r="H9187" s="163"/>
    </row>
    <row r="9188" spans="1:8" x14ac:dyDescent="0.3">
      <c r="A9188" s="258"/>
      <c r="B9188" s="257"/>
      <c r="C9188" s="258"/>
      <c r="D9188" s="86"/>
      <c r="E9188" s="55"/>
      <c r="F9188" s="259"/>
      <c r="G9188" s="259"/>
      <c r="H9188" s="258"/>
    </row>
    <row r="9189" spans="1:8" x14ac:dyDescent="0.3">
      <c r="A9189" s="55"/>
      <c r="B9189" s="84"/>
      <c r="C9189" s="55"/>
      <c r="D9189" s="55"/>
      <c r="E9189" s="55"/>
      <c r="F9189" s="55"/>
      <c r="G9189" s="55"/>
      <c r="H9189" s="55"/>
    </row>
    <row r="9190" spans="1:8" x14ac:dyDescent="0.3">
      <c r="A9190" s="163"/>
      <c r="B9190" s="163"/>
      <c r="C9190" s="163"/>
      <c r="D9190" s="163"/>
      <c r="E9190" s="163"/>
      <c r="F9190" s="163"/>
      <c r="G9190" s="163"/>
      <c r="H9190" s="163"/>
    </row>
    <row r="9191" spans="1:8" x14ac:dyDescent="0.3">
      <c r="A9191" s="55"/>
      <c r="B9191" s="257"/>
      <c r="C9191" s="55"/>
      <c r="D9191" s="55"/>
      <c r="E9191" s="55"/>
      <c r="F9191" s="55"/>
      <c r="G9191" s="55"/>
      <c r="H9191" s="55"/>
    </row>
    <row r="9192" spans="1:8" x14ac:dyDescent="0.3">
      <c r="A9192" s="57"/>
      <c r="B9192" s="84"/>
      <c r="C9192" s="85"/>
      <c r="D9192" s="86"/>
      <c r="E9192" s="87"/>
      <c r="F9192" s="47"/>
      <c r="G9192" s="47"/>
      <c r="H9192" s="47"/>
    </row>
    <row r="9193" spans="1:8" x14ac:dyDescent="0.3">
      <c r="A9193" s="57"/>
      <c r="B9193" s="84"/>
      <c r="C9193" s="85"/>
      <c r="D9193" s="86"/>
      <c r="E9193" s="47"/>
      <c r="F9193" s="47"/>
      <c r="G9193" s="47"/>
      <c r="H9193" s="47"/>
    </row>
    <row r="9194" spans="1:8" x14ac:dyDescent="0.3">
      <c r="A9194" s="55"/>
      <c r="B9194" s="84"/>
      <c r="C9194" s="55"/>
      <c r="D9194" s="86"/>
      <c r="E9194" s="47"/>
      <c r="F9194" s="47"/>
      <c r="G9194" s="47"/>
      <c r="H9194" s="47"/>
    </row>
    <row r="9195" spans="1:8" x14ac:dyDescent="0.3">
      <c r="A9195" s="27"/>
      <c r="B9195" s="28"/>
      <c r="C9195" s="24"/>
      <c r="D9195" s="25"/>
      <c r="E9195" s="25"/>
      <c r="F9195" s="28"/>
      <c r="G9195" s="28"/>
      <c r="H9195" s="32"/>
    </row>
    <row r="9196" spans="1:8" ht="15.6" x14ac:dyDescent="0.3">
      <c r="A9196" s="448" t="s">
        <v>45</v>
      </c>
      <c r="B9196" s="449"/>
      <c r="C9196" s="24"/>
      <c r="D9196" s="25"/>
      <c r="E9196" s="25"/>
      <c r="F9196" s="447" t="s">
        <v>46</v>
      </c>
      <c r="G9196" s="447"/>
      <c r="H9196" s="66">
        <f>C9174*E9174+C9175*E9175+C9176*E9176+C9179*E9179+C9180*E9180+C9181*E9181+C9177*E9177+C9178*E9178</f>
        <v>58900</v>
      </c>
    </row>
    <row r="9197" spans="1:8" ht="15.6" x14ac:dyDescent="0.3">
      <c r="A9197" s="497" t="s">
        <v>1620</v>
      </c>
      <c r="B9197" s="498"/>
      <c r="C9197" s="498"/>
      <c r="D9197" s="498"/>
      <c r="E9197" s="498"/>
      <c r="F9197" s="447" t="s">
        <v>47</v>
      </c>
      <c r="G9197" s="447"/>
      <c r="H9197" s="66">
        <f>H9196*9%</f>
        <v>5301</v>
      </c>
    </row>
    <row r="9198" spans="1:8" ht="15.6" x14ac:dyDescent="0.3">
      <c r="A9198" s="27"/>
      <c r="B9198" s="28"/>
      <c r="C9198" s="24"/>
      <c r="D9198" s="25"/>
      <c r="E9198" s="25"/>
      <c r="F9198" s="447" t="s">
        <v>48</v>
      </c>
      <c r="G9198" s="447"/>
      <c r="H9198" s="66">
        <f>H9197</f>
        <v>5301</v>
      </c>
    </row>
    <row r="9199" spans="1:8" ht="15.6" x14ac:dyDescent="0.3">
      <c r="A9199" s="64" t="s">
        <v>49</v>
      </c>
      <c r="B9199" s="65"/>
      <c r="C9199" s="24"/>
      <c r="D9199" s="25"/>
      <c r="E9199" s="25"/>
      <c r="F9199" s="447" t="s">
        <v>50</v>
      </c>
      <c r="G9199" s="447"/>
      <c r="H9199" s="66">
        <f>H9196+H9197+H9198</f>
        <v>69502</v>
      </c>
    </row>
    <row r="9200" spans="1:8" ht="27" x14ac:dyDescent="0.3">
      <c r="A9200" s="68" t="s">
        <v>22</v>
      </c>
      <c r="B9200" s="30" t="s">
        <v>51</v>
      </c>
      <c r="C9200" s="70" t="s">
        <v>24</v>
      </c>
      <c r="D9200" s="31" t="s">
        <v>25</v>
      </c>
      <c r="E9200" s="450" t="s">
        <v>52</v>
      </c>
      <c r="F9200" s="450"/>
      <c r="G9200" s="28"/>
      <c r="H9200" s="32"/>
    </row>
    <row r="9201" spans="1:8" x14ac:dyDescent="0.3">
      <c r="A9201" s="72">
        <v>0.18</v>
      </c>
      <c r="B9201" s="73">
        <f>H9196</f>
        <v>58900</v>
      </c>
      <c r="C9201" s="91">
        <f>H9197</f>
        <v>5301</v>
      </c>
      <c r="D9201" s="91">
        <f>H9197</f>
        <v>5301</v>
      </c>
      <c r="E9201" s="506">
        <f>C9201+D9201</f>
        <v>10602</v>
      </c>
      <c r="F9201" s="507"/>
      <c r="G9201" s="74"/>
      <c r="H9201" s="75"/>
    </row>
    <row r="9202" spans="1:8" x14ac:dyDescent="0.3">
      <c r="A9202" s="508" t="s">
        <v>1621</v>
      </c>
      <c r="B9202" s="509"/>
      <c r="C9202" s="509"/>
      <c r="D9202" s="509"/>
      <c r="E9202" s="453"/>
      <c r="F9202" s="453"/>
      <c r="G9202" s="453"/>
      <c r="H9202" s="454"/>
    </row>
    <row r="9203" spans="1:8" ht="15.6" x14ac:dyDescent="0.3">
      <c r="A9203" s="455" t="s">
        <v>53</v>
      </c>
      <c r="B9203" s="456"/>
      <c r="C9203" s="456"/>
      <c r="D9203" s="457"/>
      <c r="E9203" s="458" t="s">
        <v>54</v>
      </c>
      <c r="F9203" s="459"/>
      <c r="G9203" s="459"/>
      <c r="H9203" s="460"/>
    </row>
    <row r="9204" spans="1:8" x14ac:dyDescent="0.3">
      <c r="A9204" s="461" t="s">
        <v>55</v>
      </c>
      <c r="B9204" s="462"/>
      <c r="C9204" s="462"/>
      <c r="D9204" s="463"/>
      <c r="E9204" s="39"/>
      <c r="F9204" s="28"/>
      <c r="G9204" s="28"/>
      <c r="H9204" s="32"/>
    </row>
    <row r="9205" spans="1:8" x14ac:dyDescent="0.3">
      <c r="A9205" s="461" t="s">
        <v>56</v>
      </c>
      <c r="B9205" s="462"/>
      <c r="C9205" s="462"/>
      <c r="D9205" s="463"/>
      <c r="E9205" s="39"/>
      <c r="F9205" s="28"/>
      <c r="G9205" s="28"/>
      <c r="H9205" s="32"/>
    </row>
    <row r="9206" spans="1:8" x14ac:dyDescent="0.3">
      <c r="A9206" s="461" t="s">
        <v>57</v>
      </c>
      <c r="B9206" s="462"/>
      <c r="C9206" s="462"/>
      <c r="D9206" s="463"/>
      <c r="E9206" s="39"/>
      <c r="F9206" s="28"/>
      <c r="G9206" s="28"/>
      <c r="H9206" s="32"/>
    </row>
    <row r="9207" spans="1:8" ht="15.6" x14ac:dyDescent="0.3">
      <c r="A9207" s="464" t="s">
        <v>58</v>
      </c>
      <c r="B9207" s="465"/>
      <c r="C9207" s="465"/>
      <c r="D9207" s="465"/>
      <c r="E9207" s="466" t="s">
        <v>59</v>
      </c>
      <c r="F9207" s="467"/>
      <c r="G9207" s="467"/>
      <c r="H9207" s="468"/>
    </row>
    <row r="9211" spans="1:8" ht="54" customHeight="1" x14ac:dyDescent="0.3">
      <c r="A9211" s="605" t="s">
        <v>0</v>
      </c>
      <c r="B9211" s="606"/>
      <c r="C9211" s="606"/>
      <c r="D9211" s="606"/>
      <c r="E9211" s="471" t="s">
        <v>1</v>
      </c>
      <c r="F9211" s="471"/>
      <c r="G9211" s="471"/>
      <c r="H9211" s="604"/>
    </row>
    <row r="9212" spans="1:8" ht="15" customHeight="1" x14ac:dyDescent="0.35">
      <c r="A9212" s="1"/>
      <c r="B9212" s="417" t="s">
        <v>2</v>
      </c>
      <c r="C9212" s="409"/>
      <c r="D9212" s="409"/>
      <c r="E9212" s="407"/>
      <c r="F9212" s="407"/>
      <c r="G9212" s="407"/>
      <c r="H9212" s="408"/>
    </row>
    <row r="9213" spans="1:8" x14ac:dyDescent="0.3">
      <c r="A9213" s="477" t="s">
        <v>3</v>
      </c>
      <c r="B9213" s="478"/>
      <c r="C9213" s="479" t="s">
        <v>4</v>
      </c>
      <c r="D9213" s="479"/>
      <c r="E9213" s="480" t="s">
        <v>5</v>
      </c>
      <c r="F9213" s="480"/>
      <c r="G9213" s="480"/>
      <c r="H9213" s="480"/>
    </row>
    <row r="9214" spans="1:8" ht="15.6" x14ac:dyDescent="0.3">
      <c r="A9214" s="4" t="s">
        <v>6</v>
      </c>
      <c r="B9214" s="5"/>
      <c r="C9214" s="236" t="s">
        <v>7</v>
      </c>
      <c r="D9214" s="236"/>
      <c r="E9214" s="489">
        <v>200</v>
      </c>
      <c r="F9214" s="491"/>
      <c r="G9214" s="7" t="s">
        <v>8</v>
      </c>
      <c r="H9214" s="250" t="s">
        <v>1555</v>
      </c>
    </row>
    <row r="9215" spans="1:8" ht="15.6" x14ac:dyDescent="0.3">
      <c r="A9215" s="413" t="s">
        <v>458</v>
      </c>
      <c r="B9215" s="414"/>
      <c r="C9215" s="236" t="s">
        <v>10</v>
      </c>
      <c r="D9215" s="236"/>
      <c r="E9215" s="489">
        <v>6</v>
      </c>
      <c r="F9215" s="491"/>
      <c r="G9215" s="7" t="s">
        <v>8</v>
      </c>
      <c r="H9215" s="401" t="s">
        <v>1582</v>
      </c>
    </row>
    <row r="9216" spans="1:8" ht="26.25" customHeight="1" x14ac:dyDescent="0.3">
      <c r="A9216" s="415" t="s">
        <v>459</v>
      </c>
      <c r="B9216" s="416"/>
      <c r="C9216" s="410" t="s">
        <v>12</v>
      </c>
      <c r="D9216" s="411"/>
      <c r="E9216" s="598" t="s">
        <v>1619</v>
      </c>
      <c r="F9216" s="599"/>
      <c r="G9216" s="400" t="s">
        <v>8</v>
      </c>
      <c r="H9216" s="401">
        <v>45726</v>
      </c>
    </row>
    <row r="9217" spans="1:9" ht="15.6" x14ac:dyDescent="0.3">
      <c r="A9217" s="253" t="s">
        <v>460</v>
      </c>
      <c r="B9217" s="254"/>
      <c r="C9217" s="481" t="s">
        <v>15</v>
      </c>
      <c r="D9217" s="481"/>
      <c r="E9217" s="489" t="s">
        <v>461</v>
      </c>
      <c r="F9217" s="490"/>
      <c r="G9217" s="490"/>
      <c r="H9217" s="491"/>
    </row>
    <row r="9218" spans="1:9" ht="15.6" x14ac:dyDescent="0.3">
      <c r="A9218" s="255" t="s">
        <v>1586</v>
      </c>
      <c r="B9218" s="256"/>
      <c r="C9218" s="230"/>
      <c r="D9218" s="412"/>
      <c r="E9218" s="412"/>
      <c r="F9218" s="412"/>
      <c r="G9218" s="412"/>
      <c r="H9218" s="231"/>
    </row>
    <row r="9219" spans="1:9" s="99" customFormat="1" ht="14.25" customHeight="1" x14ac:dyDescent="0.3">
      <c r="A9219" s="609" t="s">
        <v>17</v>
      </c>
      <c r="B9219" s="611" t="s">
        <v>18</v>
      </c>
      <c r="C9219" s="611" t="s">
        <v>19</v>
      </c>
      <c r="D9219" s="611" t="s">
        <v>20</v>
      </c>
      <c r="E9219" s="611" t="s">
        <v>21</v>
      </c>
      <c r="F9219" s="607" t="s">
        <v>22</v>
      </c>
      <c r="G9219" s="608"/>
      <c r="H9219" s="609" t="s">
        <v>23</v>
      </c>
      <c r="I9219" s="373"/>
    </row>
    <row r="9220" spans="1:9" ht="27.6" x14ac:dyDescent="0.3">
      <c r="A9220" s="610"/>
      <c r="B9220" s="612"/>
      <c r="C9220" s="612"/>
      <c r="D9220" s="612"/>
      <c r="E9220" s="612"/>
      <c r="F9220" s="53" t="s">
        <v>24</v>
      </c>
      <c r="G9220" s="53" t="s">
        <v>25</v>
      </c>
      <c r="H9220" s="610"/>
    </row>
    <row r="9221" spans="1:9" x14ac:dyDescent="0.3">
      <c r="A9221" s="55">
        <v>1</v>
      </c>
      <c r="B9221" s="84" t="s">
        <v>1639</v>
      </c>
      <c r="C9221" s="55">
        <v>16</v>
      </c>
      <c r="D9221" s="86">
        <v>998719</v>
      </c>
      <c r="E9221" s="55">
        <v>6400</v>
      </c>
      <c r="F9221" s="55">
        <f>E9221*C9221*9%</f>
        <v>9216</v>
      </c>
      <c r="G9221" s="55">
        <f t="shared" ref="G9221" si="245">F9221</f>
        <v>9216</v>
      </c>
      <c r="H9221" s="55">
        <f>G9221+F9221+E9221*C9221</f>
        <v>120832</v>
      </c>
      <c r="I9221" s="362">
        <f>E9221*C9221</f>
        <v>102400</v>
      </c>
    </row>
    <row r="9222" spans="1:9" x14ac:dyDescent="0.3">
      <c r="A9222" s="55"/>
      <c r="B9222" s="84"/>
      <c r="C9222" s="55"/>
      <c r="D9222" s="86"/>
      <c r="E9222" s="55"/>
      <c r="F9222" s="55"/>
      <c r="G9222" s="55"/>
      <c r="H9222" s="55"/>
    </row>
    <row r="9223" spans="1:9" x14ac:dyDescent="0.3">
      <c r="A9223" s="55"/>
      <c r="B9223" s="84"/>
      <c r="C9223" s="55"/>
      <c r="D9223" s="86"/>
      <c r="E9223" s="55"/>
      <c r="F9223" s="55"/>
      <c r="G9223" s="55"/>
      <c r="H9223" s="55"/>
    </row>
    <row r="9224" spans="1:9" x14ac:dyDescent="0.3">
      <c r="A9224" s="55"/>
      <c r="B9224" s="84"/>
      <c r="C9224" s="55"/>
      <c r="D9224" s="86"/>
      <c r="E9224" s="55"/>
      <c r="F9224" s="55"/>
      <c r="G9224" s="55"/>
      <c r="H9224" s="55"/>
    </row>
    <row r="9225" spans="1:9" x14ac:dyDescent="0.3">
      <c r="A9225" s="55"/>
      <c r="B9225" s="84"/>
      <c r="C9225" s="55"/>
      <c r="D9225" s="86"/>
      <c r="E9225" s="55"/>
      <c r="F9225" s="55"/>
      <c r="G9225" s="55"/>
      <c r="H9225" s="55"/>
    </row>
    <row r="9226" spans="1:9" x14ac:dyDescent="0.3">
      <c r="A9226" s="55"/>
      <c r="B9226" s="84"/>
      <c r="C9226" s="55"/>
      <c r="D9226" s="86"/>
      <c r="E9226" s="55"/>
      <c r="F9226" s="55"/>
      <c r="G9226" s="55"/>
      <c r="H9226" s="55"/>
    </row>
    <row r="9227" spans="1:9" x14ac:dyDescent="0.3">
      <c r="A9227" s="55"/>
      <c r="B9227" s="84"/>
      <c r="C9227" s="398"/>
      <c r="D9227" s="86"/>
      <c r="E9227" s="55"/>
      <c r="F9227" s="55"/>
      <c r="G9227" s="55"/>
      <c r="H9227" s="55"/>
    </row>
    <row r="9228" spans="1:9" x14ac:dyDescent="0.3">
      <c r="A9228" s="55"/>
      <c r="B9228" s="84"/>
      <c r="C9228" s="55"/>
      <c r="D9228" s="86"/>
      <c r="E9228" s="55"/>
      <c r="F9228" s="55"/>
      <c r="G9228" s="55"/>
      <c r="H9228" s="55"/>
    </row>
    <row r="9229" spans="1:9" x14ac:dyDescent="0.3">
      <c r="A9229" s="55"/>
      <c r="B9229" s="84"/>
      <c r="C9229" s="55"/>
      <c r="D9229" s="86"/>
      <c r="E9229" s="55"/>
      <c r="F9229" s="55"/>
      <c r="G9229" s="55"/>
      <c r="H9229" s="55"/>
    </row>
    <row r="9230" spans="1:9" x14ac:dyDescent="0.3">
      <c r="A9230" s="55"/>
      <c r="B9230" s="84"/>
      <c r="C9230" s="55"/>
      <c r="D9230" s="86"/>
      <c r="E9230" s="55"/>
      <c r="F9230" s="55"/>
      <c r="G9230" s="55"/>
      <c r="H9230" s="55"/>
    </row>
    <row r="9231" spans="1:9" x14ac:dyDescent="0.3">
      <c r="A9231" s="163"/>
      <c r="B9231" s="163"/>
      <c r="C9231" s="163"/>
      <c r="D9231" s="163"/>
      <c r="E9231" s="163"/>
      <c r="F9231" s="163"/>
      <c r="G9231" s="163"/>
      <c r="H9231" s="163"/>
    </row>
    <row r="9232" spans="1:9" x14ac:dyDescent="0.3">
      <c r="A9232" s="163"/>
      <c r="B9232" s="163"/>
      <c r="C9232" s="163"/>
      <c r="D9232" s="163"/>
      <c r="E9232" s="163"/>
      <c r="F9232" s="163"/>
      <c r="G9232" s="163"/>
      <c r="H9232" s="163"/>
    </row>
    <row r="9233" spans="1:8" x14ac:dyDescent="0.3">
      <c r="A9233" s="163"/>
      <c r="B9233" s="163"/>
      <c r="C9233" s="163"/>
      <c r="D9233" s="163"/>
      <c r="E9233" s="163"/>
      <c r="F9233" s="163"/>
      <c r="G9233" s="163"/>
      <c r="H9233" s="163"/>
    </row>
    <row r="9234" spans="1:8" x14ac:dyDescent="0.3">
      <c r="A9234" s="163"/>
      <c r="B9234" s="163"/>
      <c r="C9234" s="163"/>
      <c r="D9234" s="163"/>
      <c r="E9234" s="163"/>
      <c r="F9234" s="163"/>
      <c r="G9234" s="163"/>
      <c r="H9234" s="163"/>
    </row>
    <row r="9235" spans="1:8" x14ac:dyDescent="0.3">
      <c r="A9235" s="163"/>
      <c r="B9235" s="163"/>
      <c r="C9235" s="163"/>
      <c r="D9235" s="163"/>
      <c r="E9235" s="163"/>
      <c r="F9235" s="163"/>
      <c r="G9235" s="163"/>
      <c r="H9235" s="163"/>
    </row>
    <row r="9236" spans="1:8" x14ac:dyDescent="0.3">
      <c r="A9236" s="258"/>
      <c r="B9236" s="257"/>
      <c r="C9236" s="258"/>
      <c r="D9236" s="86"/>
      <c r="E9236" s="55"/>
      <c r="F9236" s="259"/>
      <c r="G9236" s="259"/>
      <c r="H9236" s="258"/>
    </row>
    <row r="9237" spans="1:8" x14ac:dyDescent="0.3">
      <c r="A9237" s="55"/>
      <c r="B9237" s="84"/>
      <c r="C9237" s="55"/>
      <c r="D9237" s="55"/>
      <c r="E9237" s="55"/>
      <c r="F9237" s="55"/>
      <c r="G9237" s="55"/>
      <c r="H9237" s="55"/>
    </row>
    <row r="9238" spans="1:8" x14ac:dyDescent="0.3">
      <c r="A9238" s="163"/>
      <c r="B9238" s="163"/>
      <c r="C9238" s="163"/>
      <c r="D9238" s="163"/>
      <c r="E9238" s="163"/>
      <c r="F9238" s="163"/>
      <c r="G9238" s="163"/>
      <c r="H9238" s="163"/>
    </row>
    <row r="9239" spans="1:8" x14ac:dyDescent="0.3">
      <c r="A9239" s="55"/>
      <c r="B9239" s="257"/>
      <c r="C9239" s="55"/>
      <c r="D9239" s="55"/>
      <c r="E9239" s="55"/>
      <c r="F9239" s="55"/>
      <c r="G9239" s="55"/>
      <c r="H9239" s="55"/>
    </row>
    <row r="9240" spans="1:8" x14ac:dyDescent="0.3">
      <c r="A9240" s="57"/>
      <c r="B9240" s="84"/>
      <c r="C9240" s="85"/>
      <c r="D9240" s="86"/>
      <c r="E9240" s="87"/>
      <c r="F9240" s="47"/>
      <c r="G9240" s="47"/>
      <c r="H9240" s="47"/>
    </row>
    <row r="9241" spans="1:8" x14ac:dyDescent="0.3">
      <c r="A9241" s="57"/>
      <c r="B9241" s="84"/>
      <c r="C9241" s="85"/>
      <c r="D9241" s="86"/>
      <c r="E9241" s="47"/>
      <c r="F9241" s="47"/>
      <c r="G9241" s="47"/>
      <c r="H9241" s="47"/>
    </row>
    <row r="9242" spans="1:8" x14ac:dyDescent="0.3">
      <c r="A9242" s="55"/>
      <c r="B9242" s="84"/>
      <c r="C9242" s="55"/>
      <c r="D9242" s="86"/>
      <c r="E9242" s="47"/>
      <c r="F9242" s="47"/>
      <c r="G9242" s="47"/>
      <c r="H9242" s="47"/>
    </row>
    <row r="9243" spans="1:8" x14ac:dyDescent="0.3">
      <c r="A9243" s="27"/>
      <c r="B9243" s="28"/>
      <c r="C9243" s="24"/>
      <c r="D9243" s="25"/>
      <c r="E9243" s="25"/>
      <c r="F9243" s="28"/>
      <c r="G9243" s="28"/>
      <c r="H9243" s="32"/>
    </row>
    <row r="9244" spans="1:8" ht="15.6" x14ac:dyDescent="0.3">
      <c r="A9244" s="448" t="s">
        <v>45</v>
      </c>
      <c r="B9244" s="449"/>
      <c r="C9244" s="24"/>
      <c r="D9244" s="25"/>
      <c r="E9244" s="25"/>
      <c r="F9244" s="447" t="s">
        <v>46</v>
      </c>
      <c r="G9244" s="447"/>
      <c r="H9244" s="66">
        <f>C9221*E9221+C9222*E9222+C9223*E9223+C9227*E9227+C9228*E9228+C9229*E9229+C9224*E9224+C9225*E9225+C9226*E9226</f>
        <v>102400</v>
      </c>
    </row>
    <row r="9245" spans="1:8" ht="15.6" x14ac:dyDescent="0.3">
      <c r="A9245" s="497" t="s">
        <v>1640</v>
      </c>
      <c r="B9245" s="498"/>
      <c r="C9245" s="498"/>
      <c r="D9245" s="498"/>
      <c r="E9245" s="498"/>
      <c r="F9245" s="447" t="s">
        <v>47</v>
      </c>
      <c r="G9245" s="447"/>
      <c r="H9245" s="66">
        <f>H9244*9%</f>
        <v>9216</v>
      </c>
    </row>
    <row r="9246" spans="1:8" ht="15.6" x14ac:dyDescent="0.3">
      <c r="A9246" s="27"/>
      <c r="B9246" s="28"/>
      <c r="C9246" s="24"/>
      <c r="D9246" s="25"/>
      <c r="E9246" s="25"/>
      <c r="F9246" s="447" t="s">
        <v>48</v>
      </c>
      <c r="G9246" s="447"/>
      <c r="H9246" s="66">
        <f>H9245</f>
        <v>9216</v>
      </c>
    </row>
    <row r="9247" spans="1:8" ht="15.6" x14ac:dyDescent="0.3">
      <c r="A9247" s="64" t="s">
        <v>49</v>
      </c>
      <c r="B9247" s="65"/>
      <c r="C9247" s="24"/>
      <c r="D9247" s="25"/>
      <c r="E9247" s="25"/>
      <c r="F9247" s="447" t="s">
        <v>50</v>
      </c>
      <c r="G9247" s="447"/>
      <c r="H9247" s="66">
        <f>H9244+H9245+H9246</f>
        <v>120832</v>
      </c>
    </row>
    <row r="9248" spans="1:8" ht="27" x14ac:dyDescent="0.3">
      <c r="A9248" s="68" t="s">
        <v>22</v>
      </c>
      <c r="B9248" s="30" t="s">
        <v>51</v>
      </c>
      <c r="C9248" s="70" t="s">
        <v>24</v>
      </c>
      <c r="D9248" s="31" t="s">
        <v>25</v>
      </c>
      <c r="E9248" s="450" t="s">
        <v>52</v>
      </c>
      <c r="F9248" s="450"/>
      <c r="G9248" s="28"/>
      <c r="H9248" s="32"/>
    </row>
    <row r="9249" spans="1:8" x14ac:dyDescent="0.3">
      <c r="A9249" s="72">
        <v>0.18</v>
      </c>
      <c r="B9249" s="73">
        <f>H9244</f>
        <v>102400</v>
      </c>
      <c r="C9249" s="91">
        <f>H9245</f>
        <v>9216</v>
      </c>
      <c r="D9249" s="91">
        <f>H9245</f>
        <v>9216</v>
      </c>
      <c r="E9249" s="506">
        <f>C9249+D9249</f>
        <v>18432</v>
      </c>
      <c r="F9249" s="507"/>
      <c r="G9249" s="74"/>
      <c r="H9249" s="75"/>
    </row>
    <row r="9250" spans="1:8" ht="15.75" customHeight="1" x14ac:dyDescent="0.3">
      <c r="A9250" s="508" t="s">
        <v>1641</v>
      </c>
      <c r="B9250" s="509"/>
      <c r="C9250" s="509"/>
      <c r="D9250" s="509"/>
      <c r="E9250" s="453"/>
      <c r="F9250" s="453"/>
      <c r="G9250" s="453"/>
      <c r="H9250" s="454"/>
    </row>
    <row r="9251" spans="1:8" ht="15.6" x14ac:dyDescent="0.3">
      <c r="A9251" s="455" t="s">
        <v>53</v>
      </c>
      <c r="B9251" s="456"/>
      <c r="C9251" s="456"/>
      <c r="D9251" s="457"/>
      <c r="E9251" s="458" t="s">
        <v>54</v>
      </c>
      <c r="F9251" s="459"/>
      <c r="G9251" s="459"/>
      <c r="H9251" s="460"/>
    </row>
    <row r="9252" spans="1:8" x14ac:dyDescent="0.3">
      <c r="A9252" s="461" t="s">
        <v>55</v>
      </c>
      <c r="B9252" s="462"/>
      <c r="C9252" s="462"/>
      <c r="D9252" s="463"/>
      <c r="E9252" s="39"/>
      <c r="F9252" s="28"/>
      <c r="G9252" s="28"/>
      <c r="H9252" s="32"/>
    </row>
    <row r="9253" spans="1:8" ht="15.75" customHeight="1" x14ac:dyDescent="0.3">
      <c r="A9253" s="461" t="s">
        <v>56</v>
      </c>
      <c r="B9253" s="462"/>
      <c r="C9253" s="462"/>
      <c r="D9253" s="463"/>
      <c r="E9253" s="39"/>
      <c r="F9253" s="28"/>
      <c r="G9253" s="28"/>
      <c r="H9253" s="32"/>
    </row>
    <row r="9254" spans="1:8" x14ac:dyDescent="0.3">
      <c r="A9254" s="461" t="s">
        <v>57</v>
      </c>
      <c r="B9254" s="462"/>
      <c r="C9254" s="462"/>
      <c r="D9254" s="463"/>
      <c r="E9254" s="39"/>
      <c r="F9254" s="28"/>
      <c r="G9254" s="28"/>
      <c r="H9254" s="32"/>
    </row>
    <row r="9255" spans="1:8" ht="15.6" x14ac:dyDescent="0.3">
      <c r="A9255" s="464" t="s">
        <v>58</v>
      </c>
      <c r="B9255" s="465"/>
      <c r="C9255" s="465"/>
      <c r="D9255" s="465"/>
      <c r="E9255" s="466" t="s">
        <v>59</v>
      </c>
      <c r="F9255" s="467"/>
      <c r="G9255" s="467"/>
      <c r="H9255" s="468"/>
    </row>
    <row r="9256" spans="1:8" ht="15.6" x14ac:dyDescent="0.3">
      <c r="A9256" s="404"/>
      <c r="B9256" s="405"/>
      <c r="C9256" s="405"/>
      <c r="D9256" s="405"/>
      <c r="E9256" s="406"/>
      <c r="F9256" s="40"/>
      <c r="G9256" s="40"/>
      <c r="H9256" s="41"/>
    </row>
    <row r="9257" spans="1:8" ht="15.6" x14ac:dyDescent="0.3">
      <c r="A9257" s="404"/>
      <c r="B9257" s="405"/>
      <c r="C9257" s="405"/>
      <c r="D9257" s="405"/>
      <c r="E9257" s="406"/>
      <c r="F9257" s="40"/>
      <c r="G9257" s="40"/>
      <c r="H9257" s="41"/>
    </row>
    <row r="9258" spans="1:8" ht="15.6" x14ac:dyDescent="0.3">
      <c r="A9258" s="404"/>
      <c r="B9258" s="405"/>
      <c r="C9258" s="405"/>
      <c r="D9258" s="405"/>
      <c r="E9258" s="406"/>
      <c r="F9258" s="40"/>
      <c r="G9258" s="40"/>
      <c r="H9258" s="41"/>
    </row>
    <row r="9259" spans="1:8" ht="15.6" x14ac:dyDescent="0.3">
      <c r="A9259" s="404"/>
      <c r="B9259" s="405"/>
      <c r="C9259" s="405"/>
      <c r="D9259" s="405"/>
      <c r="E9259" s="406"/>
      <c r="F9259" s="40"/>
      <c r="G9259" s="40"/>
      <c r="H9259" s="41"/>
    </row>
    <row r="9260" spans="1:8" ht="15.6" x14ac:dyDescent="0.3">
      <c r="A9260" s="404"/>
      <c r="B9260" s="405"/>
      <c r="C9260" s="405"/>
      <c r="D9260" s="405"/>
      <c r="E9260" s="406"/>
      <c r="F9260" s="40"/>
      <c r="G9260" s="40"/>
      <c r="H9260" s="41"/>
    </row>
    <row r="9261" spans="1:8" ht="15.6" x14ac:dyDescent="0.3">
      <c r="A9261" s="404"/>
      <c r="B9261" s="405"/>
      <c r="C9261" s="405"/>
      <c r="D9261" s="405"/>
      <c r="E9261" s="406"/>
      <c r="F9261" s="40"/>
      <c r="G9261" s="40"/>
      <c r="H9261" s="41"/>
    </row>
    <row r="9264" spans="1:8" ht="44.4" x14ac:dyDescent="0.7">
      <c r="A9264" s="469" t="s">
        <v>0</v>
      </c>
      <c r="B9264" s="470"/>
      <c r="C9264" s="470"/>
      <c r="D9264" s="470"/>
      <c r="E9264" s="471" t="s">
        <v>1</v>
      </c>
      <c r="F9264" s="472"/>
      <c r="G9264" s="472"/>
      <c r="H9264" s="473"/>
    </row>
    <row r="9265" spans="1:9" ht="20.399999999999999" x14ac:dyDescent="0.35">
      <c r="A9265" s="1"/>
      <c r="B9265" s="476" t="s">
        <v>2</v>
      </c>
      <c r="C9265" s="476"/>
      <c r="D9265" s="476"/>
      <c r="E9265" s="474"/>
      <c r="F9265" s="474"/>
      <c r="G9265" s="474"/>
      <c r="H9265" s="475"/>
    </row>
    <row r="9266" spans="1:9" x14ac:dyDescent="0.3">
      <c r="A9266" s="477" t="s">
        <v>3</v>
      </c>
      <c r="B9266" s="478"/>
      <c r="C9266" s="479" t="s">
        <v>4</v>
      </c>
      <c r="D9266" s="479"/>
      <c r="E9266" s="480" t="s">
        <v>5</v>
      </c>
      <c r="F9266" s="480"/>
      <c r="G9266" s="480"/>
      <c r="H9266" s="480"/>
    </row>
    <row r="9267" spans="1:9" ht="15.6" x14ac:dyDescent="0.3">
      <c r="A9267" s="4" t="s">
        <v>6</v>
      </c>
      <c r="B9267" s="5"/>
      <c r="C9267" s="481" t="s">
        <v>7</v>
      </c>
      <c r="D9267" s="481"/>
      <c r="E9267" s="482">
        <v>201</v>
      </c>
      <c r="F9267" s="482"/>
      <c r="G9267" s="7" t="s">
        <v>8</v>
      </c>
      <c r="H9267" s="250" t="s">
        <v>1555</v>
      </c>
    </row>
    <row r="9268" spans="1:9" ht="15.6" x14ac:dyDescent="0.3">
      <c r="A9268" s="551" t="s">
        <v>458</v>
      </c>
      <c r="B9268" s="552"/>
      <c r="C9268" s="481" t="s">
        <v>10</v>
      </c>
      <c r="D9268" s="481"/>
      <c r="E9268" s="482">
        <v>3</v>
      </c>
      <c r="F9268" s="482"/>
      <c r="G9268" s="7" t="s">
        <v>8</v>
      </c>
      <c r="H9268" s="401" t="s">
        <v>1588</v>
      </c>
    </row>
    <row r="9269" spans="1:9" ht="25.5" customHeight="1" x14ac:dyDescent="0.3">
      <c r="A9269" s="560" t="s">
        <v>459</v>
      </c>
      <c r="B9269" s="561"/>
      <c r="C9269" s="483" t="s">
        <v>12</v>
      </c>
      <c r="D9269" s="484"/>
      <c r="E9269" s="562" t="s">
        <v>466</v>
      </c>
      <c r="F9269" s="563"/>
      <c r="G9269" s="400" t="s">
        <v>8</v>
      </c>
      <c r="H9269" s="401" t="s">
        <v>465</v>
      </c>
    </row>
    <row r="9270" spans="1:9" ht="15.6" x14ac:dyDescent="0.3">
      <c r="A9270" s="253" t="s">
        <v>460</v>
      </c>
      <c r="B9270" s="254"/>
      <c r="C9270" s="481" t="s">
        <v>15</v>
      </c>
      <c r="D9270" s="481"/>
      <c r="E9270" s="489" t="s">
        <v>461</v>
      </c>
      <c r="F9270" s="490"/>
      <c r="G9270" s="490"/>
      <c r="H9270" s="491"/>
    </row>
    <row r="9271" spans="1:9" ht="15.6" x14ac:dyDescent="0.3">
      <c r="A9271" s="255" t="s">
        <v>1586</v>
      </c>
      <c r="B9271" s="256"/>
      <c r="C9271" s="489"/>
      <c r="D9271" s="490"/>
      <c r="E9271" s="490"/>
      <c r="F9271" s="490"/>
      <c r="G9271" s="490"/>
      <c r="H9271" s="491"/>
    </row>
    <row r="9272" spans="1:9" ht="15" x14ac:dyDescent="0.3">
      <c r="A9272" s="492" t="s">
        <v>17</v>
      </c>
      <c r="B9272" s="494" t="s">
        <v>18</v>
      </c>
      <c r="C9272" s="494" t="s">
        <v>19</v>
      </c>
      <c r="D9272" s="495" t="s">
        <v>20</v>
      </c>
      <c r="E9272" s="494" t="s">
        <v>21</v>
      </c>
      <c r="F9272" s="494" t="s">
        <v>22</v>
      </c>
      <c r="G9272" s="494"/>
      <c r="H9272" s="492" t="s">
        <v>23</v>
      </c>
    </row>
    <row r="9273" spans="1:9" ht="27.6" x14ac:dyDescent="0.3">
      <c r="A9273" s="492"/>
      <c r="B9273" s="494"/>
      <c r="C9273" s="494"/>
      <c r="D9273" s="505"/>
      <c r="E9273" s="494"/>
      <c r="F9273" s="53" t="s">
        <v>24</v>
      </c>
      <c r="G9273" s="53" t="s">
        <v>25</v>
      </c>
      <c r="H9273" s="492"/>
    </row>
    <row r="9274" spans="1:9" x14ac:dyDescent="0.3">
      <c r="A9274" s="55">
        <v>1</v>
      </c>
      <c r="B9274" s="84" t="s">
        <v>1589</v>
      </c>
      <c r="C9274" s="55">
        <v>3</v>
      </c>
      <c r="D9274" s="86">
        <v>998719</v>
      </c>
      <c r="E9274" s="55">
        <v>4000</v>
      </c>
      <c r="F9274" s="55">
        <f>E9274*C9274*9%</f>
        <v>1080</v>
      </c>
      <c r="G9274" s="55">
        <f t="shared" ref="G9274:G9280" si="246">F9274</f>
        <v>1080</v>
      </c>
      <c r="H9274" s="55">
        <f>G9274+F9274+E9274*C9274</f>
        <v>14160</v>
      </c>
      <c r="I9274" s="362">
        <f>E9274*C9274</f>
        <v>12000</v>
      </c>
    </row>
    <row r="9275" spans="1:9" x14ac:dyDescent="0.3">
      <c r="A9275" s="55">
        <v>2</v>
      </c>
      <c r="B9275" s="84" t="s">
        <v>1560</v>
      </c>
      <c r="C9275" s="55">
        <v>2</v>
      </c>
      <c r="D9275" s="86">
        <v>998719</v>
      </c>
      <c r="E9275" s="55">
        <v>3000</v>
      </c>
      <c r="F9275" s="55">
        <f>E9275*C9275*9%</f>
        <v>540</v>
      </c>
      <c r="G9275" s="55">
        <f t="shared" si="246"/>
        <v>540</v>
      </c>
      <c r="H9275" s="55">
        <f>G9275+F9275+E9275*C9275</f>
        <v>7080</v>
      </c>
      <c r="I9275" s="362">
        <f t="shared" ref="I9275:I9283" si="247">E9275*C9275</f>
        <v>6000</v>
      </c>
    </row>
    <row r="9276" spans="1:9" x14ac:dyDescent="0.3">
      <c r="A9276" s="55">
        <v>3</v>
      </c>
      <c r="B9276" s="84" t="s">
        <v>1559</v>
      </c>
      <c r="C9276" s="55">
        <v>2</v>
      </c>
      <c r="D9276" s="86">
        <v>998719</v>
      </c>
      <c r="E9276" s="55">
        <v>3000</v>
      </c>
      <c r="F9276" s="55">
        <f>E9276*C9276*9%</f>
        <v>540</v>
      </c>
      <c r="G9276" s="55">
        <f t="shared" si="246"/>
        <v>540</v>
      </c>
      <c r="H9276" s="55">
        <f>G9276+F9276+E9276*C9276</f>
        <v>7080</v>
      </c>
      <c r="I9276" s="362">
        <f t="shared" si="247"/>
        <v>6000</v>
      </c>
    </row>
    <row r="9277" spans="1:9" x14ac:dyDescent="0.3">
      <c r="A9277" s="55">
        <v>4</v>
      </c>
      <c r="B9277" s="84" t="s">
        <v>1558</v>
      </c>
      <c r="C9277" s="55">
        <v>5</v>
      </c>
      <c r="D9277" s="86">
        <v>998719</v>
      </c>
      <c r="E9277" s="55">
        <v>2500</v>
      </c>
      <c r="F9277" s="55">
        <f>E9277*C9277*9%</f>
        <v>1125</v>
      </c>
      <c r="G9277" s="55">
        <f t="shared" si="246"/>
        <v>1125</v>
      </c>
      <c r="H9277" s="55">
        <f t="shared" ref="H9277:H9283" si="248">G9277+F9277+E9277*C9277</f>
        <v>14750</v>
      </c>
      <c r="I9277" s="362">
        <f t="shared" si="247"/>
        <v>12500</v>
      </c>
    </row>
    <row r="9278" spans="1:9" x14ac:dyDescent="0.3">
      <c r="A9278" s="55">
        <v>5</v>
      </c>
      <c r="B9278" s="84" t="s">
        <v>1584</v>
      </c>
      <c r="C9278" s="55">
        <v>4</v>
      </c>
      <c r="D9278" s="86">
        <v>998719</v>
      </c>
      <c r="E9278" s="55">
        <v>2500</v>
      </c>
      <c r="F9278" s="55">
        <f t="shared" ref="F9278:F9283" si="249">E9278*C9278*9%</f>
        <v>900</v>
      </c>
      <c r="G9278" s="55">
        <f t="shared" si="246"/>
        <v>900</v>
      </c>
      <c r="H9278" s="55">
        <f t="shared" si="248"/>
        <v>11800</v>
      </c>
      <c r="I9278" s="362">
        <f t="shared" si="247"/>
        <v>10000</v>
      </c>
    </row>
    <row r="9279" spans="1:9" x14ac:dyDescent="0.3">
      <c r="A9279" s="55">
        <v>6</v>
      </c>
      <c r="B9279" s="84" t="s">
        <v>1590</v>
      </c>
      <c r="C9279" s="55">
        <v>10</v>
      </c>
      <c r="D9279" s="86">
        <v>998719</v>
      </c>
      <c r="E9279" s="55">
        <v>2500</v>
      </c>
      <c r="F9279" s="55">
        <f t="shared" si="249"/>
        <v>2250</v>
      </c>
      <c r="G9279" s="55">
        <f t="shared" si="246"/>
        <v>2250</v>
      </c>
      <c r="H9279" s="55">
        <f t="shared" si="248"/>
        <v>29500</v>
      </c>
      <c r="I9279" s="362">
        <f t="shared" si="247"/>
        <v>25000</v>
      </c>
    </row>
    <row r="9280" spans="1:9" x14ac:dyDescent="0.3">
      <c r="A9280" s="55">
        <v>7</v>
      </c>
      <c r="B9280" s="84" t="s">
        <v>1591</v>
      </c>
      <c r="C9280" s="55">
        <v>2</v>
      </c>
      <c r="D9280" s="86">
        <v>998719</v>
      </c>
      <c r="E9280" s="55">
        <v>2500</v>
      </c>
      <c r="F9280" s="55">
        <f t="shared" si="249"/>
        <v>450</v>
      </c>
      <c r="G9280" s="55">
        <f t="shared" si="246"/>
        <v>450</v>
      </c>
      <c r="H9280" s="55">
        <f t="shared" si="248"/>
        <v>5900</v>
      </c>
      <c r="I9280" s="362">
        <f t="shared" si="247"/>
        <v>5000</v>
      </c>
    </row>
    <row r="9281" spans="1:9" x14ac:dyDescent="0.3">
      <c r="A9281" s="55">
        <v>8</v>
      </c>
      <c r="B9281" s="84" t="s">
        <v>1585</v>
      </c>
      <c r="C9281" s="55">
        <v>4</v>
      </c>
      <c r="D9281" s="86">
        <v>998719</v>
      </c>
      <c r="E9281" s="55">
        <v>4300</v>
      </c>
      <c r="F9281" s="55">
        <f t="shared" si="249"/>
        <v>1548</v>
      </c>
      <c r="G9281" s="55">
        <f t="shared" ref="G9281:G9283" si="250">F9281</f>
        <v>1548</v>
      </c>
      <c r="H9281" s="55">
        <f t="shared" si="248"/>
        <v>20296</v>
      </c>
      <c r="I9281" s="362">
        <f t="shared" si="247"/>
        <v>17200</v>
      </c>
    </row>
    <row r="9282" spans="1:9" x14ac:dyDescent="0.3">
      <c r="A9282" s="55">
        <v>9</v>
      </c>
      <c r="B9282" s="84" t="s">
        <v>1563</v>
      </c>
      <c r="C9282" s="55">
        <v>2</v>
      </c>
      <c r="D9282" s="86">
        <v>998719</v>
      </c>
      <c r="E9282" s="55">
        <v>4500</v>
      </c>
      <c r="F9282" s="55">
        <f t="shared" si="249"/>
        <v>810</v>
      </c>
      <c r="G9282" s="55">
        <f t="shared" si="250"/>
        <v>810</v>
      </c>
      <c r="H9282" s="55">
        <f t="shared" si="248"/>
        <v>10620</v>
      </c>
      <c r="I9282" s="362">
        <f t="shared" si="247"/>
        <v>9000</v>
      </c>
    </row>
    <row r="9283" spans="1:9" x14ac:dyDescent="0.3">
      <c r="A9283" s="55">
        <v>10</v>
      </c>
      <c r="B9283" s="84" t="s">
        <v>1581</v>
      </c>
      <c r="C9283" s="55">
        <v>112</v>
      </c>
      <c r="D9283" s="86">
        <v>998719</v>
      </c>
      <c r="E9283" s="55">
        <v>750</v>
      </c>
      <c r="F9283" s="55">
        <f t="shared" si="249"/>
        <v>7560</v>
      </c>
      <c r="G9283" s="55">
        <f t="shared" si="250"/>
        <v>7560</v>
      </c>
      <c r="H9283" s="55">
        <f t="shared" si="248"/>
        <v>99120</v>
      </c>
      <c r="I9283" s="362">
        <f t="shared" si="247"/>
        <v>84000</v>
      </c>
    </row>
    <row r="9284" spans="1:9" x14ac:dyDescent="0.3">
      <c r="A9284" s="55"/>
      <c r="B9284" s="399"/>
      <c r="C9284" s="55"/>
      <c r="D9284" s="86"/>
      <c r="E9284" s="55"/>
      <c r="F9284" s="55"/>
      <c r="G9284" s="55"/>
      <c r="H9284" s="55"/>
    </row>
    <row r="9285" spans="1:9" x14ac:dyDescent="0.3">
      <c r="A9285" s="163"/>
      <c r="B9285" s="163"/>
      <c r="C9285" s="163"/>
      <c r="D9285" s="163"/>
      <c r="E9285" s="163"/>
      <c r="F9285" s="163"/>
      <c r="G9285" s="163"/>
      <c r="H9285" s="163"/>
    </row>
    <row r="9286" spans="1:9" x14ac:dyDescent="0.3">
      <c r="A9286" s="163"/>
      <c r="B9286" s="163"/>
      <c r="C9286" s="163"/>
      <c r="D9286" s="163"/>
      <c r="E9286" s="163"/>
      <c r="F9286" s="163"/>
      <c r="G9286" s="163"/>
      <c r="H9286" s="163"/>
    </row>
    <row r="9287" spans="1:9" x14ac:dyDescent="0.3">
      <c r="A9287" s="163"/>
      <c r="B9287" s="163"/>
      <c r="C9287" s="163"/>
      <c r="D9287" s="163"/>
      <c r="E9287" s="163"/>
      <c r="F9287" s="163"/>
      <c r="G9287" s="163"/>
      <c r="H9287" s="163"/>
    </row>
    <row r="9288" spans="1:9" x14ac:dyDescent="0.3">
      <c r="A9288" s="163"/>
      <c r="B9288" s="163"/>
      <c r="C9288" s="163"/>
      <c r="D9288" s="163"/>
      <c r="E9288" s="163"/>
      <c r="F9288" s="163"/>
      <c r="G9288" s="163"/>
      <c r="H9288" s="163"/>
    </row>
    <row r="9289" spans="1:9" x14ac:dyDescent="0.3">
      <c r="A9289" s="163"/>
      <c r="B9289" s="163"/>
      <c r="C9289" s="163"/>
      <c r="D9289" s="163"/>
      <c r="E9289" s="163"/>
      <c r="F9289" s="163"/>
      <c r="G9289" s="163"/>
      <c r="H9289" s="163"/>
    </row>
    <row r="9290" spans="1:9" x14ac:dyDescent="0.3">
      <c r="A9290" s="258"/>
      <c r="B9290" s="257"/>
      <c r="C9290" s="258"/>
      <c r="D9290" s="86"/>
      <c r="E9290" s="55"/>
      <c r="F9290" s="259"/>
      <c r="G9290" s="259"/>
      <c r="H9290" s="258"/>
    </row>
    <row r="9291" spans="1:9" x14ac:dyDescent="0.3">
      <c r="A9291" s="55"/>
      <c r="B9291" s="84"/>
      <c r="C9291" s="55"/>
      <c r="D9291" s="55"/>
      <c r="E9291" s="55"/>
      <c r="F9291" s="55"/>
      <c r="G9291" s="55"/>
      <c r="H9291" s="55"/>
    </row>
    <row r="9292" spans="1:9" x14ac:dyDescent="0.3">
      <c r="A9292" s="163"/>
      <c r="B9292" s="163"/>
      <c r="C9292" s="163"/>
      <c r="D9292" s="163"/>
      <c r="E9292" s="163"/>
      <c r="F9292" s="163"/>
      <c r="G9292" s="163"/>
      <c r="H9292" s="163"/>
    </row>
    <row r="9293" spans="1:9" x14ac:dyDescent="0.3">
      <c r="A9293" s="55"/>
      <c r="B9293" s="257"/>
      <c r="C9293" s="55"/>
      <c r="D9293" s="55"/>
      <c r="E9293" s="55"/>
      <c r="F9293" s="55"/>
      <c r="G9293" s="55"/>
      <c r="H9293" s="55"/>
    </row>
    <row r="9294" spans="1:9" x14ac:dyDescent="0.3">
      <c r="A9294" s="57"/>
      <c r="B9294" s="84"/>
      <c r="C9294" s="85"/>
      <c r="D9294" s="86"/>
      <c r="E9294" s="87"/>
      <c r="F9294" s="47"/>
      <c r="G9294" s="47"/>
      <c r="H9294" s="47"/>
    </row>
    <row r="9295" spans="1:9" x14ac:dyDescent="0.3">
      <c r="A9295" s="57"/>
      <c r="B9295" s="84"/>
      <c r="C9295" s="85"/>
      <c r="D9295" s="86"/>
      <c r="E9295" s="47"/>
      <c r="F9295" s="47"/>
      <c r="G9295" s="47"/>
      <c r="H9295" s="47"/>
    </row>
    <row r="9296" spans="1:9" x14ac:dyDescent="0.3">
      <c r="A9296" s="55"/>
      <c r="B9296" s="84"/>
      <c r="C9296" s="55"/>
      <c r="D9296" s="86"/>
      <c r="E9296" s="47"/>
      <c r="F9296" s="47"/>
      <c r="G9296" s="47"/>
      <c r="H9296" s="47"/>
    </row>
    <row r="9297" spans="1:8" x14ac:dyDescent="0.3">
      <c r="A9297" s="27"/>
      <c r="B9297" s="28"/>
      <c r="C9297" s="24"/>
      <c r="D9297" s="25"/>
      <c r="E9297" s="25"/>
      <c r="F9297" s="28"/>
      <c r="G9297" s="28"/>
      <c r="H9297" s="32"/>
    </row>
    <row r="9298" spans="1:8" ht="15.6" x14ac:dyDescent="0.3">
      <c r="A9298" s="448" t="s">
        <v>45</v>
      </c>
      <c r="B9298" s="449"/>
      <c r="C9298" s="24"/>
      <c r="D9298" s="25"/>
      <c r="E9298" s="25"/>
      <c r="F9298" s="447" t="s">
        <v>46</v>
      </c>
      <c r="G9298" s="447"/>
      <c r="H9298" s="66">
        <f>C9274*E9274+C9275*E9275+C9276*E9276+C9281*E9281+C9282*E9282+C9283*E9283+C9277*E9277+C9278*E9278+C9279*E9279+C9280*E9280</f>
        <v>186700</v>
      </c>
    </row>
    <row r="9299" spans="1:8" ht="15.6" x14ac:dyDescent="0.3">
      <c r="A9299" s="497" t="s">
        <v>1622</v>
      </c>
      <c r="B9299" s="498"/>
      <c r="C9299" s="498"/>
      <c r="D9299" s="498"/>
      <c r="E9299" s="498"/>
      <c r="F9299" s="447" t="s">
        <v>47</v>
      </c>
      <c r="G9299" s="447"/>
      <c r="H9299" s="66">
        <f>H9298*9%</f>
        <v>16803</v>
      </c>
    </row>
    <row r="9300" spans="1:8" ht="15.6" x14ac:dyDescent="0.3">
      <c r="A9300" s="27"/>
      <c r="B9300" s="28"/>
      <c r="C9300" s="24"/>
      <c r="D9300" s="25"/>
      <c r="E9300" s="25"/>
      <c r="F9300" s="447" t="s">
        <v>48</v>
      </c>
      <c r="G9300" s="447"/>
      <c r="H9300" s="66">
        <f>H9299</f>
        <v>16803</v>
      </c>
    </row>
    <row r="9301" spans="1:8" ht="15.6" x14ac:dyDescent="0.3">
      <c r="A9301" s="64" t="s">
        <v>49</v>
      </c>
      <c r="B9301" s="65"/>
      <c r="C9301" s="24"/>
      <c r="D9301" s="25"/>
      <c r="E9301" s="25"/>
      <c r="F9301" s="447" t="s">
        <v>50</v>
      </c>
      <c r="G9301" s="447"/>
      <c r="H9301" s="66">
        <f>H9298+H9299+H9300</f>
        <v>220306</v>
      </c>
    </row>
    <row r="9302" spans="1:8" ht="27" x14ac:dyDescent="0.3">
      <c r="A9302" s="68" t="s">
        <v>22</v>
      </c>
      <c r="B9302" s="30" t="s">
        <v>51</v>
      </c>
      <c r="C9302" s="70" t="s">
        <v>24</v>
      </c>
      <c r="D9302" s="31" t="s">
        <v>25</v>
      </c>
      <c r="E9302" s="450" t="s">
        <v>52</v>
      </c>
      <c r="F9302" s="450"/>
      <c r="G9302" s="28"/>
      <c r="H9302" s="32"/>
    </row>
    <row r="9303" spans="1:8" x14ac:dyDescent="0.3">
      <c r="A9303" s="72">
        <v>0.18</v>
      </c>
      <c r="B9303" s="73">
        <f>H9298</f>
        <v>186700</v>
      </c>
      <c r="C9303" s="91">
        <f>H9299</f>
        <v>16803</v>
      </c>
      <c r="D9303" s="91">
        <f>H9299</f>
        <v>16803</v>
      </c>
      <c r="E9303" s="506">
        <f>C9303+D9303</f>
        <v>33606</v>
      </c>
      <c r="F9303" s="507"/>
      <c r="G9303" s="74"/>
      <c r="H9303" s="75"/>
    </row>
    <row r="9304" spans="1:8" x14ac:dyDescent="0.3">
      <c r="A9304" s="508" t="s">
        <v>1623</v>
      </c>
      <c r="B9304" s="509"/>
      <c r="C9304" s="509"/>
      <c r="D9304" s="509"/>
      <c r="E9304" s="453"/>
      <c r="F9304" s="453"/>
      <c r="G9304" s="453"/>
      <c r="H9304" s="454"/>
    </row>
    <row r="9305" spans="1:8" ht="15.6" x14ac:dyDescent="0.3">
      <c r="A9305" s="455" t="s">
        <v>53</v>
      </c>
      <c r="B9305" s="456"/>
      <c r="C9305" s="456"/>
      <c r="D9305" s="457"/>
      <c r="E9305" s="458" t="s">
        <v>54</v>
      </c>
      <c r="F9305" s="459"/>
      <c r="G9305" s="459"/>
      <c r="H9305" s="460"/>
    </row>
    <row r="9306" spans="1:8" x14ac:dyDescent="0.3">
      <c r="A9306" s="461" t="s">
        <v>55</v>
      </c>
      <c r="B9306" s="462"/>
      <c r="C9306" s="462"/>
      <c r="D9306" s="463"/>
      <c r="E9306" s="39"/>
      <c r="F9306" s="28"/>
      <c r="G9306" s="28"/>
      <c r="H9306" s="32"/>
    </row>
    <row r="9307" spans="1:8" x14ac:dyDescent="0.3">
      <c r="A9307" s="461" t="s">
        <v>56</v>
      </c>
      <c r="B9307" s="462"/>
      <c r="C9307" s="462"/>
      <c r="D9307" s="463"/>
      <c r="E9307" s="39"/>
      <c r="F9307" s="28"/>
      <c r="G9307" s="28"/>
      <c r="H9307" s="32"/>
    </row>
    <row r="9308" spans="1:8" x14ac:dyDescent="0.3">
      <c r="A9308" s="461" t="s">
        <v>57</v>
      </c>
      <c r="B9308" s="462"/>
      <c r="C9308" s="462"/>
      <c r="D9308" s="463"/>
      <c r="E9308" s="39"/>
      <c r="F9308" s="28"/>
      <c r="G9308" s="28"/>
      <c r="H9308" s="32"/>
    </row>
    <row r="9309" spans="1:8" ht="15.6" x14ac:dyDescent="0.3">
      <c r="A9309" s="464" t="s">
        <v>58</v>
      </c>
      <c r="B9309" s="465"/>
      <c r="C9309" s="465"/>
      <c r="D9309" s="465"/>
      <c r="E9309" s="466" t="s">
        <v>59</v>
      </c>
      <c r="F9309" s="467"/>
      <c r="G9309" s="467"/>
      <c r="H9309" s="468"/>
    </row>
    <row r="9312" spans="1:8" ht="44.4" x14ac:dyDescent="0.7">
      <c r="A9312" s="469" t="s">
        <v>0</v>
      </c>
      <c r="B9312" s="470"/>
      <c r="C9312" s="470"/>
      <c r="D9312" s="470"/>
      <c r="E9312" s="471" t="s">
        <v>1</v>
      </c>
      <c r="F9312" s="472"/>
      <c r="G9312" s="472"/>
      <c r="H9312" s="473"/>
    </row>
    <row r="9313" spans="1:9" ht="20.399999999999999" x14ac:dyDescent="0.35">
      <c r="A9313" s="1"/>
      <c r="B9313" s="476" t="s">
        <v>2</v>
      </c>
      <c r="C9313" s="476"/>
      <c r="D9313" s="476"/>
      <c r="E9313" s="474"/>
      <c r="F9313" s="474"/>
      <c r="G9313" s="474"/>
      <c r="H9313" s="475"/>
    </row>
    <row r="9314" spans="1:9" x14ac:dyDescent="0.3">
      <c r="A9314" s="477" t="s">
        <v>3</v>
      </c>
      <c r="B9314" s="478"/>
      <c r="C9314" s="479" t="s">
        <v>4</v>
      </c>
      <c r="D9314" s="479"/>
      <c r="E9314" s="480" t="s">
        <v>5</v>
      </c>
      <c r="F9314" s="480"/>
      <c r="G9314" s="480"/>
      <c r="H9314" s="480"/>
    </row>
    <row r="9315" spans="1:9" ht="15.6" x14ac:dyDescent="0.3">
      <c r="A9315" s="4" t="s">
        <v>6</v>
      </c>
      <c r="B9315" s="5"/>
      <c r="C9315" s="481" t="s">
        <v>7</v>
      </c>
      <c r="D9315" s="481"/>
      <c r="E9315" s="482">
        <v>202</v>
      </c>
      <c r="F9315" s="482"/>
      <c r="G9315" s="7" t="s">
        <v>8</v>
      </c>
      <c r="H9315" s="250" t="s">
        <v>1555</v>
      </c>
    </row>
    <row r="9316" spans="1:9" ht="15.6" x14ac:dyDescent="0.3">
      <c r="A9316" s="551" t="s">
        <v>458</v>
      </c>
      <c r="B9316" s="552"/>
      <c r="C9316" s="481" t="s">
        <v>10</v>
      </c>
      <c r="D9316" s="481"/>
      <c r="E9316" s="482">
        <v>7</v>
      </c>
      <c r="F9316" s="482"/>
      <c r="G9316" s="7" t="s">
        <v>8</v>
      </c>
      <c r="H9316" s="401" t="s">
        <v>1592</v>
      </c>
    </row>
    <row r="9317" spans="1:9" ht="27.75" customHeight="1" x14ac:dyDescent="0.3">
      <c r="A9317" s="560" t="s">
        <v>459</v>
      </c>
      <c r="B9317" s="561"/>
      <c r="C9317" s="483" t="s">
        <v>12</v>
      </c>
      <c r="D9317" s="484"/>
      <c r="E9317" s="562" t="s">
        <v>466</v>
      </c>
      <c r="F9317" s="563"/>
      <c r="G9317" s="400" t="s">
        <v>8</v>
      </c>
      <c r="H9317" s="401" t="s">
        <v>465</v>
      </c>
    </row>
    <row r="9318" spans="1:9" ht="15.6" x14ac:dyDescent="0.3">
      <c r="A9318" s="253" t="s">
        <v>460</v>
      </c>
      <c r="B9318" s="254"/>
      <c r="C9318" s="481" t="s">
        <v>15</v>
      </c>
      <c r="D9318" s="481"/>
      <c r="E9318" s="489" t="s">
        <v>461</v>
      </c>
      <c r="F9318" s="490"/>
      <c r="G9318" s="490"/>
      <c r="H9318" s="491"/>
    </row>
    <row r="9319" spans="1:9" ht="15.6" x14ac:dyDescent="0.3">
      <c r="A9319" s="255" t="s">
        <v>1593</v>
      </c>
      <c r="B9319" s="256"/>
      <c r="C9319" s="489"/>
      <c r="D9319" s="490"/>
      <c r="E9319" s="490"/>
      <c r="F9319" s="490"/>
      <c r="G9319" s="490"/>
      <c r="H9319" s="491"/>
    </row>
    <row r="9320" spans="1:9" ht="15" x14ac:dyDescent="0.3">
      <c r="A9320" s="492" t="s">
        <v>17</v>
      </c>
      <c r="B9320" s="494" t="s">
        <v>18</v>
      </c>
      <c r="C9320" s="494" t="s">
        <v>19</v>
      </c>
      <c r="D9320" s="495" t="s">
        <v>20</v>
      </c>
      <c r="E9320" s="494" t="s">
        <v>21</v>
      </c>
      <c r="F9320" s="494" t="s">
        <v>22</v>
      </c>
      <c r="G9320" s="494"/>
      <c r="H9320" s="492" t="s">
        <v>23</v>
      </c>
    </row>
    <row r="9321" spans="1:9" ht="27.6" x14ac:dyDescent="0.3">
      <c r="A9321" s="492"/>
      <c r="B9321" s="494"/>
      <c r="C9321" s="494"/>
      <c r="D9321" s="505"/>
      <c r="E9321" s="494"/>
      <c r="F9321" s="53" t="s">
        <v>24</v>
      </c>
      <c r="G9321" s="53" t="s">
        <v>25</v>
      </c>
      <c r="H9321" s="492"/>
    </row>
    <row r="9322" spans="1:9" x14ac:dyDescent="0.3">
      <c r="A9322" s="55">
        <v>1</v>
      </c>
      <c r="B9322" s="84" t="s">
        <v>1594</v>
      </c>
      <c r="C9322" s="55">
        <v>1</v>
      </c>
      <c r="D9322" s="86">
        <v>998719</v>
      </c>
      <c r="E9322" s="55">
        <v>4500</v>
      </c>
      <c r="F9322" s="55">
        <f>E9322*C9322*9%</f>
        <v>405</v>
      </c>
      <c r="G9322" s="55">
        <f>F9322</f>
        <v>405</v>
      </c>
      <c r="H9322" s="55">
        <f>G9322+F9322+E9322*C9322</f>
        <v>5310</v>
      </c>
      <c r="I9322" s="362">
        <f>E9322*C9322</f>
        <v>4500</v>
      </c>
    </row>
    <row r="9323" spans="1:9" x14ac:dyDescent="0.3">
      <c r="A9323" s="55">
        <v>2</v>
      </c>
      <c r="B9323" s="84" t="s">
        <v>1595</v>
      </c>
      <c r="C9323" s="55">
        <v>6</v>
      </c>
      <c r="D9323" s="86">
        <v>998719</v>
      </c>
      <c r="E9323" s="55">
        <v>1200</v>
      </c>
      <c r="F9323" s="55">
        <f>E9323*C9323*9%</f>
        <v>648</v>
      </c>
      <c r="G9323" s="55">
        <f>F9323</f>
        <v>648</v>
      </c>
      <c r="H9323" s="55">
        <f>G9323+F9323+E9323*C9323</f>
        <v>8496</v>
      </c>
      <c r="I9323" s="362">
        <f t="shared" ref="I9323:I9324" si="251">E9323*C9323</f>
        <v>7200</v>
      </c>
    </row>
    <row r="9324" spans="1:9" x14ac:dyDescent="0.3">
      <c r="A9324" s="55">
        <v>3</v>
      </c>
      <c r="B9324" s="84" t="s">
        <v>1596</v>
      </c>
      <c r="C9324" s="55">
        <v>1</v>
      </c>
      <c r="D9324" s="86">
        <v>85359090</v>
      </c>
      <c r="E9324" s="55">
        <v>12700</v>
      </c>
      <c r="F9324" s="55">
        <f>E9324*C9324*9%</f>
        <v>1143</v>
      </c>
      <c r="G9324" s="55">
        <f>F9324</f>
        <v>1143</v>
      </c>
      <c r="H9324" s="55">
        <f>G9324+F9324+E9324*C9324</f>
        <v>14986</v>
      </c>
      <c r="I9324" s="362">
        <f t="shared" si="251"/>
        <v>12700</v>
      </c>
    </row>
    <row r="9325" spans="1:9" x14ac:dyDescent="0.3">
      <c r="A9325" s="55"/>
      <c r="B9325" s="84"/>
      <c r="C9325" s="55"/>
      <c r="D9325" s="86"/>
      <c r="E9325" s="55"/>
      <c r="F9325" s="55"/>
      <c r="G9325" s="55"/>
      <c r="H9325" s="55"/>
    </row>
    <row r="9326" spans="1:9" x14ac:dyDescent="0.3">
      <c r="A9326" s="55"/>
      <c r="B9326" s="84"/>
      <c r="C9326" s="55"/>
      <c r="D9326" s="86"/>
      <c r="E9326" s="55"/>
      <c r="F9326" s="55"/>
      <c r="G9326" s="55"/>
      <c r="H9326" s="55"/>
    </row>
    <row r="9327" spans="1:9" x14ac:dyDescent="0.3">
      <c r="A9327" s="55"/>
      <c r="B9327" s="84"/>
      <c r="C9327" s="55"/>
      <c r="D9327" s="86"/>
      <c r="E9327" s="55"/>
      <c r="F9327" s="55"/>
      <c r="G9327" s="55"/>
      <c r="H9327" s="55"/>
    </row>
    <row r="9328" spans="1:9" x14ac:dyDescent="0.3">
      <c r="A9328" s="55"/>
      <c r="B9328" s="84"/>
      <c r="C9328" s="55"/>
      <c r="D9328" s="86"/>
      <c r="E9328" s="55"/>
      <c r="F9328" s="55"/>
      <c r="G9328" s="55"/>
      <c r="H9328" s="55"/>
    </row>
    <row r="9329" spans="1:8" x14ac:dyDescent="0.3">
      <c r="A9329" s="55"/>
      <c r="B9329" s="84"/>
      <c r="C9329" s="55"/>
      <c r="D9329" s="86"/>
      <c r="E9329" s="55"/>
      <c r="F9329" s="55"/>
      <c r="G9329" s="55"/>
      <c r="H9329" s="55"/>
    </row>
    <row r="9330" spans="1:8" x14ac:dyDescent="0.3">
      <c r="A9330" s="55"/>
      <c r="B9330" s="84"/>
      <c r="C9330" s="55"/>
      <c r="D9330" s="86"/>
      <c r="E9330" s="55"/>
      <c r="F9330" s="55"/>
      <c r="G9330" s="55"/>
      <c r="H9330" s="55"/>
    </row>
    <row r="9331" spans="1:8" x14ac:dyDescent="0.3">
      <c r="A9331" s="55"/>
      <c r="B9331" s="84"/>
      <c r="C9331" s="55"/>
      <c r="D9331" s="86"/>
      <c r="E9331" s="55"/>
      <c r="F9331" s="55"/>
      <c r="G9331" s="55"/>
      <c r="H9331" s="55"/>
    </row>
    <row r="9332" spans="1:8" x14ac:dyDescent="0.3">
      <c r="A9332" s="55"/>
      <c r="B9332" s="399"/>
      <c r="C9332" s="55"/>
      <c r="D9332" s="86"/>
      <c r="E9332" s="55"/>
      <c r="F9332" s="55"/>
      <c r="G9332" s="55"/>
      <c r="H9332" s="55"/>
    </row>
    <row r="9333" spans="1:8" x14ac:dyDescent="0.3">
      <c r="A9333" s="163"/>
      <c r="B9333" s="163"/>
      <c r="C9333" s="163"/>
      <c r="D9333" s="163"/>
      <c r="E9333" s="163"/>
      <c r="F9333" s="163"/>
      <c r="G9333" s="163"/>
      <c r="H9333" s="163"/>
    </row>
    <row r="9334" spans="1:8" x14ac:dyDescent="0.3">
      <c r="A9334" s="163"/>
      <c r="B9334" s="163"/>
      <c r="C9334" s="163"/>
      <c r="D9334" s="163"/>
      <c r="E9334" s="163"/>
      <c r="F9334" s="163"/>
      <c r="G9334" s="163"/>
      <c r="H9334" s="163"/>
    </row>
    <row r="9335" spans="1:8" x14ac:dyDescent="0.3">
      <c r="A9335" s="163"/>
      <c r="B9335" s="163"/>
      <c r="C9335" s="163"/>
      <c r="D9335" s="163"/>
      <c r="E9335" s="163"/>
      <c r="F9335" s="163"/>
      <c r="G9335" s="163"/>
      <c r="H9335" s="163"/>
    </row>
    <row r="9336" spans="1:8" x14ac:dyDescent="0.3">
      <c r="A9336" s="163"/>
      <c r="B9336" s="163"/>
      <c r="C9336" s="163"/>
      <c r="D9336" s="163"/>
      <c r="E9336" s="163"/>
      <c r="F9336" s="163"/>
      <c r="G9336" s="163"/>
      <c r="H9336" s="163"/>
    </row>
    <row r="9337" spans="1:8" x14ac:dyDescent="0.3">
      <c r="A9337" s="163"/>
      <c r="B9337" s="163"/>
      <c r="C9337" s="163"/>
      <c r="D9337" s="163"/>
      <c r="E9337" s="163"/>
      <c r="F9337" s="163"/>
      <c r="G9337" s="163"/>
      <c r="H9337" s="163"/>
    </row>
    <row r="9338" spans="1:8" x14ac:dyDescent="0.3">
      <c r="A9338" s="258"/>
      <c r="B9338" s="257"/>
      <c r="C9338" s="258"/>
      <c r="D9338" s="86"/>
      <c r="E9338" s="55"/>
      <c r="F9338" s="259"/>
      <c r="G9338" s="259"/>
      <c r="H9338" s="258"/>
    </row>
    <row r="9339" spans="1:8" x14ac:dyDescent="0.3">
      <c r="A9339" s="55"/>
      <c r="B9339" s="84"/>
      <c r="C9339" s="55"/>
      <c r="D9339" s="55"/>
      <c r="E9339" s="55"/>
      <c r="F9339" s="55"/>
      <c r="G9339" s="55"/>
      <c r="H9339" s="55"/>
    </row>
    <row r="9340" spans="1:8" x14ac:dyDescent="0.3">
      <c r="A9340" s="163"/>
      <c r="B9340" s="163"/>
      <c r="C9340" s="163"/>
      <c r="D9340" s="163"/>
      <c r="E9340" s="163"/>
      <c r="F9340" s="163"/>
      <c r="G9340" s="163"/>
      <c r="H9340" s="163"/>
    </row>
    <row r="9341" spans="1:8" x14ac:dyDescent="0.3">
      <c r="A9341" s="55"/>
      <c r="B9341" s="257"/>
      <c r="C9341" s="55"/>
      <c r="D9341" s="55"/>
      <c r="E9341" s="55"/>
      <c r="F9341" s="55"/>
      <c r="G9341" s="55"/>
      <c r="H9341" s="55"/>
    </row>
    <row r="9342" spans="1:8" x14ac:dyDescent="0.3">
      <c r="A9342" s="57"/>
      <c r="B9342" s="84"/>
      <c r="C9342" s="85"/>
      <c r="D9342" s="86"/>
      <c r="E9342" s="87"/>
      <c r="F9342" s="47"/>
      <c r="G9342" s="47"/>
      <c r="H9342" s="47"/>
    </row>
    <row r="9343" spans="1:8" x14ac:dyDescent="0.3">
      <c r="A9343" s="57"/>
      <c r="B9343" s="84"/>
      <c r="C9343" s="85"/>
      <c r="D9343" s="86"/>
      <c r="E9343" s="47"/>
      <c r="F9343" s="47"/>
      <c r="G9343" s="47"/>
      <c r="H9343" s="47"/>
    </row>
    <row r="9344" spans="1:8" x14ac:dyDescent="0.3">
      <c r="A9344" s="55"/>
      <c r="B9344" s="84"/>
      <c r="C9344" s="55"/>
      <c r="D9344" s="86"/>
      <c r="E9344" s="47"/>
      <c r="F9344" s="47"/>
      <c r="G9344" s="47"/>
      <c r="H9344" s="47"/>
    </row>
    <row r="9345" spans="1:8" x14ac:dyDescent="0.3">
      <c r="A9345" s="27"/>
      <c r="B9345" s="28"/>
      <c r="C9345" s="24"/>
      <c r="D9345" s="25"/>
      <c r="E9345" s="25"/>
      <c r="F9345" s="28"/>
      <c r="G9345" s="28"/>
      <c r="H9345" s="32"/>
    </row>
    <row r="9346" spans="1:8" ht="15.6" x14ac:dyDescent="0.3">
      <c r="A9346" s="448" t="s">
        <v>45</v>
      </c>
      <c r="B9346" s="449"/>
      <c r="C9346" s="24"/>
      <c r="D9346" s="25"/>
      <c r="E9346" s="25"/>
      <c r="F9346" s="447" t="s">
        <v>46</v>
      </c>
      <c r="G9346" s="447"/>
      <c r="H9346" s="66">
        <f>C9322*E9322+C9323*E9323+C9324*E9324+C9329*E9329+C9330*E9330+C9331*E9331+C9325*E9325+C9326*E9326+C9327*E9327+C9328*E9328</f>
        <v>24400</v>
      </c>
    </row>
    <row r="9347" spans="1:8" ht="15.6" x14ac:dyDescent="0.3">
      <c r="A9347" s="497" t="s">
        <v>1625</v>
      </c>
      <c r="B9347" s="498"/>
      <c r="C9347" s="498"/>
      <c r="D9347" s="498"/>
      <c r="E9347" s="498"/>
      <c r="F9347" s="447" t="s">
        <v>47</v>
      </c>
      <c r="G9347" s="447"/>
      <c r="H9347" s="66">
        <f>H9346*9%</f>
        <v>2196</v>
      </c>
    </row>
    <row r="9348" spans="1:8" ht="15.6" x14ac:dyDescent="0.3">
      <c r="A9348" s="27"/>
      <c r="B9348" s="28"/>
      <c r="C9348" s="24"/>
      <c r="D9348" s="25"/>
      <c r="E9348" s="25"/>
      <c r="F9348" s="447" t="s">
        <v>48</v>
      </c>
      <c r="G9348" s="447"/>
      <c r="H9348" s="66">
        <f>H9347</f>
        <v>2196</v>
      </c>
    </row>
    <row r="9349" spans="1:8" ht="15.6" x14ac:dyDescent="0.3">
      <c r="A9349" s="64" t="s">
        <v>49</v>
      </c>
      <c r="B9349" s="65"/>
      <c r="C9349" s="24"/>
      <c r="D9349" s="25"/>
      <c r="E9349" s="25"/>
      <c r="F9349" s="447" t="s">
        <v>50</v>
      </c>
      <c r="G9349" s="447"/>
      <c r="H9349" s="66">
        <f>H9346+H9347+H9348</f>
        <v>28792</v>
      </c>
    </row>
    <row r="9350" spans="1:8" ht="27" x14ac:dyDescent="0.3">
      <c r="A9350" s="68" t="s">
        <v>22</v>
      </c>
      <c r="B9350" s="30" t="s">
        <v>51</v>
      </c>
      <c r="C9350" s="70" t="s">
        <v>24</v>
      </c>
      <c r="D9350" s="31" t="s">
        <v>25</v>
      </c>
      <c r="E9350" s="450" t="s">
        <v>52</v>
      </c>
      <c r="F9350" s="450"/>
      <c r="G9350" s="28"/>
      <c r="H9350" s="32"/>
    </row>
    <row r="9351" spans="1:8" x14ac:dyDescent="0.3">
      <c r="A9351" s="72">
        <v>0.18</v>
      </c>
      <c r="B9351" s="73">
        <f>H9346</f>
        <v>24400</v>
      </c>
      <c r="C9351" s="91">
        <f>H9347</f>
        <v>2196</v>
      </c>
      <c r="D9351" s="91">
        <f>H9347</f>
        <v>2196</v>
      </c>
      <c r="E9351" s="506">
        <f>C9351+D9351</f>
        <v>4392</v>
      </c>
      <c r="F9351" s="507"/>
      <c r="G9351" s="74"/>
      <c r="H9351" s="75"/>
    </row>
    <row r="9352" spans="1:8" x14ac:dyDescent="0.3">
      <c r="A9352" s="508" t="s">
        <v>1624</v>
      </c>
      <c r="B9352" s="509"/>
      <c r="C9352" s="509"/>
      <c r="D9352" s="509"/>
      <c r="E9352" s="453"/>
      <c r="F9352" s="453"/>
      <c r="G9352" s="453"/>
      <c r="H9352" s="454"/>
    </row>
    <row r="9353" spans="1:8" ht="15.6" x14ac:dyDescent="0.3">
      <c r="A9353" s="455" t="s">
        <v>53</v>
      </c>
      <c r="B9353" s="456"/>
      <c r="C9353" s="456"/>
      <c r="D9353" s="457"/>
      <c r="E9353" s="458" t="s">
        <v>54</v>
      </c>
      <c r="F9353" s="459"/>
      <c r="G9353" s="459"/>
      <c r="H9353" s="460"/>
    </row>
    <row r="9354" spans="1:8" x14ac:dyDescent="0.3">
      <c r="A9354" s="461" t="s">
        <v>55</v>
      </c>
      <c r="B9354" s="462"/>
      <c r="C9354" s="462"/>
      <c r="D9354" s="463"/>
      <c r="E9354" s="39"/>
      <c r="F9354" s="28"/>
      <c r="G9354" s="28"/>
      <c r="H9354" s="32"/>
    </row>
    <row r="9355" spans="1:8" x14ac:dyDescent="0.3">
      <c r="A9355" s="461" t="s">
        <v>56</v>
      </c>
      <c r="B9355" s="462"/>
      <c r="C9355" s="462"/>
      <c r="D9355" s="463"/>
      <c r="E9355" s="39"/>
      <c r="F9355" s="28"/>
      <c r="G9355" s="28"/>
      <c r="H9355" s="32"/>
    </row>
    <row r="9356" spans="1:8" x14ac:dyDescent="0.3">
      <c r="A9356" s="461" t="s">
        <v>57</v>
      </c>
      <c r="B9356" s="462"/>
      <c r="C9356" s="462"/>
      <c r="D9356" s="463"/>
      <c r="E9356" s="39"/>
      <c r="F9356" s="28"/>
      <c r="G9356" s="28"/>
      <c r="H9356" s="32"/>
    </row>
    <row r="9357" spans="1:8" ht="15.6" x14ac:dyDescent="0.3">
      <c r="A9357" s="464" t="s">
        <v>58</v>
      </c>
      <c r="B9357" s="465"/>
      <c r="C9357" s="465"/>
      <c r="D9357" s="465"/>
      <c r="E9357" s="466" t="s">
        <v>59</v>
      </c>
      <c r="F9357" s="467"/>
      <c r="G9357" s="467"/>
      <c r="H9357" s="468"/>
    </row>
    <row r="9360" spans="1:8" ht="44.4" x14ac:dyDescent="0.7">
      <c r="A9360" s="469" t="s">
        <v>0</v>
      </c>
      <c r="B9360" s="470"/>
      <c r="C9360" s="470"/>
      <c r="D9360" s="470"/>
      <c r="E9360" s="471" t="s">
        <v>1</v>
      </c>
      <c r="F9360" s="472"/>
      <c r="G9360" s="472"/>
      <c r="H9360" s="473"/>
    </row>
    <row r="9361" spans="1:9" ht="20.399999999999999" x14ac:dyDescent="0.35">
      <c r="A9361" s="1"/>
      <c r="B9361" s="476" t="s">
        <v>2</v>
      </c>
      <c r="C9361" s="476"/>
      <c r="D9361" s="476"/>
      <c r="E9361" s="474"/>
      <c r="F9361" s="474"/>
      <c r="G9361" s="474"/>
      <c r="H9361" s="475"/>
    </row>
    <row r="9362" spans="1:9" x14ac:dyDescent="0.3">
      <c r="A9362" s="477" t="s">
        <v>3</v>
      </c>
      <c r="B9362" s="478"/>
      <c r="C9362" s="479" t="s">
        <v>4</v>
      </c>
      <c r="D9362" s="479"/>
      <c r="E9362" s="480" t="s">
        <v>5</v>
      </c>
      <c r="F9362" s="480"/>
      <c r="G9362" s="480"/>
      <c r="H9362" s="480"/>
    </row>
    <row r="9363" spans="1:9" ht="15.6" x14ac:dyDescent="0.3">
      <c r="A9363" s="4" t="s">
        <v>6</v>
      </c>
      <c r="B9363" s="5"/>
      <c r="C9363" s="481" t="s">
        <v>7</v>
      </c>
      <c r="D9363" s="481"/>
      <c r="E9363" s="482">
        <v>203</v>
      </c>
      <c r="F9363" s="482"/>
      <c r="G9363" s="7" t="s">
        <v>8</v>
      </c>
      <c r="H9363" s="250" t="s">
        <v>1555</v>
      </c>
    </row>
    <row r="9364" spans="1:9" ht="15.6" x14ac:dyDescent="0.3">
      <c r="A9364" s="551" t="s">
        <v>458</v>
      </c>
      <c r="B9364" s="552"/>
      <c r="C9364" s="481" t="s">
        <v>10</v>
      </c>
      <c r="D9364" s="481"/>
      <c r="E9364" s="482">
        <v>9</v>
      </c>
      <c r="F9364" s="482"/>
      <c r="G9364" s="7" t="s">
        <v>8</v>
      </c>
      <c r="H9364" s="401">
        <v>45819</v>
      </c>
    </row>
    <row r="9365" spans="1:9" ht="27" customHeight="1" x14ac:dyDescent="0.3">
      <c r="A9365" s="560" t="s">
        <v>459</v>
      </c>
      <c r="B9365" s="561"/>
      <c r="C9365" s="483" t="s">
        <v>12</v>
      </c>
      <c r="D9365" s="484"/>
      <c r="E9365" s="562" t="s">
        <v>466</v>
      </c>
      <c r="F9365" s="563"/>
      <c r="G9365" s="400" t="s">
        <v>8</v>
      </c>
      <c r="H9365" s="401" t="s">
        <v>465</v>
      </c>
    </row>
    <row r="9366" spans="1:9" ht="15.6" x14ac:dyDescent="0.3">
      <c r="A9366" s="253" t="s">
        <v>460</v>
      </c>
      <c r="B9366" s="254"/>
      <c r="C9366" s="481" t="s">
        <v>15</v>
      </c>
      <c r="D9366" s="481"/>
      <c r="E9366" s="489" t="s">
        <v>461</v>
      </c>
      <c r="F9366" s="490"/>
      <c r="G9366" s="490"/>
      <c r="H9366" s="491"/>
    </row>
    <row r="9367" spans="1:9" ht="15.6" x14ac:dyDescent="0.3">
      <c r="A9367" s="255" t="s">
        <v>1597</v>
      </c>
      <c r="B9367" s="256"/>
      <c r="C9367" s="489"/>
      <c r="D9367" s="490"/>
      <c r="E9367" s="490"/>
      <c r="F9367" s="490"/>
      <c r="G9367" s="490"/>
      <c r="H9367" s="491"/>
    </row>
    <row r="9368" spans="1:9" ht="15" x14ac:dyDescent="0.3">
      <c r="A9368" s="492" t="s">
        <v>17</v>
      </c>
      <c r="B9368" s="494" t="s">
        <v>18</v>
      </c>
      <c r="C9368" s="494" t="s">
        <v>19</v>
      </c>
      <c r="D9368" s="495" t="s">
        <v>20</v>
      </c>
      <c r="E9368" s="494" t="s">
        <v>21</v>
      </c>
      <c r="F9368" s="494" t="s">
        <v>22</v>
      </c>
      <c r="G9368" s="494"/>
      <c r="H9368" s="492" t="s">
        <v>23</v>
      </c>
    </row>
    <row r="9369" spans="1:9" ht="27.6" x14ac:dyDescent="0.3">
      <c r="A9369" s="492"/>
      <c r="B9369" s="494"/>
      <c r="C9369" s="494"/>
      <c r="D9369" s="505"/>
      <c r="E9369" s="494"/>
      <c r="F9369" s="53" t="s">
        <v>24</v>
      </c>
      <c r="G9369" s="53" t="s">
        <v>25</v>
      </c>
      <c r="H9369" s="492"/>
    </row>
    <row r="9370" spans="1:9" x14ac:dyDescent="0.3">
      <c r="A9370" s="55">
        <v>1</v>
      </c>
      <c r="B9370" s="84" t="s">
        <v>1599</v>
      </c>
      <c r="C9370" s="55">
        <v>1</v>
      </c>
      <c r="D9370" s="86">
        <v>998719</v>
      </c>
      <c r="E9370" s="55">
        <v>8000</v>
      </c>
      <c r="F9370" s="55">
        <f>E9370*C9370*9%</f>
        <v>720</v>
      </c>
      <c r="G9370" s="55">
        <f>F9370</f>
        <v>720</v>
      </c>
      <c r="H9370" s="55">
        <f>G9370+F9370+E9370*C9370</f>
        <v>9440</v>
      </c>
      <c r="I9370" s="362">
        <f>E9370*C9370</f>
        <v>8000</v>
      </c>
    </row>
    <row r="9371" spans="1:9" x14ac:dyDescent="0.3">
      <c r="A9371" s="55">
        <v>2</v>
      </c>
      <c r="B9371" s="84" t="s">
        <v>1598</v>
      </c>
      <c r="C9371" s="55">
        <v>6</v>
      </c>
      <c r="D9371" s="86">
        <v>998719</v>
      </c>
      <c r="E9371" s="55">
        <v>1200</v>
      </c>
      <c r="F9371" s="55">
        <f>E9371*C9371*9%</f>
        <v>648</v>
      </c>
      <c r="G9371" s="55">
        <f>F9371</f>
        <v>648</v>
      </c>
      <c r="H9371" s="55">
        <f>G9371+F9371+E9371*C9371</f>
        <v>8496</v>
      </c>
      <c r="I9371" s="362">
        <f t="shared" ref="I9371:I9375" si="252">E9371*C9371</f>
        <v>7200</v>
      </c>
    </row>
    <row r="9372" spans="1:9" x14ac:dyDescent="0.3">
      <c r="A9372" s="55">
        <v>3</v>
      </c>
      <c r="B9372" s="84" t="s">
        <v>1600</v>
      </c>
      <c r="C9372" s="55">
        <v>1</v>
      </c>
      <c r="D9372" s="86">
        <v>998719</v>
      </c>
      <c r="E9372" s="55">
        <v>4500</v>
      </c>
      <c r="F9372" s="55">
        <f>E9372*C9372*9%</f>
        <v>405</v>
      </c>
      <c r="G9372" s="55">
        <f>F9372</f>
        <v>405</v>
      </c>
      <c r="H9372" s="55">
        <f>G9372+F9372+E9372*C9372</f>
        <v>5310</v>
      </c>
      <c r="I9372" s="362">
        <f t="shared" si="252"/>
        <v>4500</v>
      </c>
    </row>
    <row r="9373" spans="1:9" x14ac:dyDescent="0.3">
      <c r="A9373" s="55">
        <v>4</v>
      </c>
      <c r="B9373" s="84" t="s">
        <v>1601</v>
      </c>
      <c r="C9373" s="55">
        <v>6</v>
      </c>
      <c r="D9373" s="86">
        <v>998719</v>
      </c>
      <c r="E9373" s="55">
        <v>500</v>
      </c>
      <c r="F9373" s="55">
        <f t="shared" ref="F9373:F9375" si="253">E9373*C9373*9%</f>
        <v>270</v>
      </c>
      <c r="G9373" s="55">
        <f t="shared" ref="G9373:G9375" si="254">F9373</f>
        <v>270</v>
      </c>
      <c r="H9373" s="55">
        <f t="shared" ref="H9373:H9375" si="255">G9373+F9373+E9373*C9373</f>
        <v>3540</v>
      </c>
      <c r="I9373" s="362">
        <f t="shared" si="252"/>
        <v>3000</v>
      </c>
    </row>
    <row r="9374" spans="1:9" x14ac:dyDescent="0.3">
      <c r="A9374" s="55">
        <v>5</v>
      </c>
      <c r="B9374" s="84" t="s">
        <v>1627</v>
      </c>
      <c r="C9374" s="55">
        <v>2</v>
      </c>
      <c r="D9374" s="86">
        <v>998719</v>
      </c>
      <c r="E9374" s="55">
        <v>400</v>
      </c>
      <c r="F9374" s="55">
        <f t="shared" si="253"/>
        <v>72</v>
      </c>
      <c r="G9374" s="55">
        <f t="shared" si="254"/>
        <v>72</v>
      </c>
      <c r="H9374" s="55">
        <f t="shared" si="255"/>
        <v>944</v>
      </c>
      <c r="I9374" s="362">
        <f t="shared" si="252"/>
        <v>800</v>
      </c>
    </row>
    <row r="9375" spans="1:9" x14ac:dyDescent="0.3">
      <c r="A9375" s="55">
        <v>6</v>
      </c>
      <c r="B9375" s="84" t="s">
        <v>1626</v>
      </c>
      <c r="C9375" s="55">
        <v>6</v>
      </c>
      <c r="D9375" s="297">
        <v>85369090</v>
      </c>
      <c r="E9375" s="55">
        <v>150</v>
      </c>
      <c r="F9375" s="55">
        <f t="shared" si="253"/>
        <v>81</v>
      </c>
      <c r="G9375" s="55">
        <f t="shared" si="254"/>
        <v>81</v>
      </c>
      <c r="H9375" s="55">
        <f t="shared" si="255"/>
        <v>1062</v>
      </c>
      <c r="I9375" s="362">
        <f t="shared" si="252"/>
        <v>900</v>
      </c>
    </row>
    <row r="9376" spans="1:9" x14ac:dyDescent="0.3">
      <c r="A9376" s="55"/>
      <c r="B9376" s="84"/>
      <c r="C9376" s="55"/>
      <c r="D9376" s="86"/>
      <c r="E9376" s="55"/>
      <c r="F9376" s="55"/>
      <c r="G9376" s="55"/>
      <c r="H9376" s="55"/>
    </row>
    <row r="9377" spans="1:8" x14ac:dyDescent="0.3">
      <c r="A9377" s="55"/>
      <c r="B9377" s="84"/>
      <c r="C9377" s="55"/>
      <c r="D9377" s="86"/>
      <c r="E9377" s="55"/>
      <c r="F9377" s="55"/>
      <c r="G9377" s="55"/>
      <c r="H9377" s="55"/>
    </row>
    <row r="9378" spans="1:8" x14ac:dyDescent="0.3">
      <c r="A9378" s="55"/>
      <c r="B9378" s="84"/>
      <c r="C9378" s="55"/>
      <c r="D9378" s="86"/>
      <c r="E9378" s="55"/>
      <c r="F9378" s="55"/>
      <c r="G9378" s="55"/>
      <c r="H9378" s="55"/>
    </row>
    <row r="9379" spans="1:8" x14ac:dyDescent="0.3">
      <c r="A9379" s="55"/>
      <c r="B9379" s="84"/>
      <c r="C9379" s="55"/>
      <c r="D9379" s="86"/>
      <c r="E9379" s="55"/>
      <c r="F9379" s="55"/>
      <c r="G9379" s="55"/>
      <c r="H9379" s="55"/>
    </row>
    <row r="9380" spans="1:8" x14ac:dyDescent="0.3">
      <c r="A9380" s="55"/>
      <c r="B9380" s="399"/>
      <c r="C9380" s="55"/>
      <c r="D9380" s="86"/>
      <c r="E9380" s="55"/>
      <c r="F9380" s="55"/>
      <c r="G9380" s="55"/>
      <c r="H9380" s="55"/>
    </row>
    <row r="9381" spans="1:8" x14ac:dyDescent="0.3">
      <c r="A9381" s="163"/>
      <c r="B9381" s="163"/>
      <c r="C9381" s="163"/>
      <c r="D9381" s="163"/>
      <c r="E9381" s="163"/>
      <c r="F9381" s="163"/>
      <c r="G9381" s="163"/>
      <c r="H9381" s="163"/>
    </row>
    <row r="9382" spans="1:8" x14ac:dyDescent="0.3">
      <c r="A9382" s="163"/>
      <c r="B9382" s="163"/>
      <c r="C9382" s="163"/>
      <c r="D9382" s="163"/>
      <c r="E9382" s="163"/>
      <c r="F9382" s="163"/>
      <c r="G9382" s="163"/>
      <c r="H9382" s="163"/>
    </row>
    <row r="9383" spans="1:8" x14ac:dyDescent="0.3">
      <c r="A9383" s="163"/>
      <c r="B9383" s="163"/>
      <c r="C9383" s="163"/>
      <c r="D9383" s="163"/>
      <c r="E9383" s="163"/>
      <c r="F9383" s="163"/>
      <c r="G9383" s="163"/>
      <c r="H9383" s="163"/>
    </row>
    <row r="9384" spans="1:8" x14ac:dyDescent="0.3">
      <c r="A9384" s="163"/>
      <c r="B9384" s="163"/>
      <c r="C9384" s="163"/>
      <c r="D9384" s="163"/>
      <c r="E9384" s="163"/>
      <c r="F9384" s="163"/>
      <c r="G9384" s="163"/>
      <c r="H9384" s="163"/>
    </row>
    <row r="9385" spans="1:8" x14ac:dyDescent="0.3">
      <c r="A9385" s="163"/>
      <c r="B9385" s="163"/>
      <c r="C9385" s="163"/>
      <c r="D9385" s="163"/>
      <c r="E9385" s="163"/>
      <c r="F9385" s="163"/>
      <c r="G9385" s="163"/>
      <c r="H9385" s="163"/>
    </row>
    <row r="9386" spans="1:8" x14ac:dyDescent="0.3">
      <c r="A9386" s="258"/>
      <c r="B9386" s="257"/>
      <c r="C9386" s="258"/>
      <c r="D9386" s="86"/>
      <c r="E9386" s="55"/>
      <c r="F9386" s="259"/>
      <c r="G9386" s="259"/>
      <c r="H9386" s="258"/>
    </row>
    <row r="9387" spans="1:8" x14ac:dyDescent="0.3">
      <c r="A9387" s="55"/>
      <c r="B9387" s="84"/>
      <c r="C9387" s="55"/>
      <c r="D9387" s="55"/>
      <c r="E9387" s="55"/>
      <c r="F9387" s="55"/>
      <c r="G9387" s="55"/>
      <c r="H9387" s="55"/>
    </row>
    <row r="9388" spans="1:8" x14ac:dyDescent="0.3">
      <c r="A9388" s="163"/>
      <c r="B9388" s="163"/>
      <c r="C9388" s="163"/>
      <c r="D9388" s="163"/>
      <c r="E9388" s="163"/>
      <c r="F9388" s="163"/>
      <c r="G9388" s="163"/>
      <c r="H9388" s="163"/>
    </row>
    <row r="9389" spans="1:8" x14ac:dyDescent="0.3">
      <c r="A9389" s="55"/>
      <c r="B9389" s="257"/>
      <c r="C9389" s="55"/>
      <c r="D9389" s="55"/>
      <c r="E9389" s="55"/>
      <c r="F9389" s="55"/>
      <c r="G9389" s="55"/>
      <c r="H9389" s="55"/>
    </row>
    <row r="9390" spans="1:8" x14ac:dyDescent="0.3">
      <c r="A9390" s="57"/>
      <c r="B9390" s="84"/>
      <c r="C9390" s="85"/>
      <c r="D9390" s="86"/>
      <c r="E9390" s="87"/>
      <c r="F9390" s="47"/>
      <c r="G9390" s="47"/>
      <c r="H9390" s="47"/>
    </row>
    <row r="9391" spans="1:8" x14ac:dyDescent="0.3">
      <c r="A9391" s="57"/>
      <c r="B9391" s="84"/>
      <c r="C9391" s="85"/>
      <c r="D9391" s="86"/>
      <c r="E9391" s="47"/>
      <c r="F9391" s="47"/>
      <c r="G9391" s="47"/>
      <c r="H9391" s="47"/>
    </row>
    <row r="9392" spans="1:8" x14ac:dyDescent="0.3">
      <c r="A9392" s="55"/>
      <c r="B9392" s="84"/>
      <c r="C9392" s="55"/>
      <c r="D9392" s="86"/>
      <c r="E9392" s="47"/>
      <c r="F9392" s="47"/>
      <c r="G9392" s="47"/>
      <c r="H9392" s="47"/>
    </row>
    <row r="9393" spans="1:8" x14ac:dyDescent="0.3">
      <c r="A9393" s="27"/>
      <c r="B9393" s="28"/>
      <c r="C9393" s="24"/>
      <c r="D9393" s="25"/>
      <c r="E9393" s="25"/>
      <c r="F9393" s="28"/>
      <c r="G9393" s="28"/>
      <c r="H9393" s="32"/>
    </row>
    <row r="9394" spans="1:8" ht="15.6" x14ac:dyDescent="0.3">
      <c r="A9394" s="448" t="s">
        <v>45</v>
      </c>
      <c r="B9394" s="449"/>
      <c r="C9394" s="24"/>
      <c r="D9394" s="25"/>
      <c r="E9394" s="25"/>
      <c r="F9394" s="447" t="s">
        <v>46</v>
      </c>
      <c r="G9394" s="447"/>
      <c r="H9394" s="66">
        <f>C9370*E9370+C9371*E9371+C9372*E9372+C9377*E9377+C9378*E9378+C9379*E9379+C9373*E9373+C9374*E9374+C9375*E9375+C9376*E9376</f>
        <v>24400</v>
      </c>
    </row>
    <row r="9395" spans="1:8" ht="15.6" x14ac:dyDescent="0.3">
      <c r="A9395" s="497" t="s">
        <v>1628</v>
      </c>
      <c r="B9395" s="498"/>
      <c r="C9395" s="498"/>
      <c r="D9395" s="498"/>
      <c r="E9395" s="498"/>
      <c r="F9395" s="447" t="s">
        <v>47</v>
      </c>
      <c r="G9395" s="447"/>
      <c r="H9395" s="66">
        <f>H9394*9%</f>
        <v>2196</v>
      </c>
    </row>
    <row r="9396" spans="1:8" ht="15.6" x14ac:dyDescent="0.3">
      <c r="A9396" s="27"/>
      <c r="B9396" s="28"/>
      <c r="C9396" s="24"/>
      <c r="D9396" s="25"/>
      <c r="E9396" s="25"/>
      <c r="F9396" s="447" t="s">
        <v>48</v>
      </c>
      <c r="G9396" s="447"/>
      <c r="H9396" s="66">
        <f>H9395</f>
        <v>2196</v>
      </c>
    </row>
    <row r="9397" spans="1:8" ht="15.6" x14ac:dyDescent="0.3">
      <c r="A9397" s="64" t="s">
        <v>49</v>
      </c>
      <c r="B9397" s="65"/>
      <c r="C9397" s="24"/>
      <c r="D9397" s="25"/>
      <c r="E9397" s="25"/>
      <c r="F9397" s="447" t="s">
        <v>50</v>
      </c>
      <c r="G9397" s="447"/>
      <c r="H9397" s="66">
        <f>H9394+H9395+H9396</f>
        <v>28792</v>
      </c>
    </row>
    <row r="9398" spans="1:8" ht="27" x14ac:dyDescent="0.3">
      <c r="A9398" s="68" t="s">
        <v>22</v>
      </c>
      <c r="B9398" s="30" t="s">
        <v>51</v>
      </c>
      <c r="C9398" s="70" t="s">
        <v>24</v>
      </c>
      <c r="D9398" s="31" t="s">
        <v>25</v>
      </c>
      <c r="E9398" s="450" t="s">
        <v>52</v>
      </c>
      <c r="F9398" s="450"/>
      <c r="G9398" s="28"/>
      <c r="H9398" s="32"/>
    </row>
    <row r="9399" spans="1:8" x14ac:dyDescent="0.3">
      <c r="A9399" s="72">
        <v>0.18</v>
      </c>
      <c r="B9399" s="73">
        <f>H9394</f>
        <v>24400</v>
      </c>
      <c r="C9399" s="91">
        <f>H9395</f>
        <v>2196</v>
      </c>
      <c r="D9399" s="91">
        <f>H9395</f>
        <v>2196</v>
      </c>
      <c r="E9399" s="506">
        <f>C9399+D9399</f>
        <v>4392</v>
      </c>
      <c r="F9399" s="507"/>
      <c r="G9399" s="74"/>
      <c r="H9399" s="75"/>
    </row>
    <row r="9400" spans="1:8" x14ac:dyDescent="0.3">
      <c r="A9400" s="508" t="s">
        <v>1629</v>
      </c>
      <c r="B9400" s="509"/>
      <c r="C9400" s="509"/>
      <c r="D9400" s="509"/>
      <c r="E9400" s="453"/>
      <c r="F9400" s="453"/>
      <c r="G9400" s="453"/>
      <c r="H9400" s="454"/>
    </row>
    <row r="9401" spans="1:8" ht="15.6" x14ac:dyDescent="0.3">
      <c r="A9401" s="455" t="s">
        <v>53</v>
      </c>
      <c r="B9401" s="456"/>
      <c r="C9401" s="456"/>
      <c r="D9401" s="457"/>
      <c r="E9401" s="458" t="s">
        <v>54</v>
      </c>
      <c r="F9401" s="459"/>
      <c r="G9401" s="459"/>
      <c r="H9401" s="460"/>
    </row>
    <row r="9402" spans="1:8" x14ac:dyDescent="0.3">
      <c r="A9402" s="461" t="s">
        <v>55</v>
      </c>
      <c r="B9402" s="462"/>
      <c r="C9402" s="462"/>
      <c r="D9402" s="463"/>
      <c r="E9402" s="39"/>
      <c r="F9402" s="28"/>
      <c r="G9402" s="28"/>
      <c r="H9402" s="32"/>
    </row>
    <row r="9403" spans="1:8" x14ac:dyDescent="0.3">
      <c r="A9403" s="461" t="s">
        <v>56</v>
      </c>
      <c r="B9403" s="462"/>
      <c r="C9403" s="462"/>
      <c r="D9403" s="463"/>
      <c r="E9403" s="39"/>
      <c r="F9403" s="28"/>
      <c r="G9403" s="28"/>
      <c r="H9403" s="32"/>
    </row>
    <row r="9404" spans="1:8" x14ac:dyDescent="0.3">
      <c r="A9404" s="461" t="s">
        <v>57</v>
      </c>
      <c r="B9404" s="462"/>
      <c r="C9404" s="462"/>
      <c r="D9404" s="463"/>
      <c r="E9404" s="39"/>
      <c r="F9404" s="28"/>
      <c r="G9404" s="28"/>
      <c r="H9404" s="32"/>
    </row>
    <row r="9405" spans="1:8" ht="15.6" x14ac:dyDescent="0.3">
      <c r="A9405" s="464" t="s">
        <v>58</v>
      </c>
      <c r="B9405" s="465"/>
      <c r="C9405" s="465"/>
      <c r="D9405" s="465"/>
      <c r="E9405" s="466" t="s">
        <v>59</v>
      </c>
      <c r="F9405" s="467"/>
      <c r="G9405" s="467"/>
      <c r="H9405" s="468"/>
    </row>
    <row r="9408" spans="1:8" ht="44.4" x14ac:dyDescent="0.7">
      <c r="A9408" s="469" t="s">
        <v>0</v>
      </c>
      <c r="B9408" s="470"/>
      <c r="C9408" s="470"/>
      <c r="D9408" s="470"/>
      <c r="E9408" s="471" t="s">
        <v>1</v>
      </c>
      <c r="F9408" s="472"/>
      <c r="G9408" s="472"/>
      <c r="H9408" s="473"/>
    </row>
    <row r="9409" spans="1:9" ht="20.399999999999999" x14ac:dyDescent="0.35">
      <c r="A9409" s="1"/>
      <c r="B9409" s="476" t="s">
        <v>2</v>
      </c>
      <c r="C9409" s="476"/>
      <c r="D9409" s="476"/>
      <c r="E9409" s="474"/>
      <c r="F9409" s="474"/>
      <c r="G9409" s="474"/>
      <c r="H9409" s="475"/>
    </row>
    <row r="9410" spans="1:9" x14ac:dyDescent="0.3">
      <c r="A9410" s="477" t="s">
        <v>3</v>
      </c>
      <c r="B9410" s="478"/>
      <c r="C9410" s="479" t="s">
        <v>4</v>
      </c>
      <c r="D9410" s="479"/>
      <c r="E9410" s="480" t="s">
        <v>5</v>
      </c>
      <c r="F9410" s="480"/>
      <c r="G9410" s="480"/>
      <c r="H9410" s="480"/>
    </row>
    <row r="9411" spans="1:9" ht="15.6" x14ac:dyDescent="0.3">
      <c r="A9411" s="4" t="s">
        <v>6</v>
      </c>
      <c r="B9411" s="5"/>
      <c r="C9411" s="481" t="s">
        <v>7</v>
      </c>
      <c r="D9411" s="481"/>
      <c r="E9411" s="482">
        <v>204</v>
      </c>
      <c r="F9411" s="482"/>
      <c r="G9411" s="7" t="s">
        <v>8</v>
      </c>
      <c r="H9411" s="401" t="s">
        <v>1555</v>
      </c>
    </row>
    <row r="9412" spans="1:9" ht="15.6" x14ac:dyDescent="0.3">
      <c r="A9412" s="551" t="s">
        <v>458</v>
      </c>
      <c r="B9412" s="552"/>
      <c r="C9412" s="481" t="s">
        <v>10</v>
      </c>
      <c r="D9412" s="481"/>
      <c r="E9412" s="482">
        <v>10</v>
      </c>
      <c r="F9412" s="482"/>
      <c r="G9412" s="7" t="s">
        <v>8</v>
      </c>
      <c r="H9412" s="401" t="s">
        <v>1203</v>
      </c>
    </row>
    <row r="9413" spans="1:9" ht="26.25" customHeight="1" x14ac:dyDescent="0.3">
      <c r="A9413" s="560" t="s">
        <v>459</v>
      </c>
      <c r="B9413" s="561"/>
      <c r="C9413" s="483" t="s">
        <v>12</v>
      </c>
      <c r="D9413" s="484"/>
      <c r="E9413" s="562" t="s">
        <v>1632</v>
      </c>
      <c r="F9413" s="563"/>
      <c r="G9413" s="400" t="s">
        <v>8</v>
      </c>
      <c r="H9413" s="401">
        <v>46123</v>
      </c>
    </row>
    <row r="9414" spans="1:9" ht="15.6" x14ac:dyDescent="0.3">
      <c r="A9414" s="253" t="s">
        <v>460</v>
      </c>
      <c r="B9414" s="254"/>
      <c r="C9414" s="481" t="s">
        <v>15</v>
      </c>
      <c r="D9414" s="481"/>
      <c r="E9414" s="489" t="s">
        <v>461</v>
      </c>
      <c r="F9414" s="490"/>
      <c r="G9414" s="490"/>
      <c r="H9414" s="491"/>
    </row>
    <row r="9415" spans="1:9" ht="15.6" x14ac:dyDescent="0.3">
      <c r="A9415" s="255" t="s">
        <v>1597</v>
      </c>
      <c r="B9415" s="256"/>
      <c r="C9415" s="489"/>
      <c r="D9415" s="490"/>
      <c r="E9415" s="490"/>
      <c r="F9415" s="490"/>
      <c r="G9415" s="490"/>
      <c r="H9415" s="491"/>
    </row>
    <row r="9416" spans="1:9" ht="15" x14ac:dyDescent="0.3">
      <c r="A9416" s="492" t="s">
        <v>17</v>
      </c>
      <c r="B9416" s="494" t="s">
        <v>18</v>
      </c>
      <c r="C9416" s="494" t="s">
        <v>19</v>
      </c>
      <c r="D9416" s="495" t="s">
        <v>20</v>
      </c>
      <c r="E9416" s="494" t="s">
        <v>21</v>
      </c>
      <c r="F9416" s="494" t="s">
        <v>22</v>
      </c>
      <c r="G9416" s="494"/>
      <c r="H9416" s="492" t="s">
        <v>23</v>
      </c>
    </row>
    <row r="9417" spans="1:9" ht="27.6" x14ac:dyDescent="0.3">
      <c r="A9417" s="492"/>
      <c r="B9417" s="494"/>
      <c r="C9417" s="494"/>
      <c r="D9417" s="505"/>
      <c r="E9417" s="494"/>
      <c r="F9417" s="53" t="s">
        <v>24</v>
      </c>
      <c r="G9417" s="53" t="s">
        <v>25</v>
      </c>
      <c r="H9417" s="492"/>
    </row>
    <row r="9418" spans="1:9" x14ac:dyDescent="0.3">
      <c r="A9418" s="55">
        <v>1</v>
      </c>
      <c r="B9418" s="84" t="s">
        <v>1602</v>
      </c>
      <c r="C9418" s="55">
        <v>1</v>
      </c>
      <c r="D9418" s="297">
        <v>85381010</v>
      </c>
      <c r="E9418" s="55">
        <v>19720</v>
      </c>
      <c r="F9418" s="55">
        <f>E9418*C9418*9%</f>
        <v>1774.8</v>
      </c>
      <c r="G9418" s="55">
        <f>F9418</f>
        <v>1774.8</v>
      </c>
      <c r="H9418" s="55">
        <f>G9418+F9418+E9418*C9418</f>
        <v>23269.599999999999</v>
      </c>
      <c r="I9418" s="362">
        <f>E9418*C9418</f>
        <v>19720</v>
      </c>
    </row>
    <row r="9419" spans="1:9" x14ac:dyDescent="0.3">
      <c r="A9419" s="55">
        <v>2</v>
      </c>
      <c r="B9419" s="84" t="s">
        <v>1604</v>
      </c>
      <c r="C9419" s="55">
        <v>2</v>
      </c>
      <c r="D9419" s="297">
        <v>85381010</v>
      </c>
      <c r="E9419" s="55">
        <v>24680</v>
      </c>
      <c r="F9419" s="55">
        <f>E9419*C9419*9%</f>
        <v>4442.3999999999996</v>
      </c>
      <c r="G9419" s="55">
        <f>F9419</f>
        <v>4442.3999999999996</v>
      </c>
      <c r="H9419" s="55">
        <f>G9419+F9419+E9419*C9419</f>
        <v>58244.800000000003</v>
      </c>
      <c r="I9419" s="362">
        <f t="shared" ref="I9419:I9420" si="256">E9419*C9419</f>
        <v>49360</v>
      </c>
    </row>
    <row r="9420" spans="1:9" x14ac:dyDescent="0.3">
      <c r="A9420" s="55">
        <v>3</v>
      </c>
      <c r="B9420" s="84" t="s">
        <v>1603</v>
      </c>
      <c r="C9420" s="55">
        <v>2</v>
      </c>
      <c r="D9420" s="297">
        <v>85381010</v>
      </c>
      <c r="E9420" s="55">
        <v>12430</v>
      </c>
      <c r="F9420" s="55">
        <f>E9420*C9420*9%</f>
        <v>2237.4</v>
      </c>
      <c r="G9420" s="55">
        <f>F9420</f>
        <v>2237.4</v>
      </c>
      <c r="H9420" s="55">
        <f>G9420+F9420+E9420*C9420</f>
        <v>29334.799999999999</v>
      </c>
      <c r="I9420" s="362">
        <f t="shared" si="256"/>
        <v>24860</v>
      </c>
    </row>
    <row r="9421" spans="1:9" x14ac:dyDescent="0.3">
      <c r="A9421" s="55"/>
      <c r="B9421" s="84"/>
      <c r="C9421" s="55"/>
      <c r="D9421" s="86"/>
      <c r="E9421" s="55"/>
      <c r="F9421" s="55"/>
      <c r="G9421" s="55"/>
      <c r="H9421" s="55"/>
    </row>
    <row r="9422" spans="1:9" x14ac:dyDescent="0.3">
      <c r="A9422" s="55"/>
      <c r="B9422" s="84"/>
      <c r="C9422" s="55"/>
      <c r="D9422" s="86"/>
      <c r="E9422" s="55"/>
      <c r="F9422" s="55"/>
      <c r="G9422" s="55"/>
      <c r="H9422" s="55"/>
    </row>
    <row r="9423" spans="1:9" x14ac:dyDescent="0.3">
      <c r="A9423" s="55"/>
      <c r="B9423" s="84"/>
      <c r="C9423" s="55"/>
      <c r="D9423" s="86"/>
      <c r="E9423" s="55"/>
      <c r="F9423" s="55"/>
      <c r="G9423" s="55"/>
      <c r="H9423" s="55"/>
    </row>
    <row r="9424" spans="1:9" x14ac:dyDescent="0.3">
      <c r="A9424" s="55"/>
      <c r="B9424" s="84"/>
      <c r="C9424" s="55"/>
      <c r="D9424" s="86"/>
      <c r="E9424" s="55"/>
      <c r="F9424" s="55"/>
      <c r="G9424" s="55"/>
      <c r="H9424" s="55"/>
    </row>
    <row r="9425" spans="1:8" x14ac:dyDescent="0.3">
      <c r="A9425" s="55"/>
      <c r="B9425" s="84"/>
      <c r="C9425" s="55"/>
      <c r="D9425" s="86"/>
      <c r="E9425" s="55"/>
      <c r="F9425" s="55"/>
      <c r="G9425" s="55"/>
      <c r="H9425" s="55"/>
    </row>
    <row r="9426" spans="1:8" x14ac:dyDescent="0.3">
      <c r="A9426" s="55"/>
      <c r="B9426" s="84"/>
      <c r="C9426" s="55"/>
      <c r="D9426" s="86"/>
      <c r="E9426" s="55"/>
      <c r="F9426" s="55"/>
      <c r="G9426" s="55"/>
      <c r="H9426" s="55"/>
    </row>
    <row r="9427" spans="1:8" x14ac:dyDescent="0.3">
      <c r="A9427" s="55"/>
      <c r="B9427" s="84"/>
      <c r="C9427" s="55"/>
      <c r="D9427" s="86"/>
      <c r="E9427" s="55"/>
      <c r="F9427" s="55"/>
      <c r="G9427" s="55"/>
      <c r="H9427" s="55"/>
    </row>
    <row r="9428" spans="1:8" x14ac:dyDescent="0.3">
      <c r="A9428" s="55"/>
      <c r="B9428" s="399"/>
      <c r="C9428" s="55"/>
      <c r="D9428" s="86"/>
      <c r="E9428" s="55"/>
      <c r="F9428" s="55"/>
      <c r="G9428" s="55"/>
      <c r="H9428" s="55"/>
    </row>
    <row r="9429" spans="1:8" x14ac:dyDescent="0.3">
      <c r="A9429" s="163"/>
      <c r="B9429" s="163"/>
      <c r="C9429" s="163"/>
      <c r="D9429" s="163"/>
      <c r="E9429" s="163"/>
      <c r="F9429" s="163"/>
      <c r="G9429" s="163"/>
      <c r="H9429" s="163"/>
    </row>
    <row r="9430" spans="1:8" x14ac:dyDescent="0.3">
      <c r="A9430" s="163"/>
      <c r="B9430" s="163"/>
      <c r="C9430" s="163"/>
      <c r="D9430" s="163"/>
      <c r="E9430" s="163"/>
      <c r="F9430" s="163"/>
      <c r="G9430" s="163"/>
      <c r="H9430" s="163"/>
    </row>
    <row r="9431" spans="1:8" x14ac:dyDescent="0.3">
      <c r="A9431" s="163"/>
      <c r="B9431" s="163"/>
      <c r="C9431" s="163"/>
      <c r="D9431" s="163"/>
      <c r="E9431" s="163"/>
      <c r="F9431" s="163"/>
      <c r="G9431" s="163"/>
      <c r="H9431" s="163"/>
    </row>
    <row r="9432" spans="1:8" x14ac:dyDescent="0.3">
      <c r="A9432" s="163"/>
      <c r="B9432" s="163"/>
      <c r="C9432" s="163"/>
      <c r="D9432" s="163"/>
      <c r="E9432" s="163"/>
      <c r="F9432" s="163"/>
      <c r="G9432" s="163"/>
      <c r="H9432" s="163"/>
    </row>
    <row r="9433" spans="1:8" x14ac:dyDescent="0.3">
      <c r="A9433" s="163"/>
      <c r="B9433" s="163"/>
      <c r="C9433" s="163"/>
      <c r="D9433" s="163"/>
      <c r="E9433" s="163"/>
      <c r="F9433" s="163"/>
      <c r="G9433" s="163"/>
      <c r="H9433" s="163"/>
    </row>
    <row r="9434" spans="1:8" x14ac:dyDescent="0.3">
      <c r="A9434" s="258"/>
      <c r="B9434" s="257"/>
      <c r="C9434" s="258"/>
      <c r="D9434" s="86"/>
      <c r="E9434" s="55"/>
      <c r="F9434" s="259"/>
      <c r="G9434" s="259"/>
      <c r="H9434" s="258"/>
    </row>
    <row r="9435" spans="1:8" x14ac:dyDescent="0.3">
      <c r="A9435" s="55"/>
      <c r="B9435" s="84"/>
      <c r="C9435" s="55"/>
      <c r="D9435" s="55"/>
      <c r="E9435" s="55"/>
      <c r="F9435" s="55"/>
      <c r="G9435" s="55"/>
      <c r="H9435" s="55"/>
    </row>
    <row r="9436" spans="1:8" x14ac:dyDescent="0.3">
      <c r="A9436" s="163"/>
      <c r="B9436" s="163"/>
      <c r="C9436" s="163"/>
      <c r="D9436" s="163"/>
      <c r="E9436" s="163"/>
      <c r="F9436" s="163"/>
      <c r="G9436" s="163"/>
      <c r="H9436" s="163"/>
    </row>
    <row r="9437" spans="1:8" x14ac:dyDescent="0.3">
      <c r="A9437" s="55"/>
      <c r="B9437" s="257"/>
      <c r="C9437" s="55"/>
      <c r="D9437" s="55"/>
      <c r="E9437" s="55"/>
      <c r="F9437" s="55"/>
      <c r="G9437" s="55"/>
      <c r="H9437" s="55"/>
    </row>
    <row r="9438" spans="1:8" x14ac:dyDescent="0.3">
      <c r="A9438" s="57"/>
      <c r="B9438" s="84"/>
      <c r="C9438" s="85"/>
      <c r="D9438" s="86"/>
      <c r="E9438" s="87"/>
      <c r="F9438" s="47"/>
      <c r="G9438" s="47"/>
      <c r="H9438" s="47"/>
    </row>
    <row r="9439" spans="1:8" x14ac:dyDescent="0.3">
      <c r="A9439" s="57"/>
      <c r="B9439" s="84"/>
      <c r="C9439" s="85"/>
      <c r="D9439" s="86"/>
      <c r="E9439" s="47"/>
      <c r="F9439" s="47"/>
      <c r="G9439" s="47"/>
      <c r="H9439" s="47"/>
    </row>
    <row r="9440" spans="1:8" x14ac:dyDescent="0.3">
      <c r="A9440" s="55"/>
      <c r="B9440" s="84"/>
      <c r="C9440" s="55"/>
      <c r="D9440" s="86"/>
      <c r="E9440" s="47"/>
      <c r="F9440" s="47"/>
      <c r="G9440" s="47"/>
      <c r="H9440" s="47"/>
    </row>
    <row r="9441" spans="1:8" x14ac:dyDescent="0.3">
      <c r="A9441" s="27"/>
      <c r="B9441" s="28"/>
      <c r="C9441" s="24"/>
      <c r="D9441" s="25"/>
      <c r="E9441" s="25"/>
      <c r="F9441" s="28"/>
      <c r="G9441" s="28"/>
      <c r="H9441" s="32"/>
    </row>
    <row r="9442" spans="1:8" ht="15.6" x14ac:dyDescent="0.3">
      <c r="A9442" s="448" t="s">
        <v>45</v>
      </c>
      <c r="B9442" s="449"/>
      <c r="C9442" s="24"/>
      <c r="D9442" s="25"/>
      <c r="E9442" s="25"/>
      <c r="F9442" s="447" t="s">
        <v>46</v>
      </c>
      <c r="G9442" s="447"/>
      <c r="H9442" s="66">
        <f>C9418*E9418+C9419*E9419+C9420*E9420+C9425*E9425+C9426*E9426+C9427*E9427+C9421*E9421+C9422*E9422+C9423*E9423+C9424*E9424</f>
        <v>93940</v>
      </c>
    </row>
    <row r="9443" spans="1:8" ht="15.6" x14ac:dyDescent="0.3">
      <c r="A9443" s="497" t="s">
        <v>1631</v>
      </c>
      <c r="B9443" s="498"/>
      <c r="C9443" s="498"/>
      <c r="D9443" s="498"/>
      <c r="E9443" s="498"/>
      <c r="F9443" s="447" t="s">
        <v>47</v>
      </c>
      <c r="G9443" s="447"/>
      <c r="H9443" s="66">
        <f>H9442*9%</f>
        <v>8454.6</v>
      </c>
    </row>
    <row r="9444" spans="1:8" ht="15.6" x14ac:dyDescent="0.3">
      <c r="A9444" s="27"/>
      <c r="B9444" s="28"/>
      <c r="C9444" s="24"/>
      <c r="D9444" s="25"/>
      <c r="E9444" s="25"/>
      <c r="F9444" s="447" t="s">
        <v>48</v>
      </c>
      <c r="G9444" s="447"/>
      <c r="H9444" s="66">
        <f>H9443</f>
        <v>8454.6</v>
      </c>
    </row>
    <row r="9445" spans="1:8" ht="15.6" x14ac:dyDescent="0.3">
      <c r="A9445" s="64" t="s">
        <v>49</v>
      </c>
      <c r="B9445" s="65"/>
      <c r="C9445" s="24"/>
      <c r="D9445" s="25"/>
      <c r="E9445" s="25"/>
      <c r="F9445" s="447" t="s">
        <v>50</v>
      </c>
      <c r="G9445" s="447"/>
      <c r="H9445" s="66">
        <f>H9442+H9443+H9444</f>
        <v>110849.20000000001</v>
      </c>
    </row>
    <row r="9446" spans="1:8" ht="27" x14ac:dyDescent="0.3">
      <c r="A9446" s="68" t="s">
        <v>22</v>
      </c>
      <c r="B9446" s="30" t="s">
        <v>51</v>
      </c>
      <c r="C9446" s="70" t="s">
        <v>24</v>
      </c>
      <c r="D9446" s="31" t="s">
        <v>25</v>
      </c>
      <c r="E9446" s="450" t="s">
        <v>52</v>
      </c>
      <c r="F9446" s="450"/>
      <c r="G9446" s="28"/>
      <c r="H9446" s="32"/>
    </row>
    <row r="9447" spans="1:8" x14ac:dyDescent="0.3">
      <c r="A9447" s="72">
        <v>0.18</v>
      </c>
      <c r="B9447" s="73">
        <f>H9442</f>
        <v>93940</v>
      </c>
      <c r="C9447" s="91">
        <f>H9443</f>
        <v>8454.6</v>
      </c>
      <c r="D9447" s="91">
        <f>H9443</f>
        <v>8454.6</v>
      </c>
      <c r="E9447" s="506">
        <f>C9447+D9447</f>
        <v>16909.2</v>
      </c>
      <c r="F9447" s="507"/>
      <c r="G9447" s="74"/>
      <c r="H9447" s="75"/>
    </row>
    <row r="9448" spans="1:8" x14ac:dyDescent="0.3">
      <c r="A9448" s="508" t="s">
        <v>1630</v>
      </c>
      <c r="B9448" s="509"/>
      <c r="C9448" s="509"/>
      <c r="D9448" s="509"/>
      <c r="E9448" s="453"/>
      <c r="F9448" s="453"/>
      <c r="G9448" s="453"/>
      <c r="H9448" s="454"/>
    </row>
    <row r="9449" spans="1:8" ht="15.6" x14ac:dyDescent="0.3">
      <c r="A9449" s="455" t="s">
        <v>53</v>
      </c>
      <c r="B9449" s="456"/>
      <c r="C9449" s="456"/>
      <c r="D9449" s="457"/>
      <c r="E9449" s="458" t="s">
        <v>54</v>
      </c>
      <c r="F9449" s="459"/>
      <c r="G9449" s="459"/>
      <c r="H9449" s="460"/>
    </row>
    <row r="9450" spans="1:8" x14ac:dyDescent="0.3">
      <c r="A9450" s="461" t="s">
        <v>55</v>
      </c>
      <c r="B9450" s="462"/>
      <c r="C9450" s="462"/>
      <c r="D9450" s="463"/>
      <c r="E9450" s="39"/>
      <c r="F9450" s="28"/>
      <c r="G9450" s="28"/>
      <c r="H9450" s="32"/>
    </row>
    <row r="9451" spans="1:8" x14ac:dyDescent="0.3">
      <c r="A9451" s="461" t="s">
        <v>56</v>
      </c>
      <c r="B9451" s="462"/>
      <c r="C9451" s="462"/>
      <c r="D9451" s="463"/>
      <c r="E9451" s="39"/>
      <c r="F9451" s="28"/>
      <c r="G9451" s="28"/>
      <c r="H9451" s="32"/>
    </row>
    <row r="9452" spans="1:8" x14ac:dyDescent="0.3">
      <c r="A9452" s="461" t="s">
        <v>57</v>
      </c>
      <c r="B9452" s="462"/>
      <c r="C9452" s="462"/>
      <c r="D9452" s="463"/>
      <c r="E9452" s="39"/>
      <c r="F9452" s="28"/>
      <c r="G9452" s="28"/>
      <c r="H9452" s="32"/>
    </row>
    <row r="9453" spans="1:8" ht="15.6" x14ac:dyDescent="0.3">
      <c r="A9453" s="464" t="s">
        <v>58</v>
      </c>
      <c r="B9453" s="465"/>
      <c r="C9453" s="465"/>
      <c r="D9453" s="465"/>
      <c r="E9453" s="466" t="s">
        <v>59</v>
      </c>
      <c r="F9453" s="467"/>
      <c r="G9453" s="467"/>
      <c r="H9453" s="468"/>
    </row>
    <row r="9456" spans="1:8" ht="44.4" x14ac:dyDescent="0.7">
      <c r="A9456" s="469" t="s">
        <v>0</v>
      </c>
      <c r="B9456" s="470"/>
      <c r="C9456" s="470"/>
      <c r="D9456" s="470"/>
      <c r="E9456" s="471" t="s">
        <v>1</v>
      </c>
      <c r="F9456" s="472"/>
      <c r="G9456" s="472"/>
      <c r="H9456" s="473"/>
    </row>
    <row r="9457" spans="1:8" ht="20.399999999999999" x14ac:dyDescent="0.35">
      <c r="A9457" s="1"/>
      <c r="B9457" s="476" t="s">
        <v>2</v>
      </c>
      <c r="C9457" s="476"/>
      <c r="D9457" s="476"/>
      <c r="E9457" s="474"/>
      <c r="F9457" s="474"/>
      <c r="G9457" s="474"/>
      <c r="H9457" s="475"/>
    </row>
    <row r="9458" spans="1:8" x14ac:dyDescent="0.3">
      <c r="A9458" s="477" t="s">
        <v>3</v>
      </c>
      <c r="B9458" s="478"/>
      <c r="C9458" s="479" t="s">
        <v>4</v>
      </c>
      <c r="D9458" s="479"/>
      <c r="E9458" s="480" t="s">
        <v>5</v>
      </c>
      <c r="F9458" s="480"/>
      <c r="G9458" s="480"/>
      <c r="H9458" s="480"/>
    </row>
    <row r="9459" spans="1:8" ht="15.6" x14ac:dyDescent="0.3">
      <c r="A9459" s="4" t="s">
        <v>6</v>
      </c>
      <c r="B9459" s="5"/>
      <c r="C9459" s="481" t="s">
        <v>7</v>
      </c>
      <c r="D9459" s="481"/>
      <c r="E9459" s="482">
        <v>205</v>
      </c>
      <c r="F9459" s="482"/>
      <c r="G9459" s="7" t="s">
        <v>8</v>
      </c>
      <c r="H9459" s="250" t="s">
        <v>1555</v>
      </c>
    </row>
    <row r="9460" spans="1:8" ht="15.6" x14ac:dyDescent="0.3">
      <c r="A9460" s="551" t="s">
        <v>458</v>
      </c>
      <c r="B9460" s="552"/>
      <c r="C9460" s="481" t="s">
        <v>10</v>
      </c>
      <c r="D9460" s="481"/>
      <c r="E9460" s="482">
        <v>24</v>
      </c>
      <c r="F9460" s="482"/>
      <c r="G9460" s="7" t="s">
        <v>8</v>
      </c>
      <c r="H9460" s="401" t="s">
        <v>1605</v>
      </c>
    </row>
    <row r="9461" spans="1:8" ht="26.25" customHeight="1" x14ac:dyDescent="0.3">
      <c r="A9461" s="560" t="s">
        <v>459</v>
      </c>
      <c r="B9461" s="561"/>
      <c r="C9461" s="483" t="s">
        <v>12</v>
      </c>
      <c r="D9461" s="484"/>
      <c r="E9461" s="562" t="s">
        <v>466</v>
      </c>
      <c r="F9461" s="563"/>
      <c r="G9461" s="400" t="s">
        <v>8</v>
      </c>
      <c r="H9461" s="401" t="s">
        <v>465</v>
      </c>
    </row>
    <row r="9462" spans="1:8" ht="15.6" x14ac:dyDescent="0.3">
      <c r="A9462" s="253" t="s">
        <v>460</v>
      </c>
      <c r="B9462" s="254"/>
      <c r="C9462" s="481" t="s">
        <v>15</v>
      </c>
      <c r="D9462" s="481"/>
      <c r="E9462" s="489" t="s">
        <v>461</v>
      </c>
      <c r="F9462" s="490"/>
      <c r="G9462" s="490"/>
      <c r="H9462" s="491"/>
    </row>
    <row r="9463" spans="1:8" ht="15.6" x14ac:dyDescent="0.3">
      <c r="A9463" s="255" t="s">
        <v>1597</v>
      </c>
      <c r="B9463" s="256"/>
      <c r="C9463" s="489"/>
      <c r="D9463" s="490"/>
      <c r="E9463" s="490"/>
      <c r="F9463" s="490"/>
      <c r="G9463" s="490"/>
      <c r="H9463" s="491"/>
    </row>
    <row r="9464" spans="1:8" ht="15" x14ac:dyDescent="0.3">
      <c r="A9464" s="492" t="s">
        <v>17</v>
      </c>
      <c r="B9464" s="494" t="s">
        <v>18</v>
      </c>
      <c r="C9464" s="494" t="s">
        <v>19</v>
      </c>
      <c r="D9464" s="495" t="s">
        <v>20</v>
      </c>
      <c r="E9464" s="494" t="s">
        <v>21</v>
      </c>
      <c r="F9464" s="494" t="s">
        <v>22</v>
      </c>
      <c r="G9464" s="494"/>
      <c r="H9464" s="492" t="s">
        <v>23</v>
      </c>
    </row>
    <row r="9465" spans="1:8" ht="27.6" x14ac:dyDescent="0.3">
      <c r="A9465" s="492"/>
      <c r="B9465" s="494"/>
      <c r="C9465" s="494"/>
      <c r="D9465" s="505"/>
      <c r="E9465" s="494"/>
      <c r="F9465" s="53" t="s">
        <v>24</v>
      </c>
      <c r="G9465" s="53" t="s">
        <v>25</v>
      </c>
      <c r="H9465" s="492"/>
    </row>
    <row r="9466" spans="1:8" x14ac:dyDescent="0.3">
      <c r="A9466" s="55">
        <v>1</v>
      </c>
      <c r="B9466" s="84" t="s">
        <v>1606</v>
      </c>
      <c r="C9466" s="55">
        <v>1</v>
      </c>
      <c r="D9466" s="86">
        <v>998719</v>
      </c>
      <c r="E9466" s="55">
        <v>2500</v>
      </c>
      <c r="F9466" s="55">
        <f>E9466*C9466*9%</f>
        <v>225</v>
      </c>
      <c r="G9466" s="55">
        <f>F9466</f>
        <v>225</v>
      </c>
      <c r="H9466" s="55">
        <f>G9466+F9466+E9466*C9466</f>
        <v>2950</v>
      </c>
    </row>
    <row r="9467" spans="1:8" x14ac:dyDescent="0.3">
      <c r="A9467" s="55"/>
      <c r="B9467" s="84"/>
      <c r="C9467" s="55"/>
      <c r="D9467" s="86"/>
      <c r="E9467" s="55"/>
      <c r="F9467" s="55"/>
      <c r="G9467" s="55"/>
      <c r="H9467" s="55"/>
    </row>
    <row r="9468" spans="1:8" x14ac:dyDescent="0.3">
      <c r="A9468" s="55"/>
      <c r="B9468" s="84"/>
      <c r="C9468" s="55"/>
      <c r="D9468" s="86"/>
      <c r="E9468" s="55"/>
      <c r="F9468" s="55"/>
      <c r="G9468" s="55"/>
      <c r="H9468" s="55"/>
    </row>
    <row r="9469" spans="1:8" x14ac:dyDescent="0.3">
      <c r="A9469" s="55"/>
      <c r="B9469" s="84"/>
      <c r="C9469" s="55"/>
      <c r="D9469" s="86"/>
      <c r="E9469" s="55"/>
      <c r="F9469" s="55"/>
      <c r="G9469" s="55"/>
      <c r="H9469" s="55"/>
    </row>
    <row r="9470" spans="1:8" x14ac:dyDescent="0.3">
      <c r="A9470" s="55"/>
      <c r="B9470" s="84"/>
      <c r="C9470" s="55"/>
      <c r="D9470" s="86"/>
      <c r="E9470" s="55"/>
      <c r="F9470" s="55"/>
      <c r="G9470" s="55"/>
      <c r="H9470" s="55"/>
    </row>
    <row r="9471" spans="1:8" x14ac:dyDescent="0.3">
      <c r="A9471" s="55"/>
      <c r="B9471" s="84"/>
      <c r="C9471" s="55"/>
      <c r="D9471" s="86"/>
      <c r="E9471" s="55"/>
      <c r="F9471" s="55"/>
      <c r="G9471" s="55"/>
      <c r="H9471" s="55"/>
    </row>
    <row r="9472" spans="1:8" x14ac:dyDescent="0.3">
      <c r="A9472" s="55"/>
      <c r="B9472" s="84"/>
      <c r="C9472" s="55"/>
      <c r="D9472" s="86"/>
      <c r="E9472" s="55"/>
      <c r="F9472" s="55"/>
      <c r="G9472" s="55"/>
      <c r="H9472" s="55"/>
    </row>
    <row r="9473" spans="1:8" x14ac:dyDescent="0.3">
      <c r="A9473" s="55"/>
      <c r="B9473" s="84"/>
      <c r="C9473" s="55"/>
      <c r="D9473" s="86"/>
      <c r="E9473" s="55"/>
      <c r="F9473" s="55"/>
      <c r="G9473" s="55"/>
      <c r="H9473" s="55"/>
    </row>
    <row r="9474" spans="1:8" x14ac:dyDescent="0.3">
      <c r="A9474" s="55"/>
      <c r="B9474" s="84"/>
      <c r="C9474" s="55"/>
      <c r="D9474" s="86"/>
      <c r="E9474" s="55"/>
      <c r="F9474" s="55"/>
      <c r="G9474" s="55"/>
      <c r="H9474" s="55"/>
    </row>
    <row r="9475" spans="1:8" x14ac:dyDescent="0.3">
      <c r="A9475" s="55"/>
      <c r="B9475" s="84"/>
      <c r="C9475" s="55"/>
      <c r="D9475" s="86"/>
      <c r="E9475" s="55"/>
      <c r="F9475" s="55"/>
      <c r="G9475" s="55"/>
      <c r="H9475" s="55"/>
    </row>
    <row r="9476" spans="1:8" x14ac:dyDescent="0.3">
      <c r="A9476" s="55"/>
      <c r="B9476" s="399"/>
      <c r="C9476" s="55"/>
      <c r="D9476" s="86"/>
      <c r="E9476" s="55"/>
      <c r="F9476" s="55"/>
      <c r="G9476" s="55"/>
      <c r="H9476" s="55"/>
    </row>
    <row r="9477" spans="1:8" x14ac:dyDescent="0.3">
      <c r="A9477" s="163"/>
      <c r="B9477" s="163"/>
      <c r="C9477" s="163"/>
      <c r="D9477" s="163"/>
      <c r="E9477" s="163"/>
      <c r="F9477" s="163"/>
      <c r="G9477" s="163"/>
      <c r="H9477" s="163"/>
    </row>
    <row r="9478" spans="1:8" x14ac:dyDescent="0.3">
      <c r="A9478" s="163"/>
      <c r="B9478" s="163"/>
      <c r="C9478" s="163"/>
      <c r="D9478" s="163"/>
      <c r="E9478" s="163"/>
      <c r="F9478" s="163"/>
      <c r="G9478" s="163"/>
      <c r="H9478" s="163"/>
    </row>
    <row r="9479" spans="1:8" x14ac:dyDescent="0.3">
      <c r="A9479" s="163"/>
      <c r="B9479" s="163"/>
      <c r="C9479" s="163"/>
      <c r="D9479" s="163"/>
      <c r="E9479" s="163"/>
      <c r="F9479" s="163"/>
      <c r="G9479" s="163"/>
      <c r="H9479" s="163"/>
    </row>
    <row r="9480" spans="1:8" x14ac:dyDescent="0.3">
      <c r="A9480" s="163"/>
      <c r="B9480" s="163"/>
      <c r="C9480" s="163"/>
      <c r="D9480" s="163"/>
      <c r="E9480" s="163"/>
      <c r="F9480" s="163"/>
      <c r="G9480" s="163"/>
      <c r="H9480" s="163"/>
    </row>
    <row r="9481" spans="1:8" x14ac:dyDescent="0.3">
      <c r="A9481" s="163"/>
      <c r="B9481" s="163"/>
      <c r="C9481" s="163"/>
      <c r="D9481" s="163"/>
      <c r="E9481" s="163"/>
      <c r="F9481" s="163"/>
      <c r="G9481" s="163"/>
      <c r="H9481" s="163"/>
    </row>
    <row r="9482" spans="1:8" x14ac:dyDescent="0.3">
      <c r="A9482" s="258"/>
      <c r="B9482" s="257"/>
      <c r="C9482" s="258"/>
      <c r="D9482" s="86"/>
      <c r="E9482" s="55"/>
      <c r="F9482" s="259"/>
      <c r="G9482" s="259"/>
      <c r="H9482" s="258"/>
    </row>
    <row r="9483" spans="1:8" x14ac:dyDescent="0.3">
      <c r="A9483" s="55"/>
      <c r="B9483" s="84"/>
      <c r="C9483" s="55"/>
      <c r="D9483" s="55"/>
      <c r="E9483" s="55"/>
      <c r="F9483" s="55"/>
      <c r="G9483" s="55"/>
      <c r="H9483" s="55"/>
    </row>
    <row r="9484" spans="1:8" x14ac:dyDescent="0.3">
      <c r="A9484" s="163"/>
      <c r="B9484" s="163"/>
      <c r="C9484" s="163"/>
      <c r="D9484" s="163"/>
      <c r="E9484" s="163"/>
      <c r="F9484" s="163"/>
      <c r="G9484" s="163"/>
      <c r="H9484" s="163"/>
    </row>
    <row r="9485" spans="1:8" x14ac:dyDescent="0.3">
      <c r="A9485" s="55"/>
      <c r="B9485" s="257"/>
      <c r="C9485" s="55"/>
      <c r="D9485" s="55"/>
      <c r="E9485" s="55"/>
      <c r="F9485" s="55"/>
      <c r="G9485" s="55"/>
      <c r="H9485" s="55"/>
    </row>
    <row r="9486" spans="1:8" x14ac:dyDescent="0.3">
      <c r="A9486" s="57"/>
      <c r="B9486" s="84"/>
      <c r="C9486" s="85"/>
      <c r="D9486" s="86"/>
      <c r="E9486" s="87"/>
      <c r="F9486" s="47"/>
      <c r="G9486" s="47"/>
      <c r="H9486" s="47"/>
    </row>
    <row r="9487" spans="1:8" x14ac:dyDescent="0.3">
      <c r="A9487" s="57"/>
      <c r="B9487" s="84"/>
      <c r="C9487" s="85"/>
      <c r="D9487" s="86"/>
      <c r="E9487" s="47"/>
      <c r="F9487" s="47"/>
      <c r="G9487" s="47"/>
      <c r="H9487" s="47"/>
    </row>
    <row r="9488" spans="1:8" x14ac:dyDescent="0.3">
      <c r="A9488" s="55"/>
      <c r="B9488" s="84"/>
      <c r="C9488" s="55"/>
      <c r="D9488" s="86"/>
      <c r="E9488" s="47"/>
      <c r="F9488" s="47"/>
      <c r="G9488" s="47"/>
      <c r="H9488" s="47"/>
    </row>
    <row r="9489" spans="1:8" x14ac:dyDescent="0.3">
      <c r="A9489" s="27"/>
      <c r="B9489" s="28"/>
      <c r="C9489" s="24"/>
      <c r="D9489" s="25"/>
      <c r="E9489" s="25"/>
      <c r="F9489" s="28"/>
      <c r="G9489" s="28"/>
      <c r="H9489" s="32"/>
    </row>
    <row r="9490" spans="1:8" ht="15.6" x14ac:dyDescent="0.3">
      <c r="A9490" s="448" t="s">
        <v>45</v>
      </c>
      <c r="B9490" s="449"/>
      <c r="C9490" s="24"/>
      <c r="D9490" s="25"/>
      <c r="E9490" s="25"/>
      <c r="F9490" s="447" t="s">
        <v>46</v>
      </c>
      <c r="G9490" s="447"/>
      <c r="H9490" s="66">
        <f>C9466*E9466+C9467*E9467+C9468*E9468+C9473*E9473+C9474*E9474+C9475*E9475+C9469*E9469+C9470*E9470+C9471*E9471+C9472*E9472</f>
        <v>2500</v>
      </c>
    </row>
    <row r="9491" spans="1:8" ht="15.6" x14ac:dyDescent="0.3">
      <c r="A9491" s="497" t="s">
        <v>1633</v>
      </c>
      <c r="B9491" s="498"/>
      <c r="C9491" s="498"/>
      <c r="D9491" s="498"/>
      <c r="E9491" s="498"/>
      <c r="F9491" s="447" t="s">
        <v>47</v>
      </c>
      <c r="G9491" s="447"/>
      <c r="H9491" s="66">
        <f>H9490*9%</f>
        <v>225</v>
      </c>
    </row>
    <row r="9492" spans="1:8" ht="15.6" x14ac:dyDescent="0.3">
      <c r="A9492" s="27"/>
      <c r="B9492" s="28"/>
      <c r="C9492" s="24"/>
      <c r="D9492" s="25"/>
      <c r="E9492" s="25"/>
      <c r="F9492" s="447" t="s">
        <v>48</v>
      </c>
      <c r="G9492" s="447"/>
      <c r="H9492" s="66">
        <f>H9491</f>
        <v>225</v>
      </c>
    </row>
    <row r="9493" spans="1:8" ht="15.6" x14ac:dyDescent="0.3">
      <c r="A9493" s="64" t="s">
        <v>49</v>
      </c>
      <c r="B9493" s="65"/>
      <c r="C9493" s="24"/>
      <c r="D9493" s="25"/>
      <c r="E9493" s="25"/>
      <c r="F9493" s="447" t="s">
        <v>50</v>
      </c>
      <c r="G9493" s="447"/>
      <c r="H9493" s="66">
        <f>H9490+H9491+H9492</f>
        <v>2950</v>
      </c>
    </row>
    <row r="9494" spans="1:8" ht="27" x14ac:dyDescent="0.3">
      <c r="A9494" s="68" t="s">
        <v>22</v>
      </c>
      <c r="B9494" s="30" t="s">
        <v>51</v>
      </c>
      <c r="C9494" s="70" t="s">
        <v>24</v>
      </c>
      <c r="D9494" s="31" t="s">
        <v>25</v>
      </c>
      <c r="E9494" s="450" t="s">
        <v>52</v>
      </c>
      <c r="F9494" s="450"/>
      <c r="G9494" s="28"/>
      <c r="H9494" s="32"/>
    </row>
    <row r="9495" spans="1:8" x14ac:dyDescent="0.3">
      <c r="A9495" s="72">
        <v>0.18</v>
      </c>
      <c r="B9495" s="73">
        <f>H9490</f>
        <v>2500</v>
      </c>
      <c r="C9495" s="91">
        <f>H9491</f>
        <v>225</v>
      </c>
      <c r="D9495" s="91">
        <f>H9491</f>
        <v>225</v>
      </c>
      <c r="E9495" s="506">
        <f>C9495+D9495</f>
        <v>450</v>
      </c>
      <c r="F9495" s="507"/>
      <c r="G9495" s="74"/>
      <c r="H9495" s="75"/>
    </row>
    <row r="9496" spans="1:8" x14ac:dyDescent="0.3">
      <c r="A9496" s="508" t="s">
        <v>1634</v>
      </c>
      <c r="B9496" s="509"/>
      <c r="C9496" s="509"/>
      <c r="D9496" s="509"/>
      <c r="E9496" s="453"/>
      <c r="F9496" s="453"/>
      <c r="G9496" s="453"/>
      <c r="H9496" s="454"/>
    </row>
    <row r="9497" spans="1:8" ht="15.6" x14ac:dyDescent="0.3">
      <c r="A9497" s="455" t="s">
        <v>53</v>
      </c>
      <c r="B9497" s="456"/>
      <c r="C9497" s="456"/>
      <c r="D9497" s="457"/>
      <c r="E9497" s="458" t="s">
        <v>54</v>
      </c>
      <c r="F9497" s="459"/>
      <c r="G9497" s="459"/>
      <c r="H9497" s="460"/>
    </row>
    <row r="9498" spans="1:8" x14ac:dyDescent="0.3">
      <c r="A9498" s="461" t="s">
        <v>55</v>
      </c>
      <c r="B9498" s="462"/>
      <c r="C9498" s="462"/>
      <c r="D9498" s="463"/>
      <c r="E9498" s="39"/>
      <c r="F9498" s="28"/>
      <c r="G9498" s="28"/>
      <c r="H9498" s="32"/>
    </row>
    <row r="9499" spans="1:8" x14ac:dyDescent="0.3">
      <c r="A9499" s="461" t="s">
        <v>56</v>
      </c>
      <c r="B9499" s="462"/>
      <c r="C9499" s="462"/>
      <c r="D9499" s="463"/>
      <c r="E9499" s="39"/>
      <c r="F9499" s="28"/>
      <c r="G9499" s="28"/>
      <c r="H9499" s="32"/>
    </row>
    <row r="9500" spans="1:8" x14ac:dyDescent="0.3">
      <c r="A9500" s="461" t="s">
        <v>57</v>
      </c>
      <c r="B9500" s="462"/>
      <c r="C9500" s="462"/>
      <c r="D9500" s="463"/>
      <c r="E9500" s="39"/>
      <c r="F9500" s="28"/>
      <c r="G9500" s="28"/>
      <c r="H9500" s="32"/>
    </row>
    <row r="9501" spans="1:8" ht="15.6" x14ac:dyDescent="0.3">
      <c r="A9501" s="464" t="s">
        <v>58</v>
      </c>
      <c r="B9501" s="465"/>
      <c r="C9501" s="465"/>
      <c r="D9501" s="465"/>
      <c r="E9501" s="466" t="s">
        <v>59</v>
      </c>
      <c r="F9501" s="467"/>
      <c r="G9501" s="467"/>
      <c r="H9501" s="468"/>
    </row>
    <row r="9504" spans="1:8" ht="44.4" x14ac:dyDescent="0.7">
      <c r="A9504" s="469" t="s">
        <v>0</v>
      </c>
      <c r="B9504" s="470"/>
      <c r="C9504" s="470"/>
      <c r="D9504" s="470"/>
      <c r="E9504" s="471" t="s">
        <v>1</v>
      </c>
      <c r="F9504" s="472"/>
      <c r="G9504" s="472"/>
      <c r="H9504" s="473"/>
    </row>
    <row r="9505" spans="1:9" ht="20.399999999999999" x14ac:dyDescent="0.35">
      <c r="A9505" s="1"/>
      <c r="B9505" s="476" t="s">
        <v>2</v>
      </c>
      <c r="C9505" s="476"/>
      <c r="D9505" s="476"/>
      <c r="E9505" s="474"/>
      <c r="F9505" s="474"/>
      <c r="G9505" s="474"/>
      <c r="H9505" s="475"/>
    </row>
    <row r="9506" spans="1:9" x14ac:dyDescent="0.3">
      <c r="A9506" s="477" t="s">
        <v>3</v>
      </c>
      <c r="B9506" s="478"/>
      <c r="C9506" s="479" t="s">
        <v>4</v>
      </c>
      <c r="D9506" s="479"/>
      <c r="E9506" s="480" t="s">
        <v>5</v>
      </c>
      <c r="F9506" s="480"/>
      <c r="G9506" s="480"/>
      <c r="H9506" s="480"/>
    </row>
    <row r="9507" spans="1:9" ht="15.6" x14ac:dyDescent="0.3">
      <c r="A9507" s="4" t="s">
        <v>6</v>
      </c>
      <c r="B9507" s="5"/>
      <c r="C9507" s="481" t="s">
        <v>7</v>
      </c>
      <c r="D9507" s="481"/>
      <c r="E9507" s="482">
        <v>206</v>
      </c>
      <c r="F9507" s="482"/>
      <c r="G9507" s="7" t="s">
        <v>8</v>
      </c>
      <c r="H9507" s="250" t="s">
        <v>1555</v>
      </c>
    </row>
    <row r="9508" spans="1:9" ht="15.6" x14ac:dyDescent="0.3">
      <c r="A9508" s="551" t="s">
        <v>458</v>
      </c>
      <c r="B9508" s="552"/>
      <c r="C9508" s="481" t="s">
        <v>10</v>
      </c>
      <c r="D9508" s="481"/>
      <c r="E9508" s="482">
        <v>2</v>
      </c>
      <c r="F9508" s="482"/>
      <c r="G9508" s="7" t="s">
        <v>8</v>
      </c>
      <c r="H9508" s="401" t="s">
        <v>1588</v>
      </c>
    </row>
    <row r="9509" spans="1:9" ht="27.75" customHeight="1" x14ac:dyDescent="0.3">
      <c r="A9509" s="560" t="s">
        <v>459</v>
      </c>
      <c r="B9509" s="561"/>
      <c r="C9509" s="483" t="s">
        <v>12</v>
      </c>
      <c r="D9509" s="484"/>
      <c r="E9509" s="562" t="s">
        <v>466</v>
      </c>
      <c r="F9509" s="563"/>
      <c r="G9509" s="400" t="s">
        <v>8</v>
      </c>
      <c r="H9509" s="401" t="s">
        <v>465</v>
      </c>
    </row>
    <row r="9510" spans="1:9" ht="15.6" x14ac:dyDescent="0.3">
      <c r="A9510" s="253" t="s">
        <v>460</v>
      </c>
      <c r="B9510" s="254"/>
      <c r="C9510" s="481" t="s">
        <v>15</v>
      </c>
      <c r="D9510" s="481"/>
      <c r="E9510" s="489" t="s">
        <v>461</v>
      </c>
      <c r="F9510" s="490"/>
      <c r="G9510" s="490"/>
      <c r="H9510" s="491"/>
    </row>
    <row r="9511" spans="1:9" ht="15.6" x14ac:dyDescent="0.3">
      <c r="A9511" s="255" t="s">
        <v>1635</v>
      </c>
      <c r="B9511" s="256"/>
      <c r="C9511" s="489"/>
      <c r="D9511" s="490"/>
      <c r="E9511" s="490"/>
      <c r="F9511" s="490"/>
      <c r="G9511" s="490"/>
      <c r="H9511" s="491"/>
    </row>
    <row r="9512" spans="1:9" ht="15" x14ac:dyDescent="0.3">
      <c r="A9512" s="492" t="s">
        <v>17</v>
      </c>
      <c r="B9512" s="494" t="s">
        <v>18</v>
      </c>
      <c r="C9512" s="494" t="s">
        <v>19</v>
      </c>
      <c r="D9512" s="495" t="s">
        <v>20</v>
      </c>
      <c r="E9512" s="494" t="s">
        <v>21</v>
      </c>
      <c r="F9512" s="494" t="s">
        <v>22</v>
      </c>
      <c r="G9512" s="494"/>
      <c r="H9512" s="492" t="s">
        <v>23</v>
      </c>
    </row>
    <row r="9513" spans="1:9" ht="27.6" x14ac:dyDescent="0.3">
      <c r="A9513" s="492"/>
      <c r="B9513" s="494"/>
      <c r="C9513" s="494"/>
      <c r="D9513" s="505"/>
      <c r="E9513" s="494"/>
      <c r="F9513" s="53" t="s">
        <v>24</v>
      </c>
      <c r="G9513" s="53" t="s">
        <v>25</v>
      </c>
      <c r="H9513" s="492"/>
    </row>
    <row r="9514" spans="1:9" x14ac:dyDescent="0.3">
      <c r="A9514" s="55">
        <v>1</v>
      </c>
      <c r="B9514" s="84" t="s">
        <v>1589</v>
      </c>
      <c r="C9514" s="55">
        <v>3</v>
      </c>
      <c r="D9514" s="86">
        <v>998719</v>
      </c>
      <c r="E9514" s="55">
        <v>4000</v>
      </c>
      <c r="F9514" s="55">
        <f>E9514*C9514*9%</f>
        <v>1080</v>
      </c>
      <c r="G9514" s="55">
        <f>F9514</f>
        <v>1080</v>
      </c>
      <c r="H9514" s="55">
        <f>G9514+F9514+E9514*C9514</f>
        <v>14160</v>
      </c>
      <c r="I9514" s="362">
        <f>E9514*C9514</f>
        <v>12000</v>
      </c>
    </row>
    <row r="9515" spans="1:9" x14ac:dyDescent="0.3">
      <c r="A9515" s="55">
        <v>2</v>
      </c>
      <c r="B9515" s="84" t="s">
        <v>1559</v>
      </c>
      <c r="C9515" s="55">
        <v>3</v>
      </c>
      <c r="D9515" s="86">
        <v>998719</v>
      </c>
      <c r="E9515" s="55">
        <v>3000</v>
      </c>
      <c r="F9515" s="55">
        <f>E9515*C9515*9%</f>
        <v>810</v>
      </c>
      <c r="G9515" s="55">
        <f>F9515</f>
        <v>810</v>
      </c>
      <c r="H9515" s="55">
        <f>G9515+F9515+E9515*C9515</f>
        <v>10620</v>
      </c>
      <c r="I9515" s="362">
        <f t="shared" ref="I9515:I9518" si="257">E9515*C9515</f>
        <v>9000</v>
      </c>
    </row>
    <row r="9516" spans="1:9" x14ac:dyDescent="0.3">
      <c r="A9516" s="55">
        <v>3</v>
      </c>
      <c r="B9516" s="84" t="s">
        <v>1590</v>
      </c>
      <c r="C9516" s="55">
        <v>5</v>
      </c>
      <c r="D9516" s="86">
        <v>998719</v>
      </c>
      <c r="E9516" s="55">
        <v>2500</v>
      </c>
      <c r="F9516" s="55">
        <f>E9516*C9516*9%</f>
        <v>1125</v>
      </c>
      <c r="G9516" s="55">
        <f>F9516</f>
        <v>1125</v>
      </c>
      <c r="H9516" s="55">
        <f>G9516+F9516+E9516*C9516</f>
        <v>14750</v>
      </c>
      <c r="I9516" s="362">
        <f t="shared" si="257"/>
        <v>12500</v>
      </c>
    </row>
    <row r="9517" spans="1:9" x14ac:dyDescent="0.3">
      <c r="A9517" s="55">
        <v>4</v>
      </c>
      <c r="B9517" s="84" t="s">
        <v>1585</v>
      </c>
      <c r="C9517" s="55">
        <v>3</v>
      </c>
      <c r="D9517" s="86">
        <v>998719</v>
      </c>
      <c r="E9517" s="55">
        <v>4300</v>
      </c>
      <c r="F9517" s="55">
        <f>E9517*C9517*9%</f>
        <v>1161</v>
      </c>
      <c r="G9517" s="55">
        <f>F9517</f>
        <v>1161</v>
      </c>
      <c r="H9517" s="55">
        <f t="shared" ref="H9517:H9518" si="258">G9517+F9517+E9517*C9517</f>
        <v>15222</v>
      </c>
      <c r="I9517" s="362">
        <f t="shared" si="257"/>
        <v>12900</v>
      </c>
    </row>
    <row r="9518" spans="1:9" x14ac:dyDescent="0.3">
      <c r="A9518" s="55">
        <v>5</v>
      </c>
      <c r="B9518" s="84" t="s">
        <v>1563</v>
      </c>
      <c r="C9518" s="55">
        <v>1</v>
      </c>
      <c r="D9518" s="86">
        <v>998719</v>
      </c>
      <c r="E9518" s="55">
        <v>4500</v>
      </c>
      <c r="F9518" s="55">
        <f t="shared" ref="F9518" si="259">E9518*C9518*9%</f>
        <v>405</v>
      </c>
      <c r="G9518" s="55">
        <f>F9518</f>
        <v>405</v>
      </c>
      <c r="H9518" s="55">
        <f t="shared" si="258"/>
        <v>5310</v>
      </c>
      <c r="I9518" s="362">
        <f t="shared" si="257"/>
        <v>4500</v>
      </c>
    </row>
    <row r="9519" spans="1:9" x14ac:dyDescent="0.3">
      <c r="A9519" s="55"/>
      <c r="B9519" s="84"/>
      <c r="C9519" s="55"/>
      <c r="D9519" s="86"/>
      <c r="E9519" s="55"/>
      <c r="F9519" s="55"/>
      <c r="G9519" s="55"/>
      <c r="H9519" s="55"/>
    </row>
    <row r="9520" spans="1:9" x14ac:dyDescent="0.3">
      <c r="A9520" s="55"/>
      <c r="B9520" s="84"/>
      <c r="C9520" s="55"/>
      <c r="D9520" s="86"/>
      <c r="E9520" s="55"/>
      <c r="F9520" s="55"/>
      <c r="G9520" s="55"/>
      <c r="H9520" s="55"/>
    </row>
    <row r="9521" spans="1:8" x14ac:dyDescent="0.3">
      <c r="A9521" s="55"/>
      <c r="B9521" s="84"/>
      <c r="C9521" s="55"/>
      <c r="D9521" s="86"/>
      <c r="E9521" s="55"/>
      <c r="F9521" s="55"/>
      <c r="G9521" s="55"/>
      <c r="H9521" s="55"/>
    </row>
    <row r="9522" spans="1:8" x14ac:dyDescent="0.3">
      <c r="A9522" s="55"/>
      <c r="B9522" s="84"/>
      <c r="C9522" s="55"/>
      <c r="D9522" s="86"/>
      <c r="E9522" s="55"/>
      <c r="F9522" s="55"/>
      <c r="G9522" s="55"/>
      <c r="H9522" s="55"/>
    </row>
    <row r="9523" spans="1:8" x14ac:dyDescent="0.3">
      <c r="A9523" s="163"/>
      <c r="B9523" s="163"/>
      <c r="C9523" s="163"/>
      <c r="D9523" s="163"/>
      <c r="E9523" s="163"/>
      <c r="F9523" s="163"/>
      <c r="G9523" s="163"/>
      <c r="H9523" s="163"/>
    </row>
    <row r="9524" spans="1:8" x14ac:dyDescent="0.3">
      <c r="A9524" s="163"/>
      <c r="B9524" s="163"/>
      <c r="C9524" s="163"/>
      <c r="D9524" s="163"/>
      <c r="E9524" s="163"/>
      <c r="F9524" s="163"/>
      <c r="G9524" s="163"/>
      <c r="H9524" s="163"/>
    </row>
    <row r="9525" spans="1:8" x14ac:dyDescent="0.3">
      <c r="A9525" s="163"/>
      <c r="B9525" s="163"/>
      <c r="C9525" s="163"/>
      <c r="D9525" s="163"/>
      <c r="E9525" s="163"/>
      <c r="F9525" s="163"/>
      <c r="G9525" s="163"/>
      <c r="H9525" s="163"/>
    </row>
    <row r="9526" spans="1:8" x14ac:dyDescent="0.3">
      <c r="A9526" s="163"/>
      <c r="B9526" s="163"/>
      <c r="C9526" s="163"/>
      <c r="D9526" s="163"/>
      <c r="E9526" s="163"/>
      <c r="F9526" s="163"/>
      <c r="G9526" s="163"/>
      <c r="H9526" s="163"/>
    </row>
    <row r="9527" spans="1:8" x14ac:dyDescent="0.3">
      <c r="A9527" s="163"/>
      <c r="B9527" s="163"/>
      <c r="C9527" s="163"/>
      <c r="D9527" s="163"/>
      <c r="E9527" s="163"/>
      <c r="F9527" s="163"/>
      <c r="G9527" s="163"/>
      <c r="H9527" s="163"/>
    </row>
    <row r="9528" spans="1:8" x14ac:dyDescent="0.3">
      <c r="A9528" s="258"/>
      <c r="B9528" s="257"/>
      <c r="C9528" s="258"/>
      <c r="D9528" s="86"/>
      <c r="E9528" s="55"/>
      <c r="F9528" s="259"/>
      <c r="G9528" s="259"/>
      <c r="H9528" s="258"/>
    </row>
    <row r="9529" spans="1:8" x14ac:dyDescent="0.3">
      <c r="A9529" s="55"/>
      <c r="B9529" s="84"/>
      <c r="C9529" s="55"/>
      <c r="D9529" s="55"/>
      <c r="E9529" s="55"/>
      <c r="F9529" s="55"/>
      <c r="G9529" s="55"/>
      <c r="H9529" s="55"/>
    </row>
    <row r="9530" spans="1:8" x14ac:dyDescent="0.3">
      <c r="A9530" s="163"/>
      <c r="B9530" s="163"/>
      <c r="C9530" s="163"/>
      <c r="D9530" s="163"/>
      <c r="E9530" s="163"/>
      <c r="F9530" s="163"/>
      <c r="G9530" s="163"/>
      <c r="H9530" s="163"/>
    </row>
    <row r="9531" spans="1:8" x14ac:dyDescent="0.3">
      <c r="A9531" s="55"/>
      <c r="B9531" s="257"/>
      <c r="C9531" s="55"/>
      <c r="D9531" s="55"/>
      <c r="E9531" s="55"/>
      <c r="F9531" s="55"/>
      <c r="G9531" s="55"/>
      <c r="H9531" s="55"/>
    </row>
    <row r="9532" spans="1:8" x14ac:dyDescent="0.3">
      <c r="A9532" s="57"/>
      <c r="B9532" s="84"/>
      <c r="C9532" s="85"/>
      <c r="D9532" s="86"/>
      <c r="E9532" s="87"/>
      <c r="F9532" s="47"/>
      <c r="G9532" s="47"/>
      <c r="H9532" s="47"/>
    </row>
    <row r="9533" spans="1:8" x14ac:dyDescent="0.3">
      <c r="A9533" s="57"/>
      <c r="B9533" s="84"/>
      <c r="C9533" s="85"/>
      <c r="D9533" s="86"/>
      <c r="E9533" s="47"/>
      <c r="F9533" s="47"/>
      <c r="G9533" s="47"/>
      <c r="H9533" s="47"/>
    </row>
    <row r="9534" spans="1:8" x14ac:dyDescent="0.3">
      <c r="A9534" s="55"/>
      <c r="B9534" s="84"/>
      <c r="C9534" s="55"/>
      <c r="D9534" s="86"/>
      <c r="E9534" s="47"/>
      <c r="F9534" s="47"/>
      <c r="G9534" s="47"/>
      <c r="H9534" s="47"/>
    </row>
    <row r="9535" spans="1:8" x14ac:dyDescent="0.3">
      <c r="A9535" s="27"/>
      <c r="B9535" s="28"/>
      <c r="C9535" s="24"/>
      <c r="D9535" s="25"/>
      <c r="E9535" s="25"/>
      <c r="F9535" s="28"/>
      <c r="G9535" s="28"/>
      <c r="H9535" s="32"/>
    </row>
    <row r="9536" spans="1:8" ht="15.6" x14ac:dyDescent="0.3">
      <c r="A9536" s="448" t="s">
        <v>45</v>
      </c>
      <c r="B9536" s="449"/>
      <c r="C9536" s="24"/>
      <c r="D9536" s="25"/>
      <c r="E9536" s="25"/>
      <c r="F9536" s="447" t="s">
        <v>46</v>
      </c>
      <c r="G9536" s="447"/>
      <c r="H9536" s="66">
        <f>C9514*E9514+C9515*E9515+C9516*E9516+C9519*E9519+C9520*E9520+C9521*E9521+C9517*E9517+C9518*E9518</f>
        <v>50900</v>
      </c>
    </row>
    <row r="9537" spans="1:17" ht="15.6" x14ac:dyDescent="0.3">
      <c r="A9537" s="497" t="s">
        <v>1636</v>
      </c>
      <c r="B9537" s="498"/>
      <c r="C9537" s="498"/>
      <c r="D9537" s="498"/>
      <c r="E9537" s="498"/>
      <c r="F9537" s="447" t="s">
        <v>47</v>
      </c>
      <c r="G9537" s="447"/>
      <c r="H9537" s="66">
        <f>H9536*9%</f>
        <v>4581</v>
      </c>
    </row>
    <row r="9538" spans="1:17" ht="15.6" x14ac:dyDescent="0.3">
      <c r="A9538" s="27"/>
      <c r="B9538" s="28"/>
      <c r="C9538" s="24"/>
      <c r="D9538" s="25"/>
      <c r="E9538" s="25"/>
      <c r="F9538" s="447" t="s">
        <v>48</v>
      </c>
      <c r="G9538" s="447"/>
      <c r="H9538" s="66">
        <f>H9537</f>
        <v>4581</v>
      </c>
    </row>
    <row r="9539" spans="1:17" ht="15.6" x14ac:dyDescent="0.3">
      <c r="A9539" s="64" t="s">
        <v>49</v>
      </c>
      <c r="B9539" s="65"/>
      <c r="C9539" s="24"/>
      <c r="D9539" s="25"/>
      <c r="E9539" s="25"/>
      <c r="F9539" s="447" t="s">
        <v>50</v>
      </c>
      <c r="G9539" s="447"/>
      <c r="H9539" s="66">
        <f>H9536+H9537+H9538</f>
        <v>60062</v>
      </c>
    </row>
    <row r="9540" spans="1:17" ht="27" x14ac:dyDescent="0.3">
      <c r="A9540" s="68" t="s">
        <v>22</v>
      </c>
      <c r="B9540" s="30" t="s">
        <v>51</v>
      </c>
      <c r="C9540" s="70" t="s">
        <v>24</v>
      </c>
      <c r="D9540" s="31" t="s">
        <v>25</v>
      </c>
      <c r="E9540" s="450" t="s">
        <v>52</v>
      </c>
      <c r="F9540" s="450"/>
      <c r="G9540" s="28"/>
      <c r="H9540" s="32"/>
    </row>
    <row r="9541" spans="1:17" x14ac:dyDescent="0.3">
      <c r="A9541" s="72">
        <v>0.18</v>
      </c>
      <c r="B9541" s="73">
        <f>H9536</f>
        <v>50900</v>
      </c>
      <c r="C9541" s="91">
        <f>H9537</f>
        <v>4581</v>
      </c>
      <c r="D9541" s="91">
        <f>H9537</f>
        <v>4581</v>
      </c>
      <c r="E9541" s="506">
        <f>C9541+D9541</f>
        <v>9162</v>
      </c>
      <c r="F9541" s="507"/>
      <c r="G9541" s="74"/>
      <c r="H9541" s="75"/>
    </row>
    <row r="9542" spans="1:17" x14ac:dyDescent="0.3">
      <c r="A9542" s="508" t="s">
        <v>1637</v>
      </c>
      <c r="B9542" s="509"/>
      <c r="C9542" s="509"/>
      <c r="D9542" s="509"/>
      <c r="E9542" s="453"/>
      <c r="F9542" s="453"/>
      <c r="G9542" s="453"/>
      <c r="H9542" s="454"/>
    </row>
    <row r="9543" spans="1:17" ht="15.6" x14ac:dyDescent="0.3">
      <c r="A9543" s="455" t="s">
        <v>53</v>
      </c>
      <c r="B9543" s="456"/>
      <c r="C9543" s="456"/>
      <c r="D9543" s="457"/>
      <c r="E9543" s="458" t="s">
        <v>54</v>
      </c>
      <c r="F9543" s="459"/>
      <c r="G9543" s="459"/>
      <c r="H9543" s="460"/>
    </row>
    <row r="9544" spans="1:17" x14ac:dyDescent="0.3">
      <c r="A9544" s="461" t="s">
        <v>55</v>
      </c>
      <c r="B9544" s="462"/>
      <c r="C9544" s="462"/>
      <c r="D9544" s="463"/>
      <c r="E9544" s="39"/>
      <c r="F9544" s="28"/>
      <c r="G9544" s="28"/>
      <c r="H9544" s="32"/>
    </row>
    <row r="9545" spans="1:17" x14ac:dyDescent="0.3">
      <c r="A9545" s="461" t="s">
        <v>56</v>
      </c>
      <c r="B9545" s="462"/>
      <c r="C9545" s="462"/>
      <c r="D9545" s="463"/>
      <c r="E9545" s="39"/>
      <c r="F9545" s="28"/>
      <c r="G9545" s="28"/>
      <c r="H9545" s="32"/>
    </row>
    <row r="9546" spans="1:17" x14ac:dyDescent="0.3">
      <c r="A9546" s="461" t="s">
        <v>57</v>
      </c>
      <c r="B9546" s="462"/>
      <c r="C9546" s="462"/>
      <c r="D9546" s="463"/>
      <c r="E9546" s="39"/>
      <c r="F9546" s="28"/>
      <c r="G9546" s="28"/>
      <c r="H9546" s="32"/>
    </row>
    <row r="9547" spans="1:17" ht="15.6" x14ac:dyDescent="0.3">
      <c r="A9547" s="464" t="s">
        <v>58</v>
      </c>
      <c r="B9547" s="465"/>
      <c r="C9547" s="465"/>
      <c r="D9547" s="465"/>
      <c r="E9547" s="466" t="s">
        <v>59</v>
      </c>
      <c r="F9547" s="467"/>
      <c r="G9547" s="467"/>
      <c r="H9547" s="468"/>
    </row>
    <row r="9550" spans="1:17" ht="44.4" x14ac:dyDescent="0.7">
      <c r="A9550" s="469" t="s">
        <v>0</v>
      </c>
      <c r="B9550" s="470"/>
      <c r="C9550" s="470"/>
      <c r="D9550" s="470"/>
      <c r="E9550" s="471" t="s">
        <v>1</v>
      </c>
      <c r="F9550" s="472"/>
      <c r="G9550" s="472"/>
      <c r="H9550" s="473"/>
      <c r="J9550" s="469"/>
      <c r="K9550" s="470"/>
      <c r="L9550" s="470"/>
      <c r="M9550" s="470"/>
      <c r="N9550" s="471"/>
      <c r="O9550" s="472"/>
      <c r="P9550" s="472"/>
      <c r="Q9550" s="473"/>
    </row>
    <row r="9551" spans="1:17" ht="20.399999999999999" x14ac:dyDescent="0.35">
      <c r="A9551" s="1"/>
      <c r="B9551" s="476" t="s">
        <v>2</v>
      </c>
      <c r="C9551" s="476"/>
      <c r="D9551" s="476"/>
      <c r="E9551" s="474"/>
      <c r="F9551" s="474"/>
      <c r="G9551" s="474"/>
      <c r="H9551" s="475"/>
      <c r="J9551" s="1"/>
      <c r="K9551" s="476"/>
      <c r="L9551" s="476"/>
      <c r="M9551" s="476"/>
      <c r="N9551" s="474"/>
      <c r="O9551" s="474"/>
      <c r="P9551" s="474"/>
      <c r="Q9551" s="475"/>
    </row>
    <row r="9552" spans="1:17" x14ac:dyDescent="0.3">
      <c r="A9552" s="477" t="s">
        <v>3</v>
      </c>
      <c r="B9552" s="478"/>
      <c r="C9552" s="479" t="s">
        <v>4</v>
      </c>
      <c r="D9552" s="479"/>
      <c r="E9552" s="480" t="s">
        <v>5</v>
      </c>
      <c r="F9552" s="480"/>
      <c r="G9552" s="480"/>
      <c r="H9552" s="480"/>
      <c r="J9552" s="477"/>
      <c r="K9552" s="478"/>
      <c r="L9552" s="479"/>
      <c r="M9552" s="479"/>
      <c r="N9552" s="480"/>
      <c r="O9552" s="480"/>
      <c r="P9552" s="480"/>
      <c r="Q9552" s="480"/>
    </row>
    <row r="9553" spans="1:17" ht="15.6" x14ac:dyDescent="0.3">
      <c r="A9553" s="4" t="s">
        <v>6</v>
      </c>
      <c r="B9553" s="5"/>
      <c r="C9553" s="481" t="s">
        <v>7</v>
      </c>
      <c r="D9553" s="481"/>
      <c r="E9553" s="482">
        <v>207</v>
      </c>
      <c r="F9553" s="482"/>
      <c r="G9553" s="7" t="s">
        <v>8</v>
      </c>
      <c r="H9553" s="250" t="s">
        <v>1638</v>
      </c>
      <c r="J9553" s="4"/>
      <c r="K9553" s="5"/>
      <c r="L9553" s="481"/>
      <c r="M9553" s="481"/>
      <c r="N9553" s="482"/>
      <c r="O9553" s="482"/>
      <c r="P9553" s="7"/>
      <c r="Q9553" s="250"/>
    </row>
    <row r="9554" spans="1:17" ht="15.6" x14ac:dyDescent="0.3">
      <c r="A9554" s="551" t="s">
        <v>1607</v>
      </c>
      <c r="B9554" s="552"/>
      <c r="C9554" s="481" t="s">
        <v>10</v>
      </c>
      <c r="D9554" s="481"/>
      <c r="E9554" s="482"/>
      <c r="F9554" s="482"/>
      <c r="G9554" s="7" t="s">
        <v>8</v>
      </c>
      <c r="H9554" s="251"/>
      <c r="J9554" s="551"/>
      <c r="K9554" s="552"/>
      <c r="L9554" s="481"/>
      <c r="M9554" s="481"/>
      <c r="N9554" s="482"/>
      <c r="O9554" s="482"/>
      <c r="P9554" s="7"/>
      <c r="Q9554" s="251"/>
    </row>
    <row r="9555" spans="1:17" ht="15" x14ac:dyDescent="0.3">
      <c r="A9555" s="560" t="s">
        <v>1608</v>
      </c>
      <c r="B9555" s="561"/>
      <c r="C9555" s="483" t="s">
        <v>12</v>
      </c>
      <c r="D9555" s="484"/>
      <c r="E9555" s="602"/>
      <c r="F9555" s="603"/>
      <c r="G9555" s="10" t="s">
        <v>8</v>
      </c>
      <c r="H9555" s="397"/>
      <c r="J9555" s="560"/>
      <c r="K9555" s="561"/>
      <c r="L9555" s="483"/>
      <c r="M9555" s="484"/>
      <c r="N9555" s="602"/>
      <c r="O9555" s="603"/>
      <c r="P9555" s="10"/>
      <c r="Q9555" s="397"/>
    </row>
    <row r="9556" spans="1:17" ht="15.6" x14ac:dyDescent="0.3">
      <c r="A9556" s="253" t="s">
        <v>1609</v>
      </c>
      <c r="B9556" s="254"/>
      <c r="C9556" s="481" t="s">
        <v>15</v>
      </c>
      <c r="D9556" s="481"/>
      <c r="E9556" s="489" t="s">
        <v>1610</v>
      </c>
      <c r="F9556" s="490"/>
      <c r="G9556" s="490"/>
      <c r="H9556" s="491"/>
      <c r="J9556" s="253"/>
      <c r="K9556" s="254"/>
      <c r="L9556" s="481"/>
      <c r="M9556" s="481"/>
      <c r="N9556" s="489"/>
      <c r="O9556" s="490"/>
      <c r="P9556" s="490"/>
      <c r="Q9556" s="491"/>
    </row>
    <row r="9557" spans="1:17" ht="15.6" x14ac:dyDescent="0.3">
      <c r="A9557" s="255" t="s">
        <v>1423</v>
      </c>
      <c r="B9557" s="256"/>
      <c r="C9557" s="489"/>
      <c r="D9557" s="490"/>
      <c r="E9557" s="490"/>
      <c r="F9557" s="490"/>
      <c r="G9557" s="490"/>
      <c r="H9557" s="491"/>
      <c r="J9557" s="255"/>
      <c r="K9557" s="256"/>
      <c r="L9557" s="489"/>
      <c r="M9557" s="490"/>
      <c r="N9557" s="490"/>
      <c r="O9557" s="490"/>
      <c r="P9557" s="490"/>
      <c r="Q9557" s="491"/>
    </row>
    <row r="9558" spans="1:17" ht="15" x14ac:dyDescent="0.3">
      <c r="A9558" s="492" t="s">
        <v>17</v>
      </c>
      <c r="B9558" s="494" t="s">
        <v>18</v>
      </c>
      <c r="C9558" s="494" t="s">
        <v>19</v>
      </c>
      <c r="D9558" s="495" t="s">
        <v>20</v>
      </c>
      <c r="E9558" s="494" t="s">
        <v>21</v>
      </c>
      <c r="F9558" s="494" t="s">
        <v>22</v>
      </c>
      <c r="G9558" s="494"/>
      <c r="H9558" s="492" t="s">
        <v>23</v>
      </c>
      <c r="J9558" s="492"/>
      <c r="K9558" s="494"/>
      <c r="L9558" s="494"/>
      <c r="M9558" s="495"/>
      <c r="N9558" s="494"/>
      <c r="O9558" s="494"/>
      <c r="P9558" s="494"/>
      <c r="Q9558" s="492"/>
    </row>
    <row r="9559" spans="1:17" ht="27.6" x14ac:dyDescent="0.3">
      <c r="A9559" s="492"/>
      <c r="B9559" s="494"/>
      <c r="C9559" s="494"/>
      <c r="D9559" s="505"/>
      <c r="E9559" s="494"/>
      <c r="F9559" s="53" t="s">
        <v>24</v>
      </c>
      <c r="G9559" s="53" t="s">
        <v>25</v>
      </c>
      <c r="H9559" s="492"/>
      <c r="J9559" s="492"/>
      <c r="K9559" s="494"/>
      <c r="L9559" s="494"/>
      <c r="M9559" s="505"/>
      <c r="N9559" s="494"/>
      <c r="O9559" s="53"/>
      <c r="P9559" s="53"/>
      <c r="Q9559" s="492"/>
    </row>
    <row r="9560" spans="1:17" x14ac:dyDescent="0.3">
      <c r="A9560" s="55">
        <v>1</v>
      </c>
      <c r="B9560" s="84" t="s">
        <v>1611</v>
      </c>
      <c r="C9560" s="55">
        <v>3</v>
      </c>
      <c r="D9560" s="297">
        <v>85389000</v>
      </c>
      <c r="E9560" s="55">
        <v>1334</v>
      </c>
      <c r="F9560" s="55">
        <f>E9560*C9560*9%</f>
        <v>360.18</v>
      </c>
      <c r="G9560" s="55">
        <f>F9560</f>
        <v>360.18</v>
      </c>
      <c r="H9560" s="55">
        <f>G9560+F9560+E9560*C9560</f>
        <v>4722.3599999999997</v>
      </c>
      <c r="I9560" s="362">
        <f>E9560*C9560</f>
        <v>4002</v>
      </c>
      <c r="J9560" s="55"/>
      <c r="K9560" s="84"/>
      <c r="L9560" s="55"/>
      <c r="M9560" s="86"/>
      <c r="N9560" s="55"/>
      <c r="O9560" s="55"/>
      <c r="P9560" s="55"/>
      <c r="Q9560" s="55"/>
    </row>
    <row r="9561" spans="1:17" x14ac:dyDescent="0.3">
      <c r="A9561" s="55"/>
      <c r="B9561" s="84"/>
      <c r="C9561" s="55"/>
      <c r="D9561" s="86"/>
      <c r="E9561" s="55"/>
      <c r="F9561" s="55"/>
      <c r="G9561" s="55"/>
      <c r="H9561" s="55"/>
      <c r="J9561" s="55"/>
      <c r="K9561" s="84"/>
      <c r="L9561" s="55"/>
      <c r="M9561" s="86"/>
      <c r="N9561" s="55"/>
      <c r="O9561" s="55"/>
      <c r="P9561" s="55"/>
      <c r="Q9561" s="55"/>
    </row>
    <row r="9562" spans="1:17" x14ac:dyDescent="0.3">
      <c r="A9562" s="55"/>
      <c r="B9562" s="84"/>
      <c r="C9562" s="55"/>
      <c r="D9562" s="86"/>
      <c r="E9562" s="55"/>
      <c r="F9562" s="55"/>
      <c r="G9562" s="55"/>
      <c r="H9562" s="55"/>
      <c r="J9562" s="55"/>
      <c r="K9562" s="84"/>
      <c r="L9562" s="55"/>
      <c r="M9562" s="86"/>
      <c r="N9562" s="55"/>
      <c r="O9562" s="55"/>
      <c r="P9562" s="55"/>
      <c r="Q9562" s="55"/>
    </row>
    <row r="9563" spans="1:17" x14ac:dyDescent="0.3">
      <c r="A9563" s="55"/>
      <c r="B9563" s="84"/>
      <c r="C9563" s="55"/>
      <c r="D9563" s="86"/>
      <c r="E9563" s="55"/>
      <c r="F9563" s="55"/>
      <c r="G9563" s="55"/>
      <c r="H9563" s="55"/>
      <c r="J9563" s="55"/>
      <c r="K9563" s="84"/>
      <c r="L9563" s="55"/>
      <c r="M9563" s="86"/>
      <c r="N9563" s="55"/>
      <c r="O9563" s="55"/>
      <c r="P9563" s="55"/>
      <c r="Q9563" s="55"/>
    </row>
    <row r="9564" spans="1:17" x14ac:dyDescent="0.3">
      <c r="A9564" s="55"/>
      <c r="B9564" s="84"/>
      <c r="C9564" s="55"/>
      <c r="D9564" s="86"/>
      <c r="E9564" s="55"/>
      <c r="F9564" s="55"/>
      <c r="G9564" s="55"/>
      <c r="H9564" s="55"/>
      <c r="J9564" s="55"/>
      <c r="K9564" s="84"/>
      <c r="L9564" s="55"/>
      <c r="M9564" s="86"/>
      <c r="N9564" s="55"/>
      <c r="O9564" s="55"/>
      <c r="P9564" s="55"/>
      <c r="Q9564" s="55"/>
    </row>
    <row r="9565" spans="1:17" x14ac:dyDescent="0.3">
      <c r="A9565" s="55"/>
      <c r="B9565" s="84"/>
      <c r="C9565" s="55"/>
      <c r="D9565" s="86"/>
      <c r="E9565" s="55"/>
      <c r="F9565" s="55"/>
      <c r="G9565" s="55"/>
      <c r="H9565" s="55"/>
      <c r="J9565" s="55"/>
      <c r="K9565" s="84"/>
      <c r="L9565" s="55"/>
      <c r="M9565" s="86"/>
      <c r="N9565" s="55"/>
      <c r="O9565" s="55"/>
      <c r="P9565" s="55"/>
      <c r="Q9565" s="55"/>
    </row>
    <row r="9566" spans="1:17" x14ac:dyDescent="0.3">
      <c r="A9566" s="55"/>
      <c r="B9566" s="84"/>
      <c r="C9566" s="55"/>
      <c r="D9566" s="86"/>
      <c r="E9566" s="55"/>
      <c r="F9566" s="55"/>
      <c r="G9566" s="55"/>
      <c r="H9566" s="55"/>
      <c r="J9566" s="55"/>
      <c r="K9566" s="84"/>
      <c r="L9566" s="55"/>
      <c r="M9566" s="86"/>
      <c r="N9566" s="55"/>
      <c r="O9566" s="55"/>
      <c r="P9566" s="55"/>
      <c r="Q9566" s="55"/>
    </row>
    <row r="9567" spans="1:17" x14ac:dyDescent="0.3">
      <c r="A9567" s="55"/>
      <c r="B9567" s="84"/>
      <c r="C9567" s="55"/>
      <c r="D9567" s="86"/>
      <c r="E9567" s="55"/>
      <c r="F9567" s="55"/>
      <c r="G9567" s="55"/>
      <c r="H9567" s="55"/>
      <c r="J9567" s="55"/>
      <c r="K9567" s="84"/>
      <c r="L9567" s="55"/>
      <c r="M9567" s="86"/>
      <c r="N9567" s="55"/>
      <c r="O9567" s="55"/>
      <c r="P9567" s="55"/>
      <c r="Q9567" s="55"/>
    </row>
    <row r="9568" spans="1:17" x14ac:dyDescent="0.3">
      <c r="A9568" s="55"/>
      <c r="B9568" s="84"/>
      <c r="C9568" s="55"/>
      <c r="D9568" s="86"/>
      <c r="E9568" s="55"/>
      <c r="F9568" s="55"/>
      <c r="G9568" s="55"/>
      <c r="H9568" s="55"/>
      <c r="J9568" s="55"/>
      <c r="K9568" s="84"/>
      <c r="L9568" s="55"/>
      <c r="M9568" s="86"/>
      <c r="N9568" s="55"/>
      <c r="O9568" s="55"/>
      <c r="P9568" s="55"/>
      <c r="Q9568" s="55"/>
    </row>
    <row r="9569" spans="1:17" x14ac:dyDescent="0.3">
      <c r="A9569" s="55"/>
      <c r="B9569" s="84"/>
      <c r="C9569" s="55"/>
      <c r="D9569" s="86"/>
      <c r="E9569" s="55"/>
      <c r="F9569" s="55"/>
      <c r="G9569" s="55"/>
      <c r="H9569" s="55"/>
      <c r="J9569" s="55"/>
      <c r="K9569" s="84"/>
      <c r="L9569" s="55"/>
      <c r="M9569" s="86"/>
      <c r="N9569" s="55"/>
      <c r="O9569" s="55"/>
      <c r="P9569" s="55"/>
      <c r="Q9569" s="55"/>
    </row>
    <row r="9570" spans="1:17" x14ac:dyDescent="0.3">
      <c r="A9570" s="55"/>
      <c r="B9570" s="399"/>
      <c r="C9570" s="55"/>
      <c r="D9570" s="86"/>
      <c r="E9570" s="55"/>
      <c r="F9570" s="55"/>
      <c r="G9570" s="55"/>
      <c r="H9570" s="55"/>
      <c r="J9570" s="55"/>
      <c r="K9570" s="399"/>
      <c r="L9570" s="55"/>
      <c r="M9570" s="86"/>
      <c r="N9570" s="55"/>
      <c r="O9570" s="55"/>
      <c r="P9570" s="55"/>
      <c r="Q9570" s="55"/>
    </row>
    <row r="9571" spans="1:17" x14ac:dyDescent="0.3">
      <c r="A9571" s="163"/>
      <c r="B9571" s="163"/>
      <c r="C9571" s="163"/>
      <c r="D9571" s="163"/>
      <c r="E9571" s="163"/>
      <c r="F9571" s="163"/>
      <c r="G9571" s="163"/>
      <c r="H9571" s="163"/>
      <c r="J9571" s="163"/>
      <c r="K9571" s="163"/>
      <c r="L9571" s="163"/>
      <c r="M9571" s="163"/>
      <c r="N9571" s="163"/>
      <c r="O9571" s="163"/>
      <c r="P9571" s="163"/>
      <c r="Q9571" s="163"/>
    </row>
    <row r="9572" spans="1:17" x14ac:dyDescent="0.3">
      <c r="A9572" s="163"/>
      <c r="B9572" s="163"/>
      <c r="C9572" s="163"/>
      <c r="D9572" s="163"/>
      <c r="E9572" s="163"/>
      <c r="F9572" s="163"/>
      <c r="G9572" s="163"/>
      <c r="H9572" s="163"/>
      <c r="J9572" s="163"/>
      <c r="K9572" s="163"/>
      <c r="L9572" s="163"/>
      <c r="M9572" s="163"/>
      <c r="N9572" s="163"/>
      <c r="O9572" s="163"/>
      <c r="P9572" s="163"/>
      <c r="Q9572" s="163"/>
    </row>
    <row r="9573" spans="1:17" x14ac:dyDescent="0.3">
      <c r="A9573" s="163"/>
      <c r="B9573" s="163"/>
      <c r="C9573" s="163"/>
      <c r="D9573" s="163"/>
      <c r="E9573" s="163"/>
      <c r="F9573" s="163"/>
      <c r="G9573" s="163"/>
      <c r="H9573" s="163"/>
      <c r="J9573" s="163"/>
      <c r="K9573" s="163"/>
      <c r="L9573" s="163"/>
      <c r="M9573" s="163"/>
      <c r="N9573" s="163"/>
      <c r="O9573" s="163"/>
      <c r="P9573" s="163"/>
      <c r="Q9573" s="163"/>
    </row>
    <row r="9574" spans="1:17" x14ac:dyDescent="0.3">
      <c r="A9574" s="163"/>
      <c r="B9574" s="163"/>
      <c r="C9574" s="163"/>
      <c r="D9574" s="163"/>
      <c r="E9574" s="163"/>
      <c r="F9574" s="163"/>
      <c r="G9574" s="163"/>
      <c r="H9574" s="163"/>
      <c r="J9574" s="163"/>
      <c r="K9574" s="163"/>
      <c r="L9574" s="163"/>
      <c r="M9574" s="163"/>
      <c r="N9574" s="163"/>
      <c r="O9574" s="163"/>
      <c r="P9574" s="163"/>
      <c r="Q9574" s="163"/>
    </row>
    <row r="9575" spans="1:17" x14ac:dyDescent="0.3">
      <c r="A9575" s="163"/>
      <c r="B9575" s="163"/>
      <c r="C9575" s="163"/>
      <c r="D9575" s="163"/>
      <c r="E9575" s="163"/>
      <c r="F9575" s="163"/>
      <c r="G9575" s="163"/>
      <c r="H9575" s="163"/>
      <c r="J9575" s="163"/>
      <c r="K9575" s="163"/>
      <c r="L9575" s="163"/>
      <c r="M9575" s="163"/>
      <c r="N9575" s="163"/>
      <c r="O9575" s="163"/>
      <c r="P9575" s="163"/>
      <c r="Q9575" s="163"/>
    </row>
    <row r="9576" spans="1:17" x14ac:dyDescent="0.3">
      <c r="A9576" s="258"/>
      <c r="B9576" s="257"/>
      <c r="C9576" s="258"/>
      <c r="D9576" s="86"/>
      <c r="E9576" s="55"/>
      <c r="F9576" s="259"/>
      <c r="G9576" s="259"/>
      <c r="H9576" s="258"/>
      <c r="J9576" s="258"/>
      <c r="K9576" s="257"/>
      <c r="L9576" s="258"/>
      <c r="M9576" s="86"/>
      <c r="N9576" s="55"/>
      <c r="O9576" s="259"/>
      <c r="P9576" s="259"/>
      <c r="Q9576" s="258"/>
    </row>
    <row r="9577" spans="1:17" x14ac:dyDescent="0.3">
      <c r="A9577" s="55"/>
      <c r="B9577" s="84"/>
      <c r="C9577" s="55"/>
      <c r="D9577" s="55"/>
      <c r="E9577" s="55"/>
      <c r="F9577" s="55"/>
      <c r="G9577" s="55"/>
      <c r="H9577" s="55"/>
      <c r="J9577" s="55"/>
      <c r="K9577" s="84"/>
      <c r="L9577" s="55"/>
      <c r="M9577" s="55"/>
      <c r="N9577" s="55"/>
      <c r="O9577" s="55"/>
      <c r="P9577" s="55"/>
      <c r="Q9577" s="55"/>
    </row>
    <row r="9578" spans="1:17" x14ac:dyDescent="0.3">
      <c r="A9578" s="163"/>
      <c r="B9578" s="163"/>
      <c r="C9578" s="163"/>
      <c r="D9578" s="163"/>
      <c r="E9578" s="163"/>
      <c r="F9578" s="163"/>
      <c r="G9578" s="163"/>
      <c r="H9578" s="163"/>
      <c r="J9578" s="163"/>
      <c r="K9578" s="163"/>
      <c r="L9578" s="163"/>
      <c r="M9578" s="163"/>
      <c r="N9578" s="163"/>
      <c r="O9578" s="163"/>
      <c r="P9578" s="163"/>
      <c r="Q9578" s="163"/>
    </row>
    <row r="9579" spans="1:17" x14ac:dyDescent="0.3">
      <c r="A9579" s="55"/>
      <c r="B9579" s="257"/>
      <c r="C9579" s="55"/>
      <c r="D9579" s="55"/>
      <c r="E9579" s="55"/>
      <c r="F9579" s="55"/>
      <c r="G9579" s="55"/>
      <c r="H9579" s="55"/>
      <c r="J9579" s="55"/>
      <c r="K9579" s="257"/>
      <c r="L9579" s="55"/>
      <c r="M9579" s="55"/>
      <c r="N9579" s="55"/>
      <c r="O9579" s="55"/>
      <c r="P9579" s="55"/>
      <c r="Q9579" s="55"/>
    </row>
    <row r="9580" spans="1:17" x14ac:dyDescent="0.3">
      <c r="A9580" s="57"/>
      <c r="B9580" s="84"/>
      <c r="C9580" s="85"/>
      <c r="D9580" s="86"/>
      <c r="E9580" s="87"/>
      <c r="F9580" s="47"/>
      <c r="G9580" s="47"/>
      <c r="H9580" s="47"/>
      <c r="J9580" s="57"/>
      <c r="K9580" s="84"/>
      <c r="L9580" s="85"/>
      <c r="M9580" s="86"/>
      <c r="N9580" s="87"/>
      <c r="O9580" s="47"/>
      <c r="P9580" s="47"/>
      <c r="Q9580" s="47"/>
    </row>
    <row r="9581" spans="1:17" x14ac:dyDescent="0.3">
      <c r="A9581" s="57"/>
      <c r="B9581" s="84"/>
      <c r="C9581" s="85"/>
      <c r="D9581" s="86"/>
      <c r="E9581" s="47"/>
      <c r="F9581" s="47"/>
      <c r="G9581" s="47"/>
      <c r="H9581" s="47"/>
      <c r="J9581" s="57"/>
      <c r="K9581" s="84"/>
      <c r="L9581" s="85"/>
      <c r="M9581" s="86"/>
      <c r="N9581" s="47"/>
      <c r="O9581" s="47"/>
      <c r="P9581" s="47"/>
      <c r="Q9581" s="47"/>
    </row>
    <row r="9582" spans="1:17" x14ac:dyDescent="0.3">
      <c r="A9582" s="55"/>
      <c r="B9582" s="84"/>
      <c r="C9582" s="55"/>
      <c r="D9582" s="86"/>
      <c r="E9582" s="47"/>
      <c r="F9582" s="47"/>
      <c r="G9582" s="47"/>
      <c r="H9582" s="47"/>
      <c r="J9582" s="55"/>
      <c r="K9582" s="84"/>
      <c r="L9582" s="55"/>
      <c r="M9582" s="86"/>
      <c r="N9582" s="47"/>
      <c r="O9582" s="47"/>
      <c r="P9582" s="47"/>
      <c r="Q9582" s="47"/>
    </row>
    <row r="9583" spans="1:17" x14ac:dyDescent="0.3">
      <c r="A9583" s="27"/>
      <c r="B9583" s="28"/>
      <c r="C9583" s="24"/>
      <c r="D9583" s="25"/>
      <c r="E9583" s="25"/>
      <c r="F9583" s="28"/>
      <c r="G9583" s="28"/>
      <c r="H9583" s="32"/>
      <c r="J9583" s="27"/>
      <c r="K9583" s="28"/>
      <c r="L9583" s="24"/>
      <c r="M9583" s="25"/>
      <c r="N9583" s="25"/>
      <c r="O9583" s="28"/>
      <c r="P9583" s="28"/>
      <c r="Q9583" s="32"/>
    </row>
    <row r="9584" spans="1:17" ht="15.6" x14ac:dyDescent="0.3">
      <c r="A9584" s="448" t="s">
        <v>45</v>
      </c>
      <c r="B9584" s="449"/>
      <c r="C9584" s="24"/>
      <c r="D9584" s="25"/>
      <c r="E9584" s="25"/>
      <c r="F9584" s="447" t="s">
        <v>46</v>
      </c>
      <c r="G9584" s="447"/>
      <c r="H9584" s="66">
        <f>C9560*E9560+C9561*E9561+C9562*E9562+C9567*E9567+C9568*E9568+C9569*E9569+C9563*E9563+C9564*E9564+C9565*E9565+C9566*E9566</f>
        <v>4002</v>
      </c>
      <c r="J9584" s="448"/>
      <c r="K9584" s="449"/>
      <c r="L9584" s="24"/>
      <c r="M9584" s="25"/>
      <c r="N9584" s="25"/>
      <c r="O9584" s="447"/>
      <c r="P9584" s="447"/>
      <c r="Q9584" s="66"/>
    </row>
    <row r="9585" spans="1:17" ht="15.6" x14ac:dyDescent="0.3">
      <c r="A9585" s="497" t="s">
        <v>1613</v>
      </c>
      <c r="B9585" s="498"/>
      <c r="C9585" s="498"/>
      <c r="D9585" s="498"/>
      <c r="E9585" s="498"/>
      <c r="F9585" s="447" t="s">
        <v>47</v>
      </c>
      <c r="G9585" s="447"/>
      <c r="H9585" s="66">
        <f>H9584*9%</f>
        <v>360.18</v>
      </c>
      <c r="J9585" s="497"/>
      <c r="K9585" s="498"/>
      <c r="L9585" s="498"/>
      <c r="M9585" s="498"/>
      <c r="N9585" s="498"/>
      <c r="O9585" s="447"/>
      <c r="P9585" s="447"/>
      <c r="Q9585" s="66"/>
    </row>
    <row r="9586" spans="1:17" ht="15.6" x14ac:dyDescent="0.3">
      <c r="A9586" s="27"/>
      <c r="B9586" s="28"/>
      <c r="C9586" s="24"/>
      <c r="D9586" s="25"/>
      <c r="E9586" s="25"/>
      <c r="F9586" s="447" t="s">
        <v>48</v>
      </c>
      <c r="G9586" s="447"/>
      <c r="H9586" s="66">
        <f>H9585</f>
        <v>360.18</v>
      </c>
      <c r="J9586" s="27"/>
      <c r="K9586" s="28"/>
      <c r="L9586" s="24"/>
      <c r="M9586" s="25"/>
      <c r="N9586" s="25"/>
      <c r="O9586" s="447"/>
      <c r="P9586" s="447"/>
      <c r="Q9586" s="66"/>
    </row>
    <row r="9587" spans="1:17" ht="15.6" x14ac:dyDescent="0.3">
      <c r="A9587" s="64" t="s">
        <v>49</v>
      </c>
      <c r="B9587" s="65"/>
      <c r="C9587" s="24"/>
      <c r="D9587" s="25"/>
      <c r="E9587" s="25"/>
      <c r="F9587" s="447" t="s">
        <v>50</v>
      </c>
      <c r="G9587" s="447"/>
      <c r="H9587" s="66">
        <f>H9584+H9585+H9586</f>
        <v>4722.3600000000006</v>
      </c>
      <c r="J9587" s="64"/>
      <c r="K9587" s="65"/>
      <c r="L9587" s="24"/>
      <c r="M9587" s="25"/>
      <c r="N9587" s="25"/>
      <c r="O9587" s="447"/>
      <c r="P9587" s="447"/>
      <c r="Q9587" s="66"/>
    </row>
    <row r="9588" spans="1:17" ht="27" x14ac:dyDescent="0.3">
      <c r="A9588" s="68" t="s">
        <v>22</v>
      </c>
      <c r="B9588" s="30" t="s">
        <v>51</v>
      </c>
      <c r="C9588" s="70" t="s">
        <v>24</v>
      </c>
      <c r="D9588" s="31" t="s">
        <v>25</v>
      </c>
      <c r="E9588" s="450" t="s">
        <v>52</v>
      </c>
      <c r="F9588" s="450"/>
      <c r="G9588" s="28"/>
      <c r="H9588" s="32"/>
      <c r="J9588" s="68"/>
      <c r="K9588" s="30"/>
      <c r="L9588" s="70"/>
      <c r="M9588" s="31"/>
      <c r="N9588" s="450"/>
      <c r="O9588" s="450"/>
      <c r="P9588" s="28"/>
      <c r="Q9588" s="32"/>
    </row>
    <row r="9589" spans="1:17" x14ac:dyDescent="0.3">
      <c r="A9589" s="72">
        <v>0.18</v>
      </c>
      <c r="B9589" s="73">
        <f>H9584</f>
        <v>4002</v>
      </c>
      <c r="C9589" s="91">
        <f>H9585</f>
        <v>360.18</v>
      </c>
      <c r="D9589" s="91">
        <f>H9585</f>
        <v>360.18</v>
      </c>
      <c r="E9589" s="506">
        <f>C9589+D9589</f>
        <v>720.36</v>
      </c>
      <c r="F9589" s="507"/>
      <c r="G9589" s="74"/>
      <c r="H9589" s="75"/>
      <c r="J9589" s="72"/>
      <c r="K9589" s="73"/>
      <c r="L9589" s="91"/>
      <c r="M9589" s="91"/>
      <c r="N9589" s="506"/>
      <c r="O9589" s="507"/>
      <c r="P9589" s="74"/>
      <c r="Q9589" s="75"/>
    </row>
    <row r="9590" spans="1:17" x14ac:dyDescent="0.3">
      <c r="A9590" s="508" t="s">
        <v>1615</v>
      </c>
      <c r="B9590" s="509"/>
      <c r="C9590" s="509"/>
      <c r="D9590" s="509"/>
      <c r="E9590" s="453"/>
      <c r="F9590" s="453"/>
      <c r="G9590" s="453"/>
      <c r="H9590" s="454"/>
      <c r="J9590" s="508"/>
      <c r="K9590" s="509"/>
      <c r="L9590" s="509"/>
      <c r="M9590" s="509"/>
      <c r="N9590" s="453"/>
      <c r="O9590" s="453"/>
      <c r="P9590" s="453"/>
      <c r="Q9590" s="454"/>
    </row>
    <row r="9591" spans="1:17" ht="15.6" x14ac:dyDescent="0.3">
      <c r="A9591" s="455" t="s">
        <v>53</v>
      </c>
      <c r="B9591" s="456"/>
      <c r="C9591" s="456"/>
      <c r="D9591" s="457"/>
      <c r="E9591" s="458" t="s">
        <v>54</v>
      </c>
      <c r="F9591" s="459"/>
      <c r="G9591" s="459"/>
      <c r="H9591" s="460"/>
      <c r="J9591" s="455"/>
      <c r="K9591" s="456"/>
      <c r="L9591" s="456"/>
      <c r="M9591" s="457"/>
      <c r="N9591" s="458"/>
      <c r="O9591" s="459"/>
      <c r="P9591" s="459"/>
      <c r="Q9591" s="460"/>
    </row>
    <row r="9592" spans="1:17" x14ac:dyDescent="0.3">
      <c r="A9592" s="461" t="s">
        <v>55</v>
      </c>
      <c r="B9592" s="462"/>
      <c r="C9592" s="462"/>
      <c r="D9592" s="463"/>
      <c r="E9592" s="39"/>
      <c r="F9592" s="28"/>
      <c r="G9592" s="28"/>
      <c r="H9592" s="32"/>
      <c r="J9592" s="461"/>
      <c r="K9592" s="462"/>
      <c r="L9592" s="462"/>
      <c r="M9592" s="463"/>
      <c r="N9592" s="39"/>
      <c r="O9592" s="28"/>
      <c r="P9592" s="28"/>
      <c r="Q9592" s="32"/>
    </row>
    <row r="9593" spans="1:17" x14ac:dyDescent="0.3">
      <c r="A9593" s="461" t="s">
        <v>56</v>
      </c>
      <c r="B9593" s="462"/>
      <c r="C9593" s="462"/>
      <c r="D9593" s="463"/>
      <c r="E9593" s="39"/>
      <c r="F9593" s="28"/>
      <c r="G9593" s="28"/>
      <c r="H9593" s="32"/>
      <c r="J9593" s="461"/>
      <c r="K9593" s="462"/>
      <c r="L9593" s="462"/>
      <c r="M9593" s="463"/>
      <c r="N9593" s="39"/>
      <c r="O9593" s="28"/>
      <c r="P9593" s="28"/>
      <c r="Q9593" s="32"/>
    </row>
    <row r="9594" spans="1:17" x14ac:dyDescent="0.3">
      <c r="A9594" s="461" t="s">
        <v>57</v>
      </c>
      <c r="B9594" s="462"/>
      <c r="C9594" s="462"/>
      <c r="D9594" s="463"/>
      <c r="E9594" s="39"/>
      <c r="F9594" s="28"/>
      <c r="G9594" s="28"/>
      <c r="H9594" s="32"/>
      <c r="J9594" s="461"/>
      <c r="K9594" s="462"/>
      <c r="L9594" s="462"/>
      <c r="M9594" s="463"/>
      <c r="N9594" s="39"/>
      <c r="O9594" s="28"/>
      <c r="P9594" s="28"/>
      <c r="Q9594" s="32"/>
    </row>
    <row r="9595" spans="1:17" ht="15.6" x14ac:dyDescent="0.3">
      <c r="A9595" s="464" t="s">
        <v>58</v>
      </c>
      <c r="B9595" s="465"/>
      <c r="C9595" s="465"/>
      <c r="D9595" s="465"/>
      <c r="E9595" s="466" t="s">
        <v>59</v>
      </c>
      <c r="F9595" s="467"/>
      <c r="G9595" s="467"/>
      <c r="H9595" s="468"/>
      <c r="J9595" s="464"/>
      <c r="K9595" s="465"/>
      <c r="L9595" s="465"/>
      <c r="M9595" s="465"/>
      <c r="N9595" s="466"/>
      <c r="O9595" s="467"/>
      <c r="P9595" s="467"/>
      <c r="Q9595" s="468"/>
    </row>
    <row r="9599" spans="1:17" ht="44.4" x14ac:dyDescent="0.7">
      <c r="A9599" s="469" t="s">
        <v>0</v>
      </c>
      <c r="B9599" s="470"/>
      <c r="C9599" s="470"/>
      <c r="D9599" s="470"/>
      <c r="E9599" s="471" t="s">
        <v>1</v>
      </c>
      <c r="F9599" s="472"/>
      <c r="G9599" s="472"/>
      <c r="H9599" s="473"/>
      <c r="J9599" s="469"/>
      <c r="K9599" s="470"/>
      <c r="L9599" s="470"/>
      <c r="M9599" s="470"/>
      <c r="N9599" s="471"/>
      <c r="O9599" s="472"/>
      <c r="P9599" s="472"/>
      <c r="Q9599" s="473"/>
    </row>
    <row r="9600" spans="1:17" ht="20.399999999999999" x14ac:dyDescent="0.35">
      <c r="A9600" s="1"/>
      <c r="B9600" s="476" t="s">
        <v>2</v>
      </c>
      <c r="C9600" s="476"/>
      <c r="D9600" s="476"/>
      <c r="E9600" s="474"/>
      <c r="F9600" s="474"/>
      <c r="G9600" s="474"/>
      <c r="H9600" s="475"/>
      <c r="J9600" s="1"/>
      <c r="K9600" s="476"/>
      <c r="L9600" s="476"/>
      <c r="M9600" s="476"/>
      <c r="N9600" s="474"/>
      <c r="O9600" s="474"/>
      <c r="P9600" s="474"/>
      <c r="Q9600" s="475"/>
    </row>
    <row r="9601" spans="1:17" x14ac:dyDescent="0.3">
      <c r="A9601" s="477" t="s">
        <v>3</v>
      </c>
      <c r="B9601" s="478"/>
      <c r="C9601" s="479" t="s">
        <v>4</v>
      </c>
      <c r="D9601" s="479"/>
      <c r="E9601" s="480" t="s">
        <v>5</v>
      </c>
      <c r="F9601" s="480"/>
      <c r="G9601" s="480"/>
      <c r="H9601" s="480"/>
      <c r="J9601" s="477"/>
      <c r="K9601" s="478"/>
      <c r="L9601" s="136"/>
      <c r="M9601" s="499"/>
      <c r="N9601" s="499"/>
      <c r="O9601" s="137"/>
      <c r="P9601" s="575"/>
      <c r="Q9601" s="576"/>
    </row>
    <row r="9602" spans="1:17" ht="15.6" x14ac:dyDescent="0.3">
      <c r="A9602" s="4" t="s">
        <v>6</v>
      </c>
      <c r="B9602" s="5"/>
      <c r="C9602" s="481" t="s">
        <v>7</v>
      </c>
      <c r="D9602" s="481"/>
      <c r="E9602" s="482">
        <v>208</v>
      </c>
      <c r="F9602" s="482"/>
      <c r="G9602" s="7" t="s">
        <v>8</v>
      </c>
      <c r="H9602" s="250" t="s">
        <v>1650</v>
      </c>
      <c r="J9602" s="138"/>
      <c r="K9602" s="5"/>
      <c r="L9602" s="481"/>
      <c r="M9602" s="481"/>
      <c r="N9602" s="482"/>
      <c r="O9602" s="482"/>
      <c r="P9602" s="7"/>
      <c r="Q9602" s="8"/>
    </row>
    <row r="9603" spans="1:17" ht="15.6" x14ac:dyDescent="0.3">
      <c r="A9603" s="551" t="s">
        <v>458</v>
      </c>
      <c r="B9603" s="552"/>
      <c r="C9603" s="481" t="s">
        <v>10</v>
      </c>
      <c r="D9603" s="481"/>
      <c r="E9603" s="482">
        <v>8</v>
      </c>
      <c r="F9603" s="482"/>
      <c r="G9603" s="7" t="s">
        <v>8</v>
      </c>
      <c r="H9603" s="401">
        <v>45699</v>
      </c>
      <c r="J9603" s="514"/>
      <c r="K9603" s="515"/>
      <c r="L9603" s="481"/>
      <c r="M9603" s="481"/>
      <c r="N9603" s="482"/>
      <c r="O9603" s="482"/>
      <c r="P9603" s="7"/>
      <c r="Q9603" s="6"/>
    </row>
    <row r="9604" spans="1:17" ht="25.5" customHeight="1" x14ac:dyDescent="0.3">
      <c r="A9604" s="560" t="s">
        <v>459</v>
      </c>
      <c r="B9604" s="561"/>
      <c r="C9604" s="483" t="s">
        <v>12</v>
      </c>
      <c r="D9604" s="484"/>
      <c r="E9604" s="562" t="s">
        <v>466</v>
      </c>
      <c r="F9604" s="563"/>
      <c r="G9604" s="400" t="s">
        <v>8</v>
      </c>
      <c r="H9604" s="401" t="s">
        <v>465</v>
      </c>
      <c r="J9604" s="517"/>
      <c r="K9604" s="518"/>
      <c r="L9604" s="519"/>
      <c r="M9604" s="519"/>
      <c r="N9604" s="564"/>
      <c r="O9604" s="565"/>
      <c r="P9604" s="10"/>
      <c r="Q9604" s="109"/>
    </row>
    <row r="9605" spans="1:17" ht="15.6" x14ac:dyDescent="0.3">
      <c r="A9605" s="253" t="s">
        <v>460</v>
      </c>
      <c r="B9605" s="254"/>
      <c r="C9605" s="481" t="s">
        <v>15</v>
      </c>
      <c r="D9605" s="481"/>
      <c r="E9605" s="489" t="s">
        <v>461</v>
      </c>
      <c r="F9605" s="490"/>
      <c r="G9605" s="490"/>
      <c r="H9605" s="491"/>
      <c r="J9605" s="517"/>
      <c r="K9605" s="518"/>
      <c r="L9605" s="481"/>
      <c r="M9605" s="481"/>
      <c r="N9605" s="566"/>
      <c r="O9605" s="567"/>
      <c r="P9605" s="567"/>
      <c r="Q9605" s="568"/>
    </row>
    <row r="9606" spans="1:17" ht="15.6" x14ac:dyDescent="0.3">
      <c r="A9606" s="255" t="s">
        <v>1642</v>
      </c>
      <c r="B9606" s="256"/>
      <c r="C9606" s="489"/>
      <c r="D9606" s="490"/>
      <c r="E9606" s="490"/>
      <c r="F9606" s="490"/>
      <c r="G9606" s="490"/>
      <c r="H9606" s="491"/>
      <c r="J9606" s="12"/>
      <c r="K9606" s="13"/>
      <c r="L9606" s="569"/>
      <c r="M9606" s="570"/>
      <c r="N9606" s="570"/>
      <c r="O9606" s="570"/>
      <c r="P9606" s="570"/>
      <c r="Q9606" s="571"/>
    </row>
    <row r="9607" spans="1:17" ht="15" x14ac:dyDescent="0.3">
      <c r="A9607" s="492" t="s">
        <v>17</v>
      </c>
      <c r="B9607" s="494" t="s">
        <v>18</v>
      </c>
      <c r="C9607" s="494" t="s">
        <v>19</v>
      </c>
      <c r="D9607" s="495" t="s">
        <v>20</v>
      </c>
      <c r="E9607" s="494" t="s">
        <v>21</v>
      </c>
      <c r="F9607" s="494" t="s">
        <v>22</v>
      </c>
      <c r="G9607" s="494"/>
      <c r="H9607" s="492" t="s">
        <v>23</v>
      </c>
      <c r="J9607" s="492"/>
      <c r="K9607" s="494"/>
      <c r="L9607" s="494"/>
      <c r="M9607" s="494"/>
      <c r="N9607" s="494"/>
      <c r="O9607" s="494"/>
      <c r="P9607" s="494"/>
      <c r="Q9607" s="492"/>
    </row>
    <row r="9608" spans="1:17" ht="27.6" x14ac:dyDescent="0.3">
      <c r="A9608" s="492"/>
      <c r="B9608" s="494"/>
      <c r="C9608" s="494"/>
      <c r="D9608" s="505"/>
      <c r="E9608" s="494"/>
      <c r="F9608" s="53" t="s">
        <v>24</v>
      </c>
      <c r="G9608" s="53" t="s">
        <v>25</v>
      </c>
      <c r="H9608" s="492"/>
      <c r="J9608" s="492"/>
      <c r="K9608" s="494"/>
      <c r="L9608" s="494"/>
      <c r="M9608" s="494"/>
      <c r="N9608" s="494"/>
      <c r="O9608" s="53"/>
      <c r="P9608" s="53"/>
      <c r="Q9608" s="492"/>
    </row>
    <row r="9609" spans="1:17" x14ac:dyDescent="0.3">
      <c r="A9609" s="55">
        <v>1</v>
      </c>
      <c r="B9609" s="84" t="s">
        <v>1587</v>
      </c>
      <c r="C9609" s="55">
        <v>10</v>
      </c>
      <c r="D9609" s="86">
        <v>998719</v>
      </c>
      <c r="E9609" s="55">
        <v>2500</v>
      </c>
      <c r="F9609" s="55">
        <f>E9609*C9609*9%</f>
        <v>2250</v>
      </c>
      <c r="G9609" s="55">
        <f>F9609</f>
        <v>2250</v>
      </c>
      <c r="H9609" s="55">
        <f>G9609+F9609+E9609*C9609</f>
        <v>29500</v>
      </c>
      <c r="I9609" s="362">
        <f>E9609*C9609</f>
        <v>25000</v>
      </c>
      <c r="J9609" s="57"/>
      <c r="K9609" s="113"/>
      <c r="L9609" s="57"/>
      <c r="M9609" s="171"/>
      <c r="N9609" s="57"/>
      <c r="O9609" s="58"/>
      <c r="P9609" s="58"/>
      <c r="Q9609" s="59"/>
    </row>
    <row r="9610" spans="1:17" x14ac:dyDescent="0.3">
      <c r="A9610" s="55">
        <v>2</v>
      </c>
      <c r="B9610" s="84" t="s">
        <v>1643</v>
      </c>
      <c r="C9610" s="55">
        <v>4</v>
      </c>
      <c r="D9610" s="86">
        <v>998719</v>
      </c>
      <c r="E9610" s="55">
        <v>2500</v>
      </c>
      <c r="F9610" s="55">
        <f>E9610*C9610*9%</f>
        <v>900</v>
      </c>
      <c r="G9610" s="55">
        <f>F9610</f>
        <v>900</v>
      </c>
      <c r="H9610" s="55">
        <f>G9610+F9610+E9610*C9610</f>
        <v>11800</v>
      </c>
      <c r="I9610" s="362">
        <f t="shared" ref="I9610:I9617" si="260">E9610*C9610</f>
        <v>10000</v>
      </c>
      <c r="J9610" s="57"/>
      <c r="K9610" s="60"/>
      <c r="L9610" s="57"/>
      <c r="M9610" s="56"/>
      <c r="N9610" s="57"/>
      <c r="O9610" s="58"/>
      <c r="P9610" s="58"/>
      <c r="Q9610" s="59"/>
    </row>
    <row r="9611" spans="1:17" x14ac:dyDescent="0.3">
      <c r="A9611" s="55">
        <v>3</v>
      </c>
      <c r="B9611" s="84" t="s">
        <v>1559</v>
      </c>
      <c r="C9611" s="55">
        <v>2</v>
      </c>
      <c r="D9611" s="86">
        <v>998719</v>
      </c>
      <c r="E9611" s="55">
        <v>3000</v>
      </c>
      <c r="F9611" s="55">
        <f t="shared" ref="F9611:F9617" si="261">E9611*C9611*9%</f>
        <v>540</v>
      </c>
      <c r="G9611" s="55">
        <f t="shared" ref="G9611:G9617" si="262">F9611</f>
        <v>540</v>
      </c>
      <c r="H9611" s="55">
        <f t="shared" ref="H9611:H9617" si="263">G9611+F9611+E9611*C9611</f>
        <v>7080</v>
      </c>
      <c r="I9611" s="362">
        <f t="shared" si="260"/>
        <v>6000</v>
      </c>
      <c r="J9611" s="57"/>
      <c r="K9611" s="60"/>
      <c r="L9611" s="57"/>
      <c r="M9611" s="56"/>
      <c r="N9611" s="57"/>
      <c r="O9611" s="58"/>
      <c r="P9611" s="58"/>
      <c r="Q9611" s="59"/>
    </row>
    <row r="9612" spans="1:17" x14ac:dyDescent="0.3">
      <c r="A9612" s="55">
        <v>4</v>
      </c>
      <c r="B9612" s="84" t="s">
        <v>1644</v>
      </c>
      <c r="C9612" s="55">
        <v>3</v>
      </c>
      <c r="D9612" s="86">
        <v>998719</v>
      </c>
      <c r="E9612" s="55">
        <v>3000</v>
      </c>
      <c r="F9612" s="55">
        <f t="shared" si="261"/>
        <v>810</v>
      </c>
      <c r="G9612" s="55">
        <f t="shared" si="262"/>
        <v>810</v>
      </c>
      <c r="H9612" s="55">
        <f t="shared" si="263"/>
        <v>10620</v>
      </c>
      <c r="I9612" s="362">
        <f t="shared" si="260"/>
        <v>9000</v>
      </c>
      <c r="J9612" s="57"/>
      <c r="K9612" s="60"/>
      <c r="L9612" s="57"/>
      <c r="M9612" s="56"/>
      <c r="N9612" s="57"/>
      <c r="O9612" s="58"/>
      <c r="P9612" s="58"/>
      <c r="Q9612" s="59"/>
    </row>
    <row r="9613" spans="1:17" x14ac:dyDescent="0.3">
      <c r="A9613" s="55">
        <v>5</v>
      </c>
      <c r="B9613" s="84" t="s">
        <v>1645</v>
      </c>
      <c r="C9613" s="55">
        <v>2</v>
      </c>
      <c r="D9613" s="86">
        <v>998719</v>
      </c>
      <c r="E9613" s="55">
        <v>4000</v>
      </c>
      <c r="F9613" s="55">
        <f t="shared" si="261"/>
        <v>720</v>
      </c>
      <c r="G9613" s="55">
        <f t="shared" si="262"/>
        <v>720</v>
      </c>
      <c r="H9613" s="55">
        <f t="shared" si="263"/>
        <v>9440</v>
      </c>
      <c r="I9613" s="362">
        <f t="shared" si="260"/>
        <v>8000</v>
      </c>
      <c r="J9613" s="57"/>
      <c r="K9613" s="60"/>
      <c r="L9613" s="57"/>
      <c r="M9613" s="56"/>
      <c r="N9613" s="57"/>
      <c r="O9613" s="58"/>
      <c r="P9613" s="58"/>
      <c r="Q9613" s="59"/>
    </row>
    <row r="9614" spans="1:17" x14ac:dyDescent="0.3">
      <c r="A9614" s="55">
        <v>6</v>
      </c>
      <c r="B9614" s="84" t="s">
        <v>1646</v>
      </c>
      <c r="C9614" s="55">
        <v>3</v>
      </c>
      <c r="D9614" s="86">
        <v>998719</v>
      </c>
      <c r="E9614" s="55">
        <v>4000</v>
      </c>
      <c r="F9614" s="55">
        <f t="shared" si="261"/>
        <v>1080</v>
      </c>
      <c r="G9614" s="55">
        <f t="shared" si="262"/>
        <v>1080</v>
      </c>
      <c r="H9614" s="55">
        <f t="shared" si="263"/>
        <v>14160</v>
      </c>
      <c r="I9614" s="362">
        <f t="shared" si="260"/>
        <v>12000</v>
      </c>
      <c r="J9614" s="55"/>
      <c r="K9614" s="63"/>
      <c r="L9614" s="55"/>
      <c r="M9614" s="56"/>
      <c r="N9614" s="55"/>
      <c r="O9614" s="58"/>
      <c r="P9614" s="58"/>
      <c r="Q9614" s="59"/>
    </row>
    <row r="9615" spans="1:17" x14ac:dyDescent="0.3">
      <c r="A9615" s="55">
        <v>7</v>
      </c>
      <c r="B9615" s="84" t="s">
        <v>1585</v>
      </c>
      <c r="C9615" s="55">
        <v>9</v>
      </c>
      <c r="D9615" s="86">
        <v>998719</v>
      </c>
      <c r="E9615" s="55">
        <v>4300</v>
      </c>
      <c r="F9615" s="55">
        <f t="shared" si="261"/>
        <v>3483</v>
      </c>
      <c r="G9615" s="55">
        <f t="shared" si="262"/>
        <v>3483</v>
      </c>
      <c r="H9615" s="55">
        <f t="shared" si="263"/>
        <v>45666</v>
      </c>
      <c r="I9615" s="362">
        <f t="shared" si="260"/>
        <v>38700</v>
      </c>
      <c r="J9615" s="90"/>
      <c r="K9615" s="132"/>
      <c r="L9615" s="24"/>
      <c r="M9615" s="164"/>
      <c r="N9615" s="24"/>
      <c r="O9615" s="165"/>
      <c r="P9615" s="165"/>
      <c r="Q9615" s="166"/>
    </row>
    <row r="9616" spans="1:17" x14ac:dyDescent="0.3">
      <c r="A9616" s="55">
        <v>8</v>
      </c>
      <c r="B9616" s="84" t="s">
        <v>1563</v>
      </c>
      <c r="C9616" s="55">
        <v>3</v>
      </c>
      <c r="D9616" s="86">
        <v>998719</v>
      </c>
      <c r="E9616" s="55">
        <v>4500</v>
      </c>
      <c r="F9616" s="55">
        <f t="shared" si="261"/>
        <v>1215</v>
      </c>
      <c r="G9616" s="55">
        <f t="shared" si="262"/>
        <v>1215</v>
      </c>
      <c r="H9616" s="55">
        <f t="shared" si="263"/>
        <v>15930</v>
      </c>
      <c r="I9616" s="362">
        <f t="shared" si="260"/>
        <v>13500</v>
      </c>
      <c r="J9616" s="90"/>
      <c r="K9616" s="132"/>
      <c r="L9616" s="24"/>
      <c r="M9616" s="164"/>
      <c r="N9616" s="24"/>
      <c r="O9616" s="165"/>
      <c r="P9616" s="165"/>
      <c r="Q9616" s="166"/>
    </row>
    <row r="9617" spans="1:17" x14ac:dyDescent="0.3">
      <c r="A9617" s="55">
        <v>9</v>
      </c>
      <c r="B9617" s="84" t="s">
        <v>1647</v>
      </c>
      <c r="C9617" s="55">
        <v>77</v>
      </c>
      <c r="D9617" s="86">
        <v>998719</v>
      </c>
      <c r="E9617" s="55">
        <v>750</v>
      </c>
      <c r="F9617" s="55">
        <f t="shared" si="261"/>
        <v>5197.5</v>
      </c>
      <c r="G9617" s="55">
        <f t="shared" si="262"/>
        <v>5197.5</v>
      </c>
      <c r="H9617" s="55">
        <f t="shared" si="263"/>
        <v>68145</v>
      </c>
      <c r="I9617" s="362">
        <f t="shared" si="260"/>
        <v>57750</v>
      </c>
      <c r="J9617" s="90"/>
      <c r="K9617" s="132"/>
      <c r="L9617" s="24"/>
      <c r="M9617" s="164"/>
      <c r="N9617" s="24"/>
      <c r="O9617" s="165"/>
      <c r="P9617" s="165"/>
      <c r="Q9617" s="166"/>
    </row>
    <row r="9618" spans="1:17" x14ac:dyDescent="0.3">
      <c r="A9618" s="55"/>
      <c r="B9618" s="84"/>
      <c r="C9618" s="55"/>
      <c r="D9618" s="86"/>
      <c r="E9618" s="55"/>
      <c r="F9618" s="55"/>
      <c r="G9618" s="55"/>
      <c r="H9618" s="55"/>
      <c r="J9618" s="27"/>
      <c r="K9618" s="132"/>
      <c r="L9618" s="24"/>
      <c r="M9618" s="25"/>
      <c r="N9618" s="25"/>
      <c r="O9618" s="165"/>
      <c r="P9618" s="165"/>
      <c r="Q9618" s="166"/>
    </row>
    <row r="9619" spans="1:17" x14ac:dyDescent="0.3">
      <c r="A9619" s="55"/>
      <c r="B9619" s="84"/>
      <c r="C9619" s="55"/>
      <c r="D9619" s="86"/>
      <c r="E9619" s="55"/>
      <c r="F9619" s="55"/>
      <c r="G9619" s="55"/>
      <c r="H9619" s="55"/>
      <c r="J9619" s="27"/>
      <c r="K9619" s="28"/>
      <c r="L9619" s="24"/>
      <c r="M9619" s="25"/>
      <c r="N9619" s="25"/>
      <c r="O9619" s="165"/>
      <c r="P9619" s="165"/>
      <c r="Q9619" s="166"/>
    </row>
    <row r="9620" spans="1:17" x14ac:dyDescent="0.3">
      <c r="A9620" s="55"/>
      <c r="B9620" s="84"/>
      <c r="C9620" s="55"/>
      <c r="D9620" s="86"/>
      <c r="E9620" s="55"/>
      <c r="F9620" s="55"/>
      <c r="G9620" s="55"/>
      <c r="H9620" s="55"/>
      <c r="J9620" s="27"/>
      <c r="K9620" s="28"/>
      <c r="L9620" s="24"/>
      <c r="M9620" s="25"/>
      <c r="N9620" s="25"/>
      <c r="O9620" s="165"/>
      <c r="P9620" s="165"/>
      <c r="Q9620" s="166"/>
    </row>
    <row r="9621" spans="1:17" x14ac:dyDescent="0.3">
      <c r="A9621" s="163"/>
      <c r="B9621" s="163"/>
      <c r="C9621" s="163"/>
      <c r="D9621" s="163"/>
      <c r="E9621" s="163"/>
      <c r="F9621" s="163"/>
      <c r="G9621" s="163"/>
      <c r="H9621" s="163"/>
      <c r="J9621" s="27"/>
      <c r="K9621" s="28"/>
      <c r="L9621" s="24"/>
      <c r="M9621" s="25"/>
      <c r="N9621" s="25"/>
      <c r="O9621" s="165"/>
      <c r="P9621" s="165"/>
      <c r="Q9621" s="166"/>
    </row>
    <row r="9622" spans="1:17" x14ac:dyDescent="0.3">
      <c r="A9622" s="163"/>
      <c r="B9622" s="163"/>
      <c r="C9622" s="163"/>
      <c r="D9622" s="163"/>
      <c r="E9622" s="163"/>
      <c r="F9622" s="163"/>
      <c r="G9622" s="163"/>
      <c r="H9622" s="163"/>
      <c r="J9622" s="27"/>
      <c r="K9622" s="28"/>
      <c r="L9622" s="24"/>
      <c r="M9622" s="25"/>
      <c r="N9622" s="25"/>
      <c r="O9622" s="165"/>
      <c r="P9622" s="165"/>
      <c r="Q9622" s="166"/>
    </row>
    <row r="9623" spans="1:17" x14ac:dyDescent="0.3">
      <c r="A9623" s="163"/>
      <c r="B9623" s="163"/>
      <c r="C9623" s="163"/>
      <c r="D9623" s="163"/>
      <c r="E9623" s="163"/>
      <c r="F9623" s="163"/>
      <c r="G9623" s="163"/>
      <c r="H9623" s="163"/>
      <c r="J9623" s="27"/>
      <c r="K9623" s="28"/>
      <c r="L9623" s="24"/>
      <c r="M9623" s="25"/>
      <c r="N9623" s="25"/>
      <c r="O9623" s="165"/>
      <c r="P9623" s="165"/>
      <c r="Q9623" s="166"/>
    </row>
    <row r="9624" spans="1:17" x14ac:dyDescent="0.3">
      <c r="A9624" s="163"/>
      <c r="B9624" s="163"/>
      <c r="C9624" s="163"/>
      <c r="D9624" s="163"/>
      <c r="E9624" s="163"/>
      <c r="F9624" s="163"/>
      <c r="G9624" s="163"/>
      <c r="H9624" s="163"/>
      <c r="J9624" s="27"/>
      <c r="K9624" s="28"/>
      <c r="L9624" s="24"/>
      <c r="M9624" s="25"/>
      <c r="N9624" s="25"/>
      <c r="O9624" s="28"/>
      <c r="P9624" s="28"/>
      <c r="Q9624" s="32"/>
    </row>
    <row r="9625" spans="1:17" x14ac:dyDescent="0.3">
      <c r="A9625" s="163"/>
      <c r="B9625" s="163"/>
      <c r="C9625" s="163"/>
      <c r="D9625" s="163"/>
      <c r="E9625" s="163"/>
      <c r="F9625" s="163"/>
      <c r="G9625" s="163"/>
      <c r="H9625" s="163"/>
      <c r="J9625" s="27"/>
      <c r="K9625" s="28"/>
      <c r="L9625" s="24"/>
      <c r="M9625" s="25"/>
      <c r="N9625" s="25"/>
      <c r="O9625" s="28"/>
      <c r="P9625" s="28"/>
      <c r="Q9625" s="32"/>
    </row>
    <row r="9626" spans="1:17" x14ac:dyDescent="0.3">
      <c r="A9626" s="258"/>
      <c r="B9626" s="257"/>
      <c r="C9626" s="258"/>
      <c r="D9626" s="86"/>
      <c r="E9626" s="55"/>
      <c r="F9626" s="259"/>
      <c r="G9626" s="259"/>
      <c r="H9626" s="258"/>
      <c r="J9626" s="27"/>
      <c r="K9626" s="28"/>
      <c r="L9626" s="24"/>
      <c r="M9626" s="25"/>
      <c r="N9626" s="25"/>
      <c r="O9626" s="28"/>
      <c r="P9626" s="28"/>
      <c r="Q9626" s="32"/>
    </row>
    <row r="9627" spans="1:17" x14ac:dyDescent="0.3">
      <c r="A9627" s="55"/>
      <c r="B9627" s="84"/>
      <c r="C9627" s="55"/>
      <c r="D9627" s="55"/>
      <c r="E9627" s="55"/>
      <c r="F9627" s="55"/>
      <c r="G9627" s="55"/>
      <c r="H9627" s="55"/>
      <c r="J9627" s="27"/>
      <c r="K9627" s="28"/>
      <c r="L9627" s="24"/>
      <c r="M9627" s="25"/>
      <c r="N9627" s="25"/>
      <c r="O9627" s="28"/>
      <c r="P9627" s="28"/>
      <c r="Q9627" s="32"/>
    </row>
    <row r="9628" spans="1:17" x14ac:dyDescent="0.3">
      <c r="A9628" s="163"/>
      <c r="B9628" s="163"/>
      <c r="C9628" s="163"/>
      <c r="D9628" s="163"/>
      <c r="E9628" s="163"/>
      <c r="F9628" s="163"/>
      <c r="G9628" s="163"/>
      <c r="H9628" s="163"/>
      <c r="J9628" s="27"/>
      <c r="K9628" s="28"/>
      <c r="L9628" s="24"/>
      <c r="M9628" s="25"/>
      <c r="N9628" s="25"/>
      <c r="O9628" s="28"/>
      <c r="P9628" s="28"/>
      <c r="Q9628" s="32"/>
    </row>
    <row r="9629" spans="1:17" x14ac:dyDescent="0.3">
      <c r="A9629" s="55"/>
      <c r="B9629" s="257"/>
      <c r="C9629" s="55"/>
      <c r="D9629" s="55"/>
      <c r="E9629" s="55"/>
      <c r="F9629" s="55"/>
      <c r="G9629" s="55"/>
      <c r="H9629" s="55"/>
      <c r="J9629" s="27"/>
      <c r="K9629" s="28"/>
      <c r="L9629" s="24"/>
      <c r="M9629" s="25"/>
      <c r="N9629" s="25"/>
      <c r="O9629" s="28"/>
      <c r="P9629" s="28"/>
      <c r="Q9629" s="32"/>
    </row>
    <row r="9630" spans="1:17" x14ac:dyDescent="0.3">
      <c r="A9630" s="57"/>
      <c r="B9630" s="84"/>
      <c r="C9630" s="85"/>
      <c r="D9630" s="86"/>
      <c r="E9630" s="87"/>
      <c r="F9630" s="47"/>
      <c r="G9630" s="47"/>
      <c r="H9630" s="47"/>
      <c r="J9630" s="27"/>
      <c r="K9630" s="28"/>
      <c r="L9630" s="24"/>
      <c r="M9630" s="25"/>
      <c r="N9630" s="25"/>
      <c r="O9630" s="28"/>
      <c r="P9630" s="28"/>
      <c r="Q9630" s="32"/>
    </row>
    <row r="9631" spans="1:17" x14ac:dyDescent="0.3">
      <c r="A9631" s="57"/>
      <c r="B9631" s="84"/>
      <c r="C9631" s="85"/>
      <c r="D9631" s="86"/>
      <c r="E9631" s="47"/>
      <c r="F9631" s="47"/>
      <c r="G9631" s="47"/>
      <c r="H9631" s="47"/>
      <c r="J9631" s="27"/>
      <c r="K9631" s="28"/>
      <c r="L9631" s="24"/>
      <c r="M9631" s="25"/>
      <c r="N9631" s="25"/>
      <c r="O9631" s="28"/>
      <c r="P9631" s="28"/>
      <c r="Q9631" s="32"/>
    </row>
    <row r="9632" spans="1:17" x14ac:dyDescent="0.3">
      <c r="A9632" s="55"/>
      <c r="B9632" s="84"/>
      <c r="C9632" s="55"/>
      <c r="D9632" s="86"/>
      <c r="E9632" s="47"/>
      <c r="F9632" s="47"/>
      <c r="G9632" s="47"/>
      <c r="H9632" s="47"/>
      <c r="J9632" s="27"/>
      <c r="K9632" s="28"/>
      <c r="L9632" s="24"/>
      <c r="M9632" s="25"/>
      <c r="N9632" s="25"/>
      <c r="O9632" s="28"/>
      <c r="P9632" s="28"/>
      <c r="Q9632" s="32"/>
    </row>
    <row r="9633" spans="1:17" x14ac:dyDescent="0.3">
      <c r="A9633" s="27"/>
      <c r="B9633" s="28"/>
      <c r="C9633" s="24"/>
      <c r="D9633" s="25"/>
      <c r="E9633" s="25"/>
      <c r="F9633" s="28"/>
      <c r="G9633" s="28"/>
      <c r="H9633" s="32"/>
      <c r="J9633" s="27"/>
      <c r="K9633" s="28"/>
      <c r="L9633" s="24"/>
      <c r="M9633" s="25"/>
      <c r="N9633" s="25"/>
      <c r="O9633" s="28"/>
      <c r="P9633" s="28"/>
      <c r="Q9633" s="32"/>
    </row>
    <row r="9634" spans="1:17" ht="15.6" x14ac:dyDescent="0.3">
      <c r="A9634" s="448" t="s">
        <v>45</v>
      </c>
      <c r="B9634" s="449"/>
      <c r="C9634" s="24"/>
      <c r="D9634" s="25"/>
      <c r="E9634" s="25"/>
      <c r="F9634" s="447" t="s">
        <v>46</v>
      </c>
      <c r="G9634" s="447"/>
      <c r="H9634" s="66">
        <v>179950</v>
      </c>
      <c r="J9634" s="27"/>
      <c r="K9634" s="28"/>
      <c r="L9634" s="24"/>
      <c r="M9634" s="25"/>
      <c r="N9634" s="25"/>
      <c r="O9634" s="28"/>
      <c r="P9634" s="28"/>
      <c r="Q9634" s="32"/>
    </row>
    <row r="9635" spans="1:17" ht="15.6" x14ac:dyDescent="0.3">
      <c r="A9635" s="497" t="s">
        <v>1648</v>
      </c>
      <c r="B9635" s="498"/>
      <c r="C9635" s="498"/>
      <c r="D9635" s="498"/>
      <c r="E9635" s="498"/>
      <c r="F9635" s="447" t="s">
        <v>47</v>
      </c>
      <c r="G9635" s="447"/>
      <c r="H9635" s="66">
        <f>H9634*9%</f>
        <v>16195.5</v>
      </c>
      <c r="J9635" s="448"/>
      <c r="K9635" s="449"/>
      <c r="L9635" s="449"/>
      <c r="M9635" s="25"/>
      <c r="N9635" s="25"/>
      <c r="O9635" s="447"/>
      <c r="P9635" s="447"/>
      <c r="Q9635" s="66"/>
    </row>
    <row r="9636" spans="1:17" ht="15.6" x14ac:dyDescent="0.3">
      <c r="A9636" s="27"/>
      <c r="B9636" s="28"/>
      <c r="C9636" s="24"/>
      <c r="D9636" s="25"/>
      <c r="E9636" s="25"/>
      <c r="F9636" s="447" t="s">
        <v>48</v>
      </c>
      <c r="G9636" s="447"/>
      <c r="H9636" s="66">
        <f>H9635</f>
        <v>16195.5</v>
      </c>
      <c r="J9636" s="497"/>
      <c r="K9636" s="498"/>
      <c r="L9636" s="498"/>
      <c r="M9636" s="498"/>
      <c r="N9636" s="498"/>
      <c r="O9636" s="447"/>
      <c r="P9636" s="447"/>
      <c r="Q9636" s="66"/>
    </row>
    <row r="9637" spans="1:17" ht="15.6" x14ac:dyDescent="0.3">
      <c r="A9637" s="64" t="s">
        <v>49</v>
      </c>
      <c r="B9637" s="65"/>
      <c r="C9637" s="24"/>
      <c r="D9637" s="25"/>
      <c r="E9637" s="25"/>
      <c r="F9637" s="447" t="s">
        <v>50</v>
      </c>
      <c r="G9637" s="447"/>
      <c r="H9637" s="66">
        <f>H9634+H9635+H9636</f>
        <v>212341</v>
      </c>
      <c r="J9637" s="27"/>
      <c r="K9637" s="28"/>
      <c r="L9637" s="24"/>
      <c r="M9637" s="25"/>
      <c r="N9637" s="25"/>
      <c r="O9637" s="447"/>
      <c r="P9637" s="447"/>
      <c r="Q9637" s="66"/>
    </row>
    <row r="9638" spans="1:17" ht="27" x14ac:dyDescent="0.3">
      <c r="A9638" s="68" t="s">
        <v>22</v>
      </c>
      <c r="B9638" s="30" t="s">
        <v>51</v>
      </c>
      <c r="C9638" s="70" t="s">
        <v>24</v>
      </c>
      <c r="D9638" s="31" t="s">
        <v>25</v>
      </c>
      <c r="E9638" s="450" t="s">
        <v>52</v>
      </c>
      <c r="F9638" s="450"/>
      <c r="G9638" s="28"/>
      <c r="H9638" s="32"/>
      <c r="J9638" s="448"/>
      <c r="K9638" s="449"/>
      <c r="L9638" s="449"/>
      <c r="M9638" s="449"/>
      <c r="N9638" s="25"/>
      <c r="O9638" s="447"/>
      <c r="P9638" s="447"/>
      <c r="Q9638" s="66"/>
    </row>
    <row r="9639" spans="1:17" x14ac:dyDescent="0.3">
      <c r="A9639" s="72">
        <v>0.18</v>
      </c>
      <c r="B9639" s="73">
        <f>H9634</f>
        <v>179950</v>
      </c>
      <c r="C9639" s="91">
        <f>H9635</f>
        <v>16195.5</v>
      </c>
      <c r="D9639" s="91">
        <f>H9635</f>
        <v>16195.5</v>
      </c>
      <c r="E9639" s="506">
        <f>C9639+D9639</f>
        <v>32391</v>
      </c>
      <c r="F9639" s="507"/>
      <c r="G9639" s="74"/>
      <c r="H9639" s="75"/>
      <c r="J9639" s="68"/>
      <c r="K9639" s="69"/>
      <c r="L9639" s="70"/>
      <c r="M9639" s="31"/>
      <c r="N9639" s="450"/>
      <c r="O9639" s="450"/>
      <c r="P9639" s="28"/>
      <c r="Q9639" s="32"/>
    </row>
    <row r="9640" spans="1:17" x14ac:dyDescent="0.3">
      <c r="A9640" s="508" t="s">
        <v>1649</v>
      </c>
      <c r="B9640" s="509"/>
      <c r="C9640" s="509"/>
      <c r="D9640" s="509"/>
      <c r="E9640" s="453"/>
      <c r="F9640" s="453"/>
      <c r="G9640" s="453"/>
      <c r="H9640" s="454"/>
      <c r="J9640" s="72"/>
      <c r="K9640" s="73"/>
      <c r="L9640" s="74"/>
      <c r="M9640" s="74"/>
      <c r="N9640" s="507"/>
      <c r="O9640" s="507"/>
      <c r="P9640" s="74"/>
      <c r="Q9640" s="75"/>
    </row>
    <row r="9641" spans="1:17" ht="15.6" x14ac:dyDescent="0.3">
      <c r="A9641" s="455" t="s">
        <v>53</v>
      </c>
      <c r="B9641" s="456"/>
      <c r="C9641" s="456"/>
      <c r="D9641" s="457"/>
      <c r="E9641" s="458" t="s">
        <v>54</v>
      </c>
      <c r="F9641" s="459"/>
      <c r="G9641" s="459"/>
      <c r="H9641" s="460"/>
      <c r="J9641" s="452"/>
      <c r="K9641" s="453"/>
      <c r="L9641" s="453"/>
      <c r="M9641" s="453"/>
      <c r="N9641" s="453"/>
      <c r="O9641" s="453"/>
      <c r="P9641" s="453"/>
      <c r="Q9641" s="454"/>
    </row>
    <row r="9642" spans="1:17" ht="15.6" x14ac:dyDescent="0.3">
      <c r="A9642" s="461" t="s">
        <v>55</v>
      </c>
      <c r="B9642" s="462"/>
      <c r="C9642" s="462"/>
      <c r="D9642" s="463"/>
      <c r="E9642" s="39"/>
      <c r="F9642" s="28"/>
      <c r="G9642" s="28"/>
      <c r="H9642" s="32"/>
      <c r="J9642" s="455"/>
      <c r="K9642" s="456"/>
      <c r="L9642" s="456"/>
      <c r="M9642" s="457"/>
      <c r="N9642" s="458"/>
      <c r="O9642" s="459"/>
      <c r="P9642" s="459"/>
      <c r="Q9642" s="460"/>
    </row>
    <row r="9643" spans="1:17" x14ac:dyDescent="0.3">
      <c r="A9643" s="461" t="s">
        <v>56</v>
      </c>
      <c r="B9643" s="462"/>
      <c r="C9643" s="462"/>
      <c r="D9643" s="463"/>
      <c r="E9643" s="39"/>
      <c r="F9643" s="28"/>
      <c r="G9643" s="28"/>
      <c r="H9643" s="32"/>
      <c r="J9643" s="461"/>
      <c r="K9643" s="462"/>
      <c r="L9643" s="462"/>
      <c r="M9643" s="463"/>
      <c r="N9643" s="39"/>
      <c r="O9643" s="28"/>
      <c r="P9643" s="28"/>
      <c r="Q9643" s="32"/>
    </row>
    <row r="9644" spans="1:17" x14ac:dyDescent="0.3">
      <c r="A9644" s="461" t="s">
        <v>57</v>
      </c>
      <c r="B9644" s="462"/>
      <c r="C9644" s="462"/>
      <c r="D9644" s="463"/>
      <c r="E9644" s="39"/>
      <c r="F9644" s="28"/>
      <c r="G9644" s="28"/>
      <c r="H9644" s="32"/>
      <c r="J9644" s="461"/>
      <c r="K9644" s="462"/>
      <c r="L9644" s="462"/>
      <c r="M9644" s="463"/>
      <c r="N9644" s="39"/>
      <c r="O9644" s="28"/>
      <c r="P9644" s="28"/>
      <c r="Q9644" s="32"/>
    </row>
    <row r="9645" spans="1:17" ht="15.6" x14ac:dyDescent="0.3">
      <c r="A9645" s="464" t="s">
        <v>58</v>
      </c>
      <c r="B9645" s="465"/>
      <c r="C9645" s="465"/>
      <c r="D9645" s="465"/>
      <c r="E9645" s="466" t="s">
        <v>59</v>
      </c>
      <c r="F9645" s="467"/>
      <c r="G9645" s="467"/>
      <c r="H9645" s="468"/>
      <c r="J9645" s="461"/>
      <c r="K9645" s="462"/>
      <c r="L9645" s="462"/>
      <c r="M9645" s="463"/>
      <c r="N9645" s="167"/>
      <c r="Q9645" s="168"/>
    </row>
    <row r="9646" spans="1:17" ht="15.6" x14ac:dyDescent="0.3">
      <c r="J9646" s="464"/>
      <c r="K9646" s="465"/>
      <c r="L9646" s="465"/>
      <c r="M9646" s="510"/>
      <c r="N9646" s="466"/>
      <c r="O9646" s="467"/>
      <c r="P9646" s="467"/>
      <c r="Q9646" s="468"/>
    </row>
    <row r="9649" spans="1:10" ht="44.4" x14ac:dyDescent="0.7">
      <c r="A9649" s="469" t="s">
        <v>0</v>
      </c>
      <c r="B9649" s="470"/>
      <c r="C9649" s="470"/>
      <c r="D9649" s="470"/>
      <c r="E9649" s="471" t="s">
        <v>1</v>
      </c>
      <c r="F9649" s="472"/>
      <c r="G9649" s="472"/>
      <c r="H9649" s="473"/>
      <c r="I9649"/>
      <c r="J9649" s="362"/>
    </row>
    <row r="9650" spans="1:10" ht="20.399999999999999" x14ac:dyDescent="0.35">
      <c r="A9650" s="1"/>
      <c r="B9650" s="476" t="s">
        <v>2</v>
      </c>
      <c r="C9650" s="476"/>
      <c r="D9650" s="476"/>
      <c r="E9650" s="474"/>
      <c r="F9650" s="474"/>
      <c r="G9650" s="474"/>
      <c r="H9650" s="475"/>
      <c r="I9650"/>
      <c r="J9650" s="362"/>
    </row>
    <row r="9651" spans="1:10" x14ac:dyDescent="0.3">
      <c r="A9651" s="477" t="s">
        <v>3</v>
      </c>
      <c r="B9651" s="478"/>
      <c r="C9651" s="479" t="s">
        <v>4</v>
      </c>
      <c r="D9651" s="479"/>
      <c r="E9651" s="480" t="s">
        <v>5</v>
      </c>
      <c r="F9651" s="480"/>
      <c r="G9651" s="480"/>
      <c r="H9651" s="480"/>
      <c r="I9651"/>
    </row>
    <row r="9652" spans="1:10" ht="15.6" x14ac:dyDescent="0.3">
      <c r="A9652" s="4" t="s">
        <v>6</v>
      </c>
      <c r="B9652" s="5"/>
      <c r="C9652" s="481" t="s">
        <v>7</v>
      </c>
      <c r="D9652" s="481"/>
      <c r="E9652" s="482">
        <v>209</v>
      </c>
      <c r="F9652" s="482"/>
      <c r="G9652" s="7" t="s">
        <v>8</v>
      </c>
      <c r="H9652" s="250" t="s">
        <v>1650</v>
      </c>
      <c r="I9652"/>
    </row>
    <row r="9653" spans="1:10" ht="15.6" x14ac:dyDescent="0.3">
      <c r="A9653" s="551" t="s">
        <v>458</v>
      </c>
      <c r="B9653" s="552"/>
      <c r="C9653" s="481" t="s">
        <v>10</v>
      </c>
      <c r="D9653" s="481"/>
      <c r="E9653" s="482">
        <v>64</v>
      </c>
      <c r="F9653" s="482"/>
      <c r="G9653" s="7" t="s">
        <v>8</v>
      </c>
      <c r="H9653" s="401">
        <v>45699</v>
      </c>
      <c r="I9653"/>
    </row>
    <row r="9654" spans="1:10" ht="26.25" customHeight="1" x14ac:dyDescent="0.3">
      <c r="A9654" s="560" t="s">
        <v>459</v>
      </c>
      <c r="B9654" s="561"/>
      <c r="C9654" s="483" t="s">
        <v>12</v>
      </c>
      <c r="D9654" s="484"/>
      <c r="E9654" s="562" t="s">
        <v>1655</v>
      </c>
      <c r="F9654" s="563"/>
      <c r="G9654" s="400" t="s">
        <v>8</v>
      </c>
      <c r="H9654" s="401" t="s">
        <v>1654</v>
      </c>
      <c r="I9654"/>
    </row>
    <row r="9655" spans="1:10" ht="15.6" x14ac:dyDescent="0.3">
      <c r="A9655" s="253" t="s">
        <v>460</v>
      </c>
      <c r="B9655" s="254"/>
      <c r="C9655" s="481" t="s">
        <v>15</v>
      </c>
      <c r="D9655" s="481"/>
      <c r="E9655" s="489" t="s">
        <v>461</v>
      </c>
      <c r="F9655" s="490"/>
      <c r="G9655" s="490"/>
      <c r="H9655" s="491"/>
      <c r="I9655"/>
    </row>
    <row r="9656" spans="1:10" ht="15.6" x14ac:dyDescent="0.3">
      <c r="A9656" s="255" t="s">
        <v>1651</v>
      </c>
      <c r="B9656" s="256"/>
      <c r="C9656" s="489"/>
      <c r="D9656" s="490"/>
      <c r="E9656" s="490"/>
      <c r="F9656" s="490"/>
      <c r="G9656" s="490"/>
      <c r="H9656" s="491"/>
      <c r="I9656"/>
    </row>
    <row r="9657" spans="1:10" ht="15" x14ac:dyDescent="0.3">
      <c r="A9657" s="492" t="s">
        <v>17</v>
      </c>
      <c r="B9657" s="494" t="s">
        <v>18</v>
      </c>
      <c r="C9657" s="494" t="s">
        <v>19</v>
      </c>
      <c r="D9657" s="495" t="s">
        <v>20</v>
      </c>
      <c r="E9657" s="494" t="s">
        <v>21</v>
      </c>
      <c r="F9657" s="494" t="s">
        <v>22</v>
      </c>
      <c r="G9657" s="494"/>
      <c r="H9657" s="492" t="s">
        <v>23</v>
      </c>
      <c r="I9657"/>
    </row>
    <row r="9658" spans="1:10" ht="15" customHeight="1" x14ac:dyDescent="0.3">
      <c r="A9658" s="492"/>
      <c r="B9658" s="494"/>
      <c r="C9658" s="494"/>
      <c r="D9658" s="505"/>
      <c r="E9658" s="494"/>
      <c r="F9658" s="53" t="s">
        <v>24</v>
      </c>
      <c r="G9658" s="53" t="s">
        <v>25</v>
      </c>
      <c r="H9658" s="492"/>
      <c r="I9658"/>
    </row>
    <row r="9659" spans="1:10" x14ac:dyDescent="0.3">
      <c r="A9659" s="55">
        <v>1</v>
      </c>
      <c r="B9659" s="84" t="s">
        <v>1652</v>
      </c>
      <c r="C9659" s="55">
        <v>1</v>
      </c>
      <c r="D9659" s="297">
        <v>85362010</v>
      </c>
      <c r="E9659" s="20">
        <v>440730</v>
      </c>
      <c r="F9659" s="55">
        <f>E9659*C9659*9%</f>
        <v>39665.699999999997</v>
      </c>
      <c r="G9659" s="55">
        <f>F9659</f>
        <v>39665.699999999997</v>
      </c>
      <c r="H9659" s="55">
        <f>G9659+F9659+E9659*C9659</f>
        <v>520061.4</v>
      </c>
      <c r="I9659"/>
    </row>
    <row r="9660" spans="1:10" x14ac:dyDescent="0.3">
      <c r="A9660" s="55">
        <v>2</v>
      </c>
      <c r="B9660" s="84" t="s">
        <v>1653</v>
      </c>
      <c r="C9660" s="55">
        <v>1</v>
      </c>
      <c r="D9660" s="86">
        <v>998719</v>
      </c>
      <c r="E9660" s="20">
        <v>3000</v>
      </c>
      <c r="F9660" s="55">
        <f>E9660*C9660*9%</f>
        <v>270</v>
      </c>
      <c r="G9660" s="55">
        <f>F9660</f>
        <v>270</v>
      </c>
      <c r="H9660" s="55">
        <f>G9660+F9660+E9660*C9660</f>
        <v>3540</v>
      </c>
      <c r="I9660"/>
    </row>
    <row r="9661" spans="1:10" x14ac:dyDescent="0.3">
      <c r="A9661" s="55"/>
      <c r="B9661" s="84"/>
      <c r="C9661" s="55"/>
      <c r="D9661" s="86"/>
      <c r="E9661" s="55"/>
      <c r="F9661" s="55"/>
      <c r="G9661" s="55"/>
      <c r="H9661" s="55"/>
      <c r="I9661"/>
    </row>
    <row r="9662" spans="1:10" x14ac:dyDescent="0.3">
      <c r="A9662" s="55"/>
      <c r="B9662" s="84"/>
      <c r="C9662" s="55"/>
      <c r="D9662" s="86"/>
      <c r="E9662" s="55"/>
      <c r="F9662" s="55"/>
      <c r="G9662" s="55"/>
      <c r="H9662" s="55"/>
      <c r="I9662"/>
    </row>
    <row r="9663" spans="1:10" x14ac:dyDescent="0.3">
      <c r="A9663" s="55"/>
      <c r="B9663" s="84"/>
      <c r="C9663" s="55"/>
      <c r="D9663" s="86"/>
      <c r="E9663" s="55"/>
      <c r="F9663" s="55"/>
      <c r="G9663" s="55"/>
      <c r="H9663" s="55"/>
      <c r="I9663"/>
    </row>
    <row r="9664" spans="1:10" x14ac:dyDescent="0.3">
      <c r="A9664" s="55"/>
      <c r="B9664" s="84"/>
      <c r="C9664" s="55"/>
      <c r="D9664" s="86"/>
      <c r="E9664" s="55"/>
      <c r="F9664" s="55"/>
      <c r="G9664" s="55"/>
      <c r="H9664" s="55"/>
      <c r="I9664"/>
    </row>
    <row r="9665" spans="1:9" x14ac:dyDescent="0.3">
      <c r="A9665" s="55"/>
      <c r="B9665" s="84"/>
      <c r="C9665" s="55"/>
      <c r="D9665" s="86"/>
      <c r="E9665" s="55"/>
      <c r="F9665" s="55"/>
      <c r="G9665" s="55"/>
      <c r="H9665" s="55"/>
      <c r="I9665"/>
    </row>
    <row r="9666" spans="1:9" x14ac:dyDescent="0.3">
      <c r="A9666" s="55"/>
      <c r="B9666" s="84"/>
      <c r="C9666" s="55"/>
      <c r="D9666" s="86"/>
      <c r="E9666" s="55"/>
      <c r="F9666" s="55"/>
      <c r="G9666" s="55"/>
      <c r="H9666" s="55"/>
      <c r="I9666"/>
    </row>
    <row r="9667" spans="1:9" x14ac:dyDescent="0.3">
      <c r="A9667" s="55"/>
      <c r="B9667" s="84"/>
      <c r="C9667" s="55"/>
      <c r="D9667" s="86"/>
      <c r="E9667" s="55"/>
      <c r="F9667" s="55"/>
      <c r="G9667" s="55"/>
      <c r="H9667" s="55"/>
      <c r="I9667"/>
    </row>
    <row r="9668" spans="1:9" x14ac:dyDescent="0.3">
      <c r="A9668" s="55"/>
      <c r="B9668" s="84"/>
      <c r="C9668" s="55"/>
      <c r="D9668" s="86"/>
      <c r="E9668" s="55"/>
      <c r="F9668" s="55"/>
      <c r="G9668" s="55"/>
      <c r="H9668" s="55"/>
      <c r="I9668"/>
    </row>
    <row r="9669" spans="1:9" x14ac:dyDescent="0.3">
      <c r="A9669" s="55"/>
      <c r="B9669" s="84"/>
      <c r="C9669" s="55"/>
      <c r="D9669" s="86"/>
      <c r="E9669" s="55"/>
      <c r="F9669" s="55"/>
      <c r="G9669" s="55"/>
      <c r="H9669" s="55"/>
      <c r="I9669"/>
    </row>
    <row r="9670" spans="1:9" x14ac:dyDescent="0.3">
      <c r="A9670" s="55"/>
      <c r="B9670" s="84"/>
      <c r="C9670" s="55"/>
      <c r="D9670" s="86"/>
      <c r="E9670" s="55"/>
      <c r="F9670" s="55"/>
      <c r="G9670" s="55"/>
      <c r="H9670" s="55"/>
      <c r="I9670"/>
    </row>
    <row r="9671" spans="1:9" x14ac:dyDescent="0.3">
      <c r="A9671" s="163"/>
      <c r="B9671" s="163"/>
      <c r="C9671" s="163"/>
      <c r="D9671" s="163"/>
      <c r="E9671" s="163"/>
      <c r="F9671" s="163"/>
      <c r="G9671" s="163"/>
      <c r="H9671" s="163"/>
      <c r="I9671"/>
    </row>
    <row r="9672" spans="1:9" x14ac:dyDescent="0.3">
      <c r="A9672" s="163"/>
      <c r="B9672" s="163"/>
      <c r="C9672" s="163"/>
      <c r="D9672" s="163"/>
      <c r="E9672" s="163"/>
      <c r="F9672" s="163"/>
      <c r="G9672" s="163"/>
      <c r="H9672" s="163"/>
      <c r="I9672"/>
    </row>
    <row r="9673" spans="1:9" x14ac:dyDescent="0.3">
      <c r="A9673" s="163"/>
      <c r="B9673" s="163"/>
      <c r="C9673" s="163"/>
      <c r="D9673" s="163"/>
      <c r="E9673" s="163"/>
      <c r="F9673" s="163"/>
      <c r="G9673" s="163"/>
      <c r="H9673" s="163"/>
      <c r="I9673"/>
    </row>
    <row r="9674" spans="1:9" x14ac:dyDescent="0.3">
      <c r="A9674" s="163"/>
      <c r="B9674" s="163"/>
      <c r="C9674" s="163"/>
      <c r="D9674" s="163"/>
      <c r="E9674" s="163"/>
      <c r="F9674" s="163"/>
      <c r="G9674" s="163"/>
      <c r="H9674" s="163"/>
      <c r="I9674"/>
    </row>
    <row r="9675" spans="1:9" x14ac:dyDescent="0.3">
      <c r="A9675" s="55"/>
      <c r="B9675" s="84"/>
      <c r="C9675" s="55"/>
      <c r="D9675" s="55"/>
      <c r="E9675" s="55"/>
      <c r="F9675" s="55"/>
      <c r="G9675" s="55"/>
      <c r="H9675" s="55"/>
      <c r="I9675"/>
    </row>
    <row r="9676" spans="1:9" x14ac:dyDescent="0.3">
      <c r="A9676" s="163"/>
      <c r="B9676" s="163"/>
      <c r="C9676" s="163"/>
      <c r="D9676" s="163"/>
      <c r="E9676" s="163"/>
      <c r="F9676" s="163"/>
      <c r="G9676" s="163"/>
      <c r="H9676" s="163"/>
      <c r="I9676"/>
    </row>
    <row r="9677" spans="1:9" x14ac:dyDescent="0.3">
      <c r="A9677" s="55"/>
      <c r="B9677" s="257"/>
      <c r="C9677" s="55"/>
      <c r="D9677" s="55"/>
      <c r="E9677" s="55"/>
      <c r="F9677" s="55"/>
      <c r="G9677" s="55"/>
      <c r="H9677" s="55"/>
      <c r="I9677"/>
    </row>
    <row r="9678" spans="1:9" x14ac:dyDescent="0.3">
      <c r="A9678" s="57"/>
      <c r="B9678" s="84"/>
      <c r="C9678" s="85"/>
      <c r="D9678" s="86"/>
      <c r="E9678" s="87"/>
      <c r="F9678" s="47"/>
      <c r="G9678" s="47"/>
      <c r="H9678" s="47"/>
      <c r="I9678"/>
    </row>
    <row r="9679" spans="1:9" x14ac:dyDescent="0.3">
      <c r="A9679" s="57"/>
      <c r="B9679" s="84"/>
      <c r="C9679" s="85"/>
      <c r="D9679" s="86"/>
      <c r="E9679" s="47"/>
      <c r="F9679" s="47"/>
      <c r="G9679" s="47"/>
      <c r="H9679" s="47"/>
      <c r="I9679"/>
    </row>
    <row r="9680" spans="1:9" x14ac:dyDescent="0.3">
      <c r="A9680" s="55"/>
      <c r="B9680" s="84"/>
      <c r="C9680" s="55"/>
      <c r="D9680" s="86"/>
      <c r="E9680" s="47"/>
      <c r="F9680" s="47"/>
      <c r="G9680" s="47"/>
      <c r="H9680" s="47"/>
      <c r="I9680"/>
    </row>
    <row r="9681" spans="1:9" x14ac:dyDescent="0.3">
      <c r="A9681" s="27"/>
      <c r="B9681" s="28"/>
      <c r="C9681" s="24"/>
      <c r="D9681" s="25"/>
      <c r="E9681" s="25"/>
      <c r="F9681" s="28"/>
      <c r="G9681" s="28"/>
      <c r="H9681" s="32"/>
      <c r="I9681"/>
    </row>
    <row r="9682" spans="1:9" ht="15.6" x14ac:dyDescent="0.3">
      <c r="A9682" s="448" t="s">
        <v>45</v>
      </c>
      <c r="B9682" s="449"/>
      <c r="C9682" s="24"/>
      <c r="D9682" s="25"/>
      <c r="E9682" s="25"/>
      <c r="F9682" s="447" t="s">
        <v>46</v>
      </c>
      <c r="G9682" s="447"/>
      <c r="H9682" s="66">
        <v>443730</v>
      </c>
      <c r="I9682"/>
    </row>
    <row r="9683" spans="1:9" ht="15.6" x14ac:dyDescent="0.3">
      <c r="A9683" s="497" t="s">
        <v>1657</v>
      </c>
      <c r="B9683" s="498"/>
      <c r="C9683" s="498"/>
      <c r="D9683" s="498"/>
      <c r="E9683" s="498"/>
      <c r="F9683" s="447" t="s">
        <v>47</v>
      </c>
      <c r="G9683" s="447"/>
      <c r="H9683" s="66">
        <f>H9682*9%</f>
        <v>39935.699999999997</v>
      </c>
      <c r="I9683"/>
    </row>
    <row r="9684" spans="1:9" ht="15.6" x14ac:dyDescent="0.3">
      <c r="A9684" s="27"/>
      <c r="B9684" s="28"/>
      <c r="C9684" s="24"/>
      <c r="D9684" s="25"/>
      <c r="E9684" s="25"/>
      <c r="F9684" s="447" t="s">
        <v>48</v>
      </c>
      <c r="G9684" s="447"/>
      <c r="H9684" s="66">
        <f>H9683</f>
        <v>39935.699999999997</v>
      </c>
      <c r="I9684"/>
    </row>
    <row r="9685" spans="1:9" ht="15.6" x14ac:dyDescent="0.3">
      <c r="A9685" s="64" t="s">
        <v>49</v>
      </c>
      <c r="B9685" s="65"/>
      <c r="C9685" s="24"/>
      <c r="D9685" s="25"/>
      <c r="E9685" s="25"/>
      <c r="F9685" s="447" t="s">
        <v>50</v>
      </c>
      <c r="G9685" s="447"/>
      <c r="H9685" s="66">
        <f>H9682+H9683+H9684</f>
        <v>523601.4</v>
      </c>
      <c r="I9685"/>
    </row>
    <row r="9686" spans="1:9" ht="27" x14ac:dyDescent="0.3">
      <c r="A9686" s="68" t="s">
        <v>22</v>
      </c>
      <c r="B9686" s="30" t="s">
        <v>51</v>
      </c>
      <c r="C9686" s="70" t="s">
        <v>24</v>
      </c>
      <c r="D9686" s="31" t="s">
        <v>25</v>
      </c>
      <c r="E9686" s="450" t="s">
        <v>52</v>
      </c>
      <c r="F9686" s="450"/>
      <c r="G9686" s="28"/>
      <c r="H9686" s="32"/>
      <c r="I9686"/>
    </row>
    <row r="9687" spans="1:9" x14ac:dyDescent="0.3">
      <c r="A9687" s="72">
        <v>0.18</v>
      </c>
      <c r="B9687" s="73">
        <f>H9682</f>
        <v>443730</v>
      </c>
      <c r="C9687" s="91">
        <f>H9683</f>
        <v>39935.699999999997</v>
      </c>
      <c r="D9687" s="91">
        <f>H9683</f>
        <v>39935.699999999997</v>
      </c>
      <c r="E9687" s="506">
        <f>C9687+D9687</f>
        <v>79871.399999999994</v>
      </c>
      <c r="F9687" s="507"/>
      <c r="G9687" s="74"/>
      <c r="H9687" s="75"/>
      <c r="I9687"/>
    </row>
    <row r="9688" spans="1:9" x14ac:dyDescent="0.3">
      <c r="A9688" s="508" t="s">
        <v>1656</v>
      </c>
      <c r="B9688" s="509"/>
      <c r="C9688" s="509"/>
      <c r="D9688" s="509"/>
      <c r="E9688" s="453"/>
      <c r="F9688" s="453"/>
      <c r="G9688" s="453"/>
      <c r="H9688" s="454"/>
    </row>
    <row r="9689" spans="1:9" ht="15.6" x14ac:dyDescent="0.3">
      <c r="A9689" s="455" t="s">
        <v>53</v>
      </c>
      <c r="B9689" s="456"/>
      <c r="C9689" s="456"/>
      <c r="D9689" s="457"/>
      <c r="E9689" s="458" t="s">
        <v>54</v>
      </c>
      <c r="F9689" s="459"/>
      <c r="G9689" s="459"/>
      <c r="H9689" s="460"/>
    </row>
    <row r="9690" spans="1:9" x14ac:dyDescent="0.3">
      <c r="A9690" s="461" t="s">
        <v>55</v>
      </c>
      <c r="B9690" s="462"/>
      <c r="C9690" s="462"/>
      <c r="D9690" s="463"/>
      <c r="E9690" s="39"/>
      <c r="F9690" s="28"/>
      <c r="G9690" s="28"/>
      <c r="H9690" s="32"/>
    </row>
    <row r="9691" spans="1:9" x14ac:dyDescent="0.3">
      <c r="A9691" s="461" t="s">
        <v>56</v>
      </c>
      <c r="B9691" s="462"/>
      <c r="C9691" s="462"/>
      <c r="D9691" s="463"/>
      <c r="E9691" s="39"/>
      <c r="F9691" s="28"/>
      <c r="G9691" s="28"/>
      <c r="H9691" s="32"/>
    </row>
    <row r="9692" spans="1:9" x14ac:dyDescent="0.3">
      <c r="A9692" s="461" t="s">
        <v>57</v>
      </c>
      <c r="B9692" s="462"/>
      <c r="C9692" s="462"/>
      <c r="D9692" s="463"/>
      <c r="E9692" s="39"/>
      <c r="F9692" s="28"/>
      <c r="G9692" s="28"/>
      <c r="H9692" s="32"/>
    </row>
    <row r="9693" spans="1:9" ht="15.6" x14ac:dyDescent="0.3">
      <c r="A9693" s="464" t="s">
        <v>58</v>
      </c>
      <c r="B9693" s="465"/>
      <c r="C9693" s="465"/>
      <c r="D9693" s="465"/>
      <c r="E9693" s="466" t="s">
        <v>59</v>
      </c>
      <c r="F9693" s="467"/>
      <c r="G9693" s="467"/>
      <c r="H9693" s="468"/>
    </row>
    <row r="9697" spans="1:9" ht="44.4" x14ac:dyDescent="0.7">
      <c r="A9697" s="469" t="s">
        <v>0</v>
      </c>
      <c r="B9697" s="470"/>
      <c r="C9697" s="470"/>
      <c r="D9697" s="470"/>
      <c r="E9697" s="471" t="s">
        <v>1</v>
      </c>
      <c r="F9697" s="472"/>
      <c r="G9697" s="472"/>
      <c r="H9697" s="473"/>
    </row>
    <row r="9698" spans="1:9" ht="20.399999999999999" x14ac:dyDescent="0.35">
      <c r="A9698" s="1"/>
      <c r="B9698" s="476" t="s">
        <v>2</v>
      </c>
      <c r="C9698" s="476"/>
      <c r="D9698" s="476"/>
      <c r="E9698" s="474"/>
      <c r="F9698" s="474"/>
      <c r="G9698" s="474"/>
      <c r="H9698" s="475"/>
    </row>
    <row r="9699" spans="1:9" x14ac:dyDescent="0.3">
      <c r="A9699" s="477" t="s">
        <v>3</v>
      </c>
      <c r="B9699" s="478"/>
      <c r="C9699" s="479" t="s">
        <v>4</v>
      </c>
      <c r="D9699" s="479"/>
      <c r="E9699" s="480" t="s">
        <v>5</v>
      </c>
      <c r="F9699" s="480"/>
      <c r="G9699" s="480"/>
      <c r="H9699" s="480"/>
    </row>
    <row r="9700" spans="1:9" ht="15.6" x14ac:dyDescent="0.3">
      <c r="A9700" s="4" t="s">
        <v>6</v>
      </c>
      <c r="B9700" s="5"/>
      <c r="C9700" s="481" t="s">
        <v>7</v>
      </c>
      <c r="D9700" s="481"/>
      <c r="E9700" s="482">
        <v>210</v>
      </c>
      <c r="F9700" s="482"/>
      <c r="G9700" s="7" t="s">
        <v>8</v>
      </c>
      <c r="H9700" s="250">
        <v>46115</v>
      </c>
    </row>
    <row r="9701" spans="1:9" ht="15.6" x14ac:dyDescent="0.3">
      <c r="A9701" s="551" t="s">
        <v>1661</v>
      </c>
      <c r="B9701" s="552"/>
      <c r="C9701" s="481" t="s">
        <v>10</v>
      </c>
      <c r="D9701" s="481"/>
      <c r="E9701" s="482"/>
      <c r="F9701" s="482"/>
      <c r="G9701" s="7" t="s">
        <v>8</v>
      </c>
      <c r="H9701" s="401"/>
    </row>
    <row r="9702" spans="1:9" ht="26.25" customHeight="1" x14ac:dyDescent="0.3">
      <c r="A9702" s="596" t="s">
        <v>1662</v>
      </c>
      <c r="B9702" s="597"/>
      <c r="C9702" s="483" t="s">
        <v>12</v>
      </c>
      <c r="D9702" s="484"/>
      <c r="E9702" s="598" t="s">
        <v>1658</v>
      </c>
      <c r="F9702" s="599"/>
      <c r="G9702" s="400" t="s">
        <v>8</v>
      </c>
      <c r="H9702" s="419" t="s">
        <v>1659</v>
      </c>
      <c r="I9702" s="418"/>
    </row>
    <row r="9703" spans="1:9" ht="15.6" x14ac:dyDescent="0.3">
      <c r="A9703" s="253" t="s">
        <v>1663</v>
      </c>
      <c r="B9703" s="254"/>
      <c r="C9703" s="481" t="s">
        <v>15</v>
      </c>
      <c r="D9703" s="481"/>
      <c r="E9703" s="489" t="s">
        <v>1660</v>
      </c>
      <c r="F9703" s="490"/>
      <c r="G9703" s="490"/>
      <c r="H9703" s="491"/>
    </row>
    <row r="9704" spans="1:9" ht="15.6" x14ac:dyDescent="0.3">
      <c r="A9704" s="255" t="s">
        <v>1664</v>
      </c>
      <c r="B9704" s="256"/>
      <c r="C9704" s="489"/>
      <c r="D9704" s="490"/>
      <c r="E9704" s="490"/>
      <c r="F9704" s="490"/>
      <c r="G9704" s="490"/>
      <c r="H9704" s="491"/>
    </row>
    <row r="9705" spans="1:9" ht="15" x14ac:dyDescent="0.3">
      <c r="A9705" s="492" t="s">
        <v>17</v>
      </c>
      <c r="B9705" s="494" t="s">
        <v>18</v>
      </c>
      <c r="C9705" s="494" t="s">
        <v>19</v>
      </c>
      <c r="D9705" s="495" t="s">
        <v>20</v>
      </c>
      <c r="E9705" s="494" t="s">
        <v>21</v>
      </c>
      <c r="F9705" s="494" t="s">
        <v>22</v>
      </c>
      <c r="G9705" s="494"/>
      <c r="H9705" s="492" t="s">
        <v>23</v>
      </c>
    </row>
    <row r="9706" spans="1:9" ht="27.6" x14ac:dyDescent="0.3">
      <c r="A9706" s="492"/>
      <c r="B9706" s="494"/>
      <c r="C9706" s="494"/>
      <c r="D9706" s="505"/>
      <c r="E9706" s="494"/>
      <c r="F9706" s="53" t="s">
        <v>24</v>
      </c>
      <c r="G9706" s="53" t="s">
        <v>25</v>
      </c>
      <c r="H9706" s="492"/>
    </row>
    <row r="9707" spans="1:9" x14ac:dyDescent="0.3">
      <c r="A9707" s="55">
        <v>1</v>
      </c>
      <c r="B9707" s="84" t="s">
        <v>1665</v>
      </c>
      <c r="C9707" s="55">
        <v>1</v>
      </c>
      <c r="D9707" s="55">
        <v>998719</v>
      </c>
      <c r="E9707" s="20">
        <v>35000</v>
      </c>
      <c r="F9707" s="55">
        <f>E9707*C9707*9%</f>
        <v>3150</v>
      </c>
      <c r="G9707" s="55">
        <f>F9707</f>
        <v>3150</v>
      </c>
      <c r="H9707" s="55">
        <f>G9707+F9707+E9707*C9707</f>
        <v>41300</v>
      </c>
    </row>
    <row r="9708" spans="1:9" x14ac:dyDescent="0.3">
      <c r="A9708" s="55"/>
      <c r="B9708" s="84"/>
      <c r="C9708" s="55"/>
      <c r="D9708" s="86"/>
      <c r="E9708" s="20"/>
      <c r="F9708" s="55"/>
      <c r="G9708" s="55"/>
      <c r="H9708" s="55"/>
    </row>
    <row r="9709" spans="1:9" x14ac:dyDescent="0.3">
      <c r="A9709" s="55"/>
      <c r="B9709" s="84"/>
      <c r="C9709" s="55"/>
      <c r="D9709" s="86"/>
      <c r="E9709" s="55"/>
      <c r="F9709" s="55"/>
      <c r="G9709" s="55"/>
      <c r="H9709" s="55"/>
    </row>
    <row r="9710" spans="1:9" x14ac:dyDescent="0.3">
      <c r="A9710" s="55"/>
      <c r="B9710" s="84"/>
      <c r="C9710" s="55"/>
      <c r="D9710" s="86"/>
      <c r="E9710" s="55"/>
      <c r="F9710" s="55"/>
      <c r="G9710" s="55"/>
      <c r="H9710" s="55"/>
    </row>
    <row r="9711" spans="1:9" x14ac:dyDescent="0.3">
      <c r="A9711" s="55"/>
      <c r="B9711" s="84"/>
      <c r="C9711" s="55"/>
      <c r="D9711" s="86"/>
      <c r="E9711" s="55"/>
      <c r="F9711" s="55"/>
      <c r="G9711" s="55"/>
      <c r="H9711" s="55"/>
    </row>
    <row r="9712" spans="1:9" x14ac:dyDescent="0.3">
      <c r="A9712" s="55"/>
      <c r="B9712" s="84"/>
      <c r="C9712" s="55"/>
      <c r="D9712" s="86"/>
      <c r="E9712" s="55"/>
      <c r="F9712" s="55"/>
      <c r="G9712" s="55"/>
      <c r="H9712" s="55"/>
    </row>
    <row r="9713" spans="1:8" x14ac:dyDescent="0.3">
      <c r="A9713" s="55"/>
      <c r="B9713" s="84"/>
      <c r="C9713" s="55"/>
      <c r="D9713" s="86"/>
      <c r="E9713" s="55"/>
      <c r="F9713" s="55"/>
      <c r="G9713" s="55"/>
      <c r="H9713" s="55"/>
    </row>
    <row r="9714" spans="1:8" x14ac:dyDescent="0.3">
      <c r="A9714" s="55"/>
      <c r="B9714" s="84"/>
      <c r="C9714" s="55"/>
      <c r="D9714" s="86"/>
      <c r="E9714" s="55"/>
      <c r="F9714" s="55"/>
      <c r="G9714" s="55"/>
      <c r="H9714" s="55"/>
    </row>
    <row r="9715" spans="1:8" x14ac:dyDescent="0.3">
      <c r="A9715" s="55"/>
      <c r="B9715" s="84"/>
      <c r="C9715" s="55"/>
      <c r="D9715" s="86"/>
      <c r="E9715" s="55"/>
      <c r="F9715" s="55"/>
      <c r="G9715" s="55"/>
      <c r="H9715" s="55"/>
    </row>
    <row r="9716" spans="1:8" x14ac:dyDescent="0.3">
      <c r="A9716" s="55"/>
      <c r="B9716" s="84"/>
      <c r="C9716" s="55"/>
      <c r="D9716" s="86"/>
      <c r="E9716" s="55"/>
      <c r="F9716" s="55"/>
      <c r="G9716" s="55"/>
      <c r="H9716" s="55"/>
    </row>
    <row r="9717" spans="1:8" x14ac:dyDescent="0.3">
      <c r="A9717" s="55"/>
      <c r="B9717" s="84"/>
      <c r="C9717" s="55"/>
      <c r="D9717" s="86"/>
      <c r="E9717" s="55"/>
      <c r="F9717" s="55"/>
      <c r="G9717" s="55"/>
      <c r="H9717" s="55"/>
    </row>
    <row r="9718" spans="1:8" x14ac:dyDescent="0.3">
      <c r="A9718" s="55"/>
      <c r="B9718" s="84"/>
      <c r="C9718" s="55"/>
      <c r="D9718" s="86"/>
      <c r="E9718" s="55"/>
      <c r="F9718" s="55"/>
      <c r="G9718" s="55"/>
      <c r="H9718" s="55"/>
    </row>
    <row r="9719" spans="1:8" x14ac:dyDescent="0.3">
      <c r="A9719" s="163"/>
      <c r="B9719" s="163"/>
      <c r="C9719" s="163"/>
      <c r="D9719" s="163"/>
      <c r="E9719" s="163"/>
      <c r="F9719" s="163"/>
      <c r="G9719" s="163"/>
      <c r="H9719" s="163"/>
    </row>
    <row r="9720" spans="1:8" x14ac:dyDescent="0.3">
      <c r="A9720" s="163"/>
      <c r="B9720" s="163"/>
      <c r="C9720" s="163"/>
      <c r="D9720" s="163"/>
      <c r="E9720" s="163"/>
      <c r="F9720" s="163"/>
      <c r="G9720" s="163"/>
      <c r="H9720" s="163"/>
    </row>
    <row r="9721" spans="1:8" x14ac:dyDescent="0.3">
      <c r="A9721" s="163"/>
      <c r="B9721" s="163"/>
      <c r="C9721" s="163"/>
      <c r="D9721" s="163"/>
      <c r="E9721" s="163"/>
      <c r="F9721" s="163"/>
      <c r="G9721" s="163"/>
      <c r="H9721" s="163"/>
    </row>
    <row r="9722" spans="1:8" x14ac:dyDescent="0.3">
      <c r="A9722" s="163"/>
      <c r="B9722" s="163"/>
      <c r="C9722" s="163"/>
      <c r="D9722" s="163"/>
      <c r="E9722" s="163"/>
      <c r="F9722" s="163"/>
      <c r="G9722" s="163"/>
      <c r="H9722" s="163"/>
    </row>
    <row r="9723" spans="1:8" x14ac:dyDescent="0.3">
      <c r="A9723" s="55"/>
      <c r="B9723" s="84"/>
      <c r="C9723" s="55"/>
      <c r="D9723" s="55"/>
      <c r="E9723" s="55"/>
      <c r="F9723" s="55"/>
      <c r="G9723" s="55"/>
      <c r="H9723" s="55"/>
    </row>
    <row r="9724" spans="1:8" x14ac:dyDescent="0.3">
      <c r="A9724" s="163"/>
      <c r="B9724" s="163"/>
      <c r="C9724" s="163"/>
      <c r="D9724" s="163"/>
      <c r="E9724" s="163"/>
      <c r="F9724" s="163"/>
      <c r="G9724" s="163"/>
      <c r="H9724" s="163"/>
    </row>
    <row r="9725" spans="1:8" x14ac:dyDescent="0.3">
      <c r="A9725" s="55"/>
      <c r="B9725" s="257"/>
      <c r="C9725" s="55"/>
      <c r="D9725" s="55"/>
      <c r="E9725" s="55"/>
      <c r="F9725" s="55"/>
      <c r="G9725" s="55"/>
      <c r="H9725" s="55"/>
    </row>
    <row r="9726" spans="1:8" x14ac:dyDescent="0.3">
      <c r="A9726" s="57"/>
      <c r="B9726" s="84"/>
      <c r="C9726" s="85"/>
      <c r="D9726" s="86"/>
      <c r="E9726" s="87"/>
      <c r="F9726" s="47"/>
      <c r="G9726" s="47"/>
      <c r="H9726" s="47"/>
    </row>
    <row r="9727" spans="1:8" x14ac:dyDescent="0.3">
      <c r="A9727" s="57"/>
      <c r="B9727" s="84"/>
      <c r="C9727" s="85"/>
      <c r="D9727" s="86"/>
      <c r="E9727" s="47"/>
      <c r="F9727" s="47"/>
      <c r="G9727" s="47"/>
      <c r="H9727" s="47"/>
    </row>
    <row r="9728" spans="1:8" x14ac:dyDescent="0.3">
      <c r="A9728" s="55"/>
      <c r="B9728" s="84"/>
      <c r="C9728" s="55"/>
      <c r="D9728" s="86"/>
      <c r="E9728" s="47"/>
      <c r="F9728" s="47"/>
      <c r="G9728" s="47"/>
      <c r="H9728" s="47"/>
    </row>
    <row r="9729" spans="1:8" x14ac:dyDescent="0.3">
      <c r="A9729" s="27"/>
      <c r="B9729" s="28"/>
      <c r="C9729" s="24"/>
      <c r="D9729" s="25"/>
      <c r="E9729" s="25"/>
      <c r="F9729" s="28"/>
      <c r="G9729" s="28"/>
      <c r="H9729" s="32"/>
    </row>
    <row r="9730" spans="1:8" ht="15.6" x14ac:dyDescent="0.3">
      <c r="A9730" s="448" t="s">
        <v>45</v>
      </c>
      <c r="B9730" s="449"/>
      <c r="C9730" s="24"/>
      <c r="D9730" s="25"/>
      <c r="E9730" s="25"/>
      <c r="F9730" s="447" t="s">
        <v>46</v>
      </c>
      <c r="G9730" s="447"/>
      <c r="H9730" s="66">
        <v>35000</v>
      </c>
    </row>
    <row r="9731" spans="1:8" ht="15.6" x14ac:dyDescent="0.3">
      <c r="A9731" s="497" t="s">
        <v>1666</v>
      </c>
      <c r="B9731" s="498"/>
      <c r="C9731" s="498"/>
      <c r="D9731" s="498"/>
      <c r="E9731" s="498"/>
      <c r="F9731" s="447" t="s">
        <v>47</v>
      </c>
      <c r="G9731" s="447"/>
      <c r="H9731" s="66">
        <f>H9730*9%</f>
        <v>3150</v>
      </c>
    </row>
    <row r="9732" spans="1:8" ht="15.6" x14ac:dyDescent="0.3">
      <c r="A9732" s="27"/>
      <c r="B9732" s="28"/>
      <c r="C9732" s="24"/>
      <c r="D9732" s="25"/>
      <c r="E9732" s="25"/>
      <c r="F9732" s="447" t="s">
        <v>48</v>
      </c>
      <c r="G9732" s="447"/>
      <c r="H9732" s="66">
        <f>H9731</f>
        <v>3150</v>
      </c>
    </row>
    <row r="9733" spans="1:8" ht="15.6" x14ac:dyDescent="0.3">
      <c r="A9733" s="64" t="s">
        <v>49</v>
      </c>
      <c r="B9733" s="65"/>
      <c r="C9733" s="24"/>
      <c r="D9733" s="25"/>
      <c r="E9733" s="25"/>
      <c r="F9733" s="447" t="s">
        <v>50</v>
      </c>
      <c r="G9733" s="447"/>
      <c r="H9733" s="66">
        <f>H9730+H9731+H9732</f>
        <v>41300</v>
      </c>
    </row>
    <row r="9734" spans="1:8" ht="27" x14ac:dyDescent="0.3">
      <c r="A9734" s="68" t="s">
        <v>22</v>
      </c>
      <c r="B9734" s="30" t="s">
        <v>51</v>
      </c>
      <c r="C9734" s="70" t="s">
        <v>24</v>
      </c>
      <c r="D9734" s="31" t="s">
        <v>25</v>
      </c>
      <c r="E9734" s="450" t="s">
        <v>52</v>
      </c>
      <c r="F9734" s="450"/>
      <c r="G9734" s="28"/>
      <c r="H9734" s="32"/>
    </row>
    <row r="9735" spans="1:8" x14ac:dyDescent="0.3">
      <c r="A9735" s="72">
        <v>0.18</v>
      </c>
      <c r="B9735" s="73">
        <f>H9730</f>
        <v>35000</v>
      </c>
      <c r="C9735" s="91">
        <f>H9731</f>
        <v>3150</v>
      </c>
      <c r="D9735" s="91">
        <f>H9731</f>
        <v>3150</v>
      </c>
      <c r="E9735" s="506">
        <f>C9735+D9735</f>
        <v>6300</v>
      </c>
      <c r="F9735" s="507"/>
      <c r="G9735" s="74"/>
      <c r="H9735" s="75"/>
    </row>
    <row r="9736" spans="1:8" x14ac:dyDescent="0.3">
      <c r="A9736" s="508" t="s">
        <v>1667</v>
      </c>
      <c r="B9736" s="509"/>
      <c r="C9736" s="509"/>
      <c r="D9736" s="509"/>
      <c r="E9736" s="453"/>
      <c r="F9736" s="453"/>
      <c r="G9736" s="453"/>
      <c r="H9736" s="454"/>
    </row>
    <row r="9737" spans="1:8" ht="15.6" x14ac:dyDescent="0.3">
      <c r="A9737" s="455" t="s">
        <v>53</v>
      </c>
      <c r="B9737" s="456"/>
      <c r="C9737" s="456"/>
      <c r="D9737" s="457"/>
      <c r="E9737" s="458" t="s">
        <v>54</v>
      </c>
      <c r="F9737" s="459"/>
      <c r="G9737" s="459"/>
      <c r="H9737" s="460"/>
    </row>
    <row r="9738" spans="1:8" x14ac:dyDescent="0.3">
      <c r="A9738" s="461" t="s">
        <v>55</v>
      </c>
      <c r="B9738" s="462"/>
      <c r="C9738" s="462"/>
      <c r="D9738" s="463"/>
      <c r="E9738" s="39"/>
      <c r="F9738" s="28"/>
      <c r="G9738" s="28"/>
      <c r="H9738" s="32"/>
    </row>
    <row r="9739" spans="1:8" x14ac:dyDescent="0.3">
      <c r="A9739" s="461" t="s">
        <v>56</v>
      </c>
      <c r="B9739" s="462"/>
      <c r="C9739" s="462"/>
      <c r="D9739" s="463"/>
      <c r="E9739" s="39"/>
      <c r="F9739" s="28"/>
      <c r="G9739" s="28"/>
      <c r="H9739" s="32"/>
    </row>
    <row r="9740" spans="1:8" x14ac:dyDescent="0.3">
      <c r="A9740" s="461" t="s">
        <v>57</v>
      </c>
      <c r="B9740" s="462"/>
      <c r="C9740" s="462"/>
      <c r="D9740" s="463"/>
      <c r="E9740" s="39"/>
      <c r="F9740" s="28"/>
      <c r="G9740" s="28"/>
      <c r="H9740" s="32"/>
    </row>
    <row r="9741" spans="1:8" ht="15.6" x14ac:dyDescent="0.3">
      <c r="A9741" s="464" t="s">
        <v>58</v>
      </c>
      <c r="B9741" s="465"/>
      <c r="C9741" s="465"/>
      <c r="D9741" s="465"/>
      <c r="E9741" s="466" t="s">
        <v>59</v>
      </c>
      <c r="F9741" s="467"/>
      <c r="G9741" s="467"/>
      <c r="H9741" s="468"/>
    </row>
    <row r="9745" spans="1:11" ht="44.4" x14ac:dyDescent="0.7">
      <c r="A9745" s="469" t="s">
        <v>0</v>
      </c>
      <c r="B9745" s="470"/>
      <c r="C9745" s="470"/>
      <c r="D9745" s="470"/>
      <c r="E9745" s="471" t="s">
        <v>1</v>
      </c>
      <c r="F9745" s="472"/>
      <c r="G9745" s="472"/>
      <c r="H9745" s="473"/>
      <c r="K9745" s="420"/>
    </row>
    <row r="9746" spans="1:11" ht="20.399999999999999" x14ac:dyDescent="0.35">
      <c r="A9746" s="1"/>
      <c r="B9746" s="476" t="s">
        <v>2</v>
      </c>
      <c r="C9746" s="476"/>
      <c r="D9746" s="476"/>
      <c r="E9746" s="474"/>
      <c r="F9746" s="474"/>
      <c r="G9746" s="474"/>
      <c r="H9746" s="475"/>
      <c r="K9746" s="420"/>
    </row>
    <row r="9747" spans="1:11" x14ac:dyDescent="0.3">
      <c r="A9747" s="477" t="s">
        <v>3</v>
      </c>
      <c r="B9747" s="478"/>
      <c r="C9747" s="479" t="s">
        <v>4</v>
      </c>
      <c r="D9747" s="479"/>
      <c r="E9747" s="480" t="s">
        <v>5</v>
      </c>
      <c r="F9747" s="480"/>
      <c r="G9747" s="480"/>
      <c r="H9747" s="480"/>
    </row>
    <row r="9748" spans="1:11" ht="15.6" x14ac:dyDescent="0.3">
      <c r="A9748" s="4" t="s">
        <v>6</v>
      </c>
      <c r="B9748" s="5"/>
      <c r="C9748" s="481" t="s">
        <v>7</v>
      </c>
      <c r="D9748" s="481"/>
      <c r="E9748" s="482">
        <v>211</v>
      </c>
      <c r="F9748" s="482"/>
      <c r="G9748" s="7" t="s">
        <v>8</v>
      </c>
      <c r="H9748" s="250">
        <v>46115</v>
      </c>
    </row>
    <row r="9749" spans="1:11" ht="15.6" x14ac:dyDescent="0.3">
      <c r="A9749" s="551" t="s">
        <v>999</v>
      </c>
      <c r="B9749" s="552"/>
      <c r="C9749" s="481" t="s">
        <v>10</v>
      </c>
      <c r="D9749" s="481"/>
      <c r="E9749" s="482"/>
      <c r="F9749" s="482"/>
      <c r="G9749" s="7" t="s">
        <v>8</v>
      </c>
      <c r="H9749" s="401"/>
    </row>
    <row r="9750" spans="1:11" ht="24.75" customHeight="1" x14ac:dyDescent="0.3">
      <c r="A9750" s="421" t="s">
        <v>1670</v>
      </c>
      <c r="B9750" s="422"/>
      <c r="C9750" s="483" t="s">
        <v>12</v>
      </c>
      <c r="D9750" s="484"/>
      <c r="E9750" s="600" t="s">
        <v>1668</v>
      </c>
      <c r="F9750" s="601"/>
      <c r="G9750" s="400" t="s">
        <v>8</v>
      </c>
      <c r="H9750" s="419" t="s">
        <v>1520</v>
      </c>
    </row>
    <row r="9751" spans="1:11" ht="15.6" x14ac:dyDescent="0.3">
      <c r="A9751" s="423" t="s">
        <v>1671</v>
      </c>
      <c r="B9751" s="254"/>
      <c r="C9751" s="481" t="s">
        <v>15</v>
      </c>
      <c r="D9751" s="481"/>
      <c r="E9751" s="489" t="s">
        <v>1003</v>
      </c>
      <c r="F9751" s="490"/>
      <c r="G9751" s="490"/>
      <c r="H9751" s="491"/>
    </row>
    <row r="9752" spans="1:11" ht="15.6" x14ac:dyDescent="0.3">
      <c r="A9752" s="255" t="s">
        <v>1669</v>
      </c>
      <c r="B9752" s="256"/>
      <c r="C9752" s="489"/>
      <c r="D9752" s="490"/>
      <c r="E9752" s="490"/>
      <c r="F9752" s="490"/>
      <c r="G9752" s="490"/>
      <c r="H9752" s="491"/>
    </row>
    <row r="9753" spans="1:11" ht="15" x14ac:dyDescent="0.3">
      <c r="A9753" s="492" t="s">
        <v>17</v>
      </c>
      <c r="B9753" s="494" t="s">
        <v>18</v>
      </c>
      <c r="C9753" s="494" t="s">
        <v>19</v>
      </c>
      <c r="D9753" s="495" t="s">
        <v>20</v>
      </c>
      <c r="E9753" s="494" t="s">
        <v>21</v>
      </c>
      <c r="F9753" s="494" t="s">
        <v>22</v>
      </c>
      <c r="G9753" s="494"/>
      <c r="H9753" s="492" t="s">
        <v>23</v>
      </c>
    </row>
    <row r="9754" spans="1:11" ht="27.6" x14ac:dyDescent="0.3">
      <c r="A9754" s="492"/>
      <c r="B9754" s="494"/>
      <c r="C9754" s="494"/>
      <c r="D9754" s="505"/>
      <c r="E9754" s="494"/>
      <c r="F9754" s="53" t="s">
        <v>24</v>
      </c>
      <c r="G9754" s="53" t="s">
        <v>25</v>
      </c>
      <c r="H9754" s="492"/>
    </row>
    <row r="9755" spans="1:11" x14ac:dyDescent="0.3">
      <c r="A9755" s="55">
        <v>1</v>
      </c>
      <c r="B9755" s="84" t="s">
        <v>1665</v>
      </c>
      <c r="C9755" s="55">
        <v>1</v>
      </c>
      <c r="D9755" s="55">
        <v>998719</v>
      </c>
      <c r="E9755" s="20">
        <v>10000</v>
      </c>
      <c r="F9755" s="55">
        <f>E9755*C9755*9%</f>
        <v>900</v>
      </c>
      <c r="G9755" s="55">
        <f>F9755</f>
        <v>900</v>
      </c>
      <c r="H9755" s="55">
        <f>G9755+F9755+E9755*C9755</f>
        <v>11800</v>
      </c>
    </row>
    <row r="9756" spans="1:11" x14ac:dyDescent="0.3">
      <c r="A9756" s="55"/>
      <c r="B9756" s="84"/>
      <c r="C9756" s="55"/>
      <c r="D9756" s="86"/>
      <c r="E9756" s="20"/>
      <c r="F9756" s="55"/>
      <c r="G9756" s="55"/>
      <c r="H9756" s="55"/>
    </row>
    <row r="9757" spans="1:11" x14ac:dyDescent="0.3">
      <c r="A9757" s="55"/>
      <c r="B9757" s="84"/>
      <c r="C9757" s="55"/>
      <c r="D9757" s="86"/>
      <c r="E9757" s="55"/>
      <c r="F9757" s="55"/>
      <c r="G9757" s="55"/>
      <c r="H9757" s="55"/>
    </row>
    <row r="9758" spans="1:11" x14ac:dyDescent="0.3">
      <c r="A9758" s="55"/>
      <c r="B9758" s="84"/>
      <c r="C9758" s="55"/>
      <c r="D9758" s="86"/>
      <c r="E9758" s="55"/>
      <c r="F9758" s="55"/>
      <c r="G9758" s="55"/>
      <c r="H9758" s="55"/>
    </row>
    <row r="9759" spans="1:11" x14ac:dyDescent="0.3">
      <c r="A9759" s="55"/>
      <c r="B9759" s="84"/>
      <c r="C9759" s="55"/>
      <c r="D9759" s="86"/>
      <c r="E9759" s="55"/>
      <c r="F9759" s="55"/>
      <c r="G9759" s="55"/>
      <c r="H9759" s="55"/>
    </row>
    <row r="9760" spans="1:11" x14ac:dyDescent="0.3">
      <c r="A9760" s="55"/>
      <c r="B9760" s="84"/>
      <c r="C9760" s="55"/>
      <c r="D9760" s="86"/>
      <c r="E9760" s="55"/>
      <c r="F9760" s="55"/>
      <c r="G9760" s="55"/>
      <c r="H9760" s="55"/>
    </row>
    <row r="9761" spans="1:8" x14ac:dyDescent="0.3">
      <c r="A9761" s="55"/>
      <c r="B9761" s="84"/>
      <c r="C9761" s="55"/>
      <c r="D9761" s="86"/>
      <c r="E9761" s="55"/>
      <c r="F9761" s="55"/>
      <c r="G9761" s="55"/>
      <c r="H9761" s="55"/>
    </row>
    <row r="9762" spans="1:8" x14ac:dyDescent="0.3">
      <c r="A9762" s="55"/>
      <c r="B9762" s="84"/>
      <c r="C9762" s="55"/>
      <c r="D9762" s="86"/>
      <c r="E9762" s="55"/>
      <c r="F9762" s="55"/>
      <c r="G9762" s="55"/>
      <c r="H9762" s="55"/>
    </row>
    <row r="9763" spans="1:8" x14ac:dyDescent="0.3">
      <c r="A9763" s="55"/>
      <c r="B9763" s="84"/>
      <c r="C9763" s="55"/>
      <c r="D9763" s="86"/>
      <c r="E9763" s="55"/>
      <c r="F9763" s="55"/>
      <c r="G9763" s="55"/>
      <c r="H9763" s="55"/>
    </row>
    <row r="9764" spans="1:8" x14ac:dyDescent="0.3">
      <c r="A9764" s="55"/>
      <c r="B9764" s="84"/>
      <c r="C9764" s="55"/>
      <c r="D9764" s="86"/>
      <c r="E9764" s="55"/>
      <c r="F9764" s="55"/>
      <c r="G9764" s="55"/>
      <c r="H9764" s="55"/>
    </row>
    <row r="9765" spans="1:8" x14ac:dyDescent="0.3">
      <c r="A9765" s="55"/>
      <c r="B9765" s="84"/>
      <c r="C9765" s="55"/>
      <c r="D9765" s="86"/>
      <c r="E9765" s="55"/>
      <c r="F9765" s="55"/>
      <c r="G9765" s="55"/>
      <c r="H9765" s="55"/>
    </row>
    <row r="9766" spans="1:8" x14ac:dyDescent="0.3">
      <c r="A9766" s="55"/>
      <c r="B9766" s="84"/>
      <c r="C9766" s="55"/>
      <c r="D9766" s="86"/>
      <c r="E9766" s="55"/>
      <c r="F9766" s="55"/>
      <c r="G9766" s="55"/>
      <c r="H9766" s="55"/>
    </row>
    <row r="9767" spans="1:8" x14ac:dyDescent="0.3">
      <c r="A9767" s="163"/>
      <c r="B9767" s="163"/>
      <c r="C9767" s="163"/>
      <c r="D9767" s="163"/>
      <c r="E9767" s="163"/>
      <c r="F9767" s="163"/>
      <c r="G9767" s="163"/>
      <c r="H9767" s="163"/>
    </row>
    <row r="9768" spans="1:8" x14ac:dyDescent="0.3">
      <c r="A9768" s="163"/>
      <c r="B9768" s="163"/>
      <c r="C9768" s="163"/>
      <c r="D9768" s="163"/>
      <c r="E9768" s="163"/>
      <c r="F9768" s="163"/>
      <c r="G9768" s="163"/>
      <c r="H9768" s="163"/>
    </row>
    <row r="9769" spans="1:8" x14ac:dyDescent="0.3">
      <c r="A9769" s="163"/>
      <c r="B9769" s="163"/>
      <c r="C9769" s="163"/>
      <c r="D9769" s="163"/>
      <c r="E9769" s="163"/>
      <c r="F9769" s="163"/>
      <c r="G9769" s="163"/>
      <c r="H9769" s="163"/>
    </row>
    <row r="9770" spans="1:8" x14ac:dyDescent="0.3">
      <c r="A9770" s="163"/>
      <c r="B9770" s="163"/>
      <c r="C9770" s="163"/>
      <c r="D9770" s="163"/>
      <c r="E9770" s="163"/>
      <c r="F9770" s="163"/>
      <c r="G9770" s="163"/>
      <c r="H9770" s="163"/>
    </row>
    <row r="9771" spans="1:8" x14ac:dyDescent="0.3">
      <c r="A9771" s="55"/>
      <c r="B9771" s="84"/>
      <c r="C9771" s="55"/>
      <c r="D9771" s="55"/>
      <c r="E9771" s="55"/>
      <c r="F9771" s="55"/>
      <c r="G9771" s="55"/>
      <c r="H9771" s="55"/>
    </row>
    <row r="9772" spans="1:8" x14ac:dyDescent="0.3">
      <c r="A9772" s="163"/>
      <c r="B9772" s="163"/>
      <c r="C9772" s="163"/>
      <c r="D9772" s="163"/>
      <c r="E9772" s="163"/>
      <c r="F9772" s="163"/>
      <c r="G9772" s="163"/>
      <c r="H9772" s="163"/>
    </row>
    <row r="9773" spans="1:8" x14ac:dyDescent="0.3">
      <c r="A9773" s="55"/>
      <c r="B9773" s="257"/>
      <c r="C9773" s="55"/>
      <c r="D9773" s="55"/>
      <c r="E9773" s="55"/>
      <c r="F9773" s="55"/>
      <c r="G9773" s="55"/>
      <c r="H9773" s="55"/>
    </row>
    <row r="9774" spans="1:8" x14ac:dyDescent="0.3">
      <c r="A9774" s="57"/>
      <c r="B9774" s="84"/>
      <c r="C9774" s="85"/>
      <c r="D9774" s="86"/>
      <c r="E9774" s="87"/>
      <c r="F9774" s="47"/>
      <c r="G9774" s="47"/>
      <c r="H9774" s="47"/>
    </row>
    <row r="9775" spans="1:8" x14ac:dyDescent="0.3">
      <c r="A9775" s="57"/>
      <c r="B9775" s="84"/>
      <c r="C9775" s="85"/>
      <c r="D9775" s="86"/>
      <c r="E9775" s="47"/>
      <c r="F9775" s="47"/>
      <c r="G9775" s="47"/>
      <c r="H9775" s="47"/>
    </row>
    <row r="9776" spans="1:8" x14ac:dyDescent="0.3">
      <c r="A9776" s="55"/>
      <c r="B9776" s="84"/>
      <c r="C9776" s="55"/>
      <c r="D9776" s="86"/>
      <c r="E9776" s="47"/>
      <c r="F9776" s="47"/>
      <c r="G9776" s="47"/>
      <c r="H9776" s="47"/>
    </row>
    <row r="9777" spans="1:8" x14ac:dyDescent="0.3">
      <c r="A9777" s="27"/>
      <c r="B9777" s="28"/>
      <c r="C9777" s="24"/>
      <c r="D9777" s="25"/>
      <c r="E9777" s="25"/>
      <c r="F9777" s="28"/>
      <c r="G9777" s="28"/>
      <c r="H9777" s="32"/>
    </row>
    <row r="9778" spans="1:8" ht="15.6" x14ac:dyDescent="0.3">
      <c r="A9778" s="448" t="s">
        <v>45</v>
      </c>
      <c r="B9778" s="449"/>
      <c r="C9778" s="24"/>
      <c r="D9778" s="25"/>
      <c r="E9778" s="25"/>
      <c r="F9778" s="447" t="s">
        <v>46</v>
      </c>
      <c r="G9778" s="447"/>
      <c r="H9778" s="66">
        <v>10000</v>
      </c>
    </row>
    <row r="9779" spans="1:8" ht="15.6" x14ac:dyDescent="0.3">
      <c r="A9779" s="497" t="s">
        <v>1672</v>
      </c>
      <c r="B9779" s="498"/>
      <c r="C9779" s="498"/>
      <c r="D9779" s="498"/>
      <c r="E9779" s="498"/>
      <c r="F9779" s="447" t="s">
        <v>47</v>
      </c>
      <c r="G9779" s="447"/>
      <c r="H9779" s="66">
        <f>H9778*9%</f>
        <v>900</v>
      </c>
    </row>
    <row r="9780" spans="1:8" ht="15.6" x14ac:dyDescent="0.3">
      <c r="A9780" s="27"/>
      <c r="B9780" s="28"/>
      <c r="C9780" s="24"/>
      <c r="D9780" s="25"/>
      <c r="E9780" s="25"/>
      <c r="F9780" s="447" t="s">
        <v>48</v>
      </c>
      <c r="G9780" s="447"/>
      <c r="H9780" s="66">
        <f>H9779</f>
        <v>900</v>
      </c>
    </row>
    <row r="9781" spans="1:8" ht="15.6" x14ac:dyDescent="0.3">
      <c r="A9781" s="64" t="s">
        <v>49</v>
      </c>
      <c r="B9781" s="65"/>
      <c r="C9781" s="24"/>
      <c r="D9781" s="25"/>
      <c r="E9781" s="25"/>
      <c r="F9781" s="447" t="s">
        <v>50</v>
      </c>
      <c r="G9781" s="447"/>
      <c r="H9781" s="66">
        <f>H9778+H9779+H9780</f>
        <v>11800</v>
      </c>
    </row>
    <row r="9782" spans="1:8" ht="27" x14ac:dyDescent="0.3">
      <c r="A9782" s="68" t="s">
        <v>22</v>
      </c>
      <c r="B9782" s="30" t="s">
        <v>51</v>
      </c>
      <c r="C9782" s="70" t="s">
        <v>24</v>
      </c>
      <c r="D9782" s="31" t="s">
        <v>25</v>
      </c>
      <c r="E9782" s="450" t="s">
        <v>52</v>
      </c>
      <c r="F9782" s="450"/>
      <c r="G9782" s="28"/>
      <c r="H9782" s="32"/>
    </row>
    <row r="9783" spans="1:8" x14ac:dyDescent="0.3">
      <c r="A9783" s="72">
        <v>0.18</v>
      </c>
      <c r="B9783" s="73">
        <f>H9778</f>
        <v>10000</v>
      </c>
      <c r="C9783" s="91">
        <f>H9779</f>
        <v>900</v>
      </c>
      <c r="D9783" s="91">
        <f>H9779</f>
        <v>900</v>
      </c>
      <c r="E9783" s="506">
        <f>C9783+D9783</f>
        <v>1800</v>
      </c>
      <c r="F9783" s="507"/>
      <c r="G9783" s="74"/>
      <c r="H9783" s="75"/>
    </row>
    <row r="9784" spans="1:8" x14ac:dyDescent="0.3">
      <c r="A9784" s="508" t="s">
        <v>1673</v>
      </c>
      <c r="B9784" s="509"/>
      <c r="C9784" s="509"/>
      <c r="D9784" s="509"/>
      <c r="E9784" s="453"/>
      <c r="F9784" s="453"/>
      <c r="G9784" s="453"/>
      <c r="H9784" s="454"/>
    </row>
    <row r="9785" spans="1:8" ht="15.6" x14ac:dyDescent="0.3">
      <c r="A9785" s="455" t="s">
        <v>53</v>
      </c>
      <c r="B9785" s="456"/>
      <c r="C9785" s="456"/>
      <c r="D9785" s="457"/>
      <c r="E9785" s="458" t="s">
        <v>54</v>
      </c>
      <c r="F9785" s="459"/>
      <c r="G9785" s="459"/>
      <c r="H9785" s="460"/>
    </row>
    <row r="9786" spans="1:8" x14ac:dyDescent="0.3">
      <c r="A9786" s="461" t="s">
        <v>55</v>
      </c>
      <c r="B9786" s="462"/>
      <c r="C9786" s="462"/>
      <c r="D9786" s="463"/>
      <c r="E9786" s="39"/>
      <c r="F9786" s="28"/>
      <c r="G9786" s="28"/>
      <c r="H9786" s="32"/>
    </row>
    <row r="9787" spans="1:8" x14ac:dyDescent="0.3">
      <c r="A9787" s="461" t="s">
        <v>56</v>
      </c>
      <c r="B9787" s="462"/>
      <c r="C9787" s="462"/>
      <c r="D9787" s="463"/>
      <c r="E9787" s="39"/>
      <c r="F9787" s="28"/>
      <c r="G9787" s="28"/>
      <c r="H9787" s="32"/>
    </row>
    <row r="9788" spans="1:8" x14ac:dyDescent="0.3">
      <c r="A9788" s="461" t="s">
        <v>57</v>
      </c>
      <c r="B9788" s="462"/>
      <c r="C9788" s="462"/>
      <c r="D9788" s="463"/>
      <c r="E9788" s="39"/>
      <c r="F9788" s="28"/>
      <c r="G9788" s="28"/>
      <c r="H9788" s="32"/>
    </row>
    <row r="9789" spans="1:8" ht="15.6" x14ac:dyDescent="0.3">
      <c r="A9789" s="464" t="s">
        <v>58</v>
      </c>
      <c r="B9789" s="465"/>
      <c r="C9789" s="465"/>
      <c r="D9789" s="465"/>
      <c r="E9789" s="466" t="s">
        <v>59</v>
      </c>
      <c r="F9789" s="467"/>
      <c r="G9789" s="467"/>
      <c r="H9789" s="468"/>
    </row>
    <row r="9792" spans="1:8" ht="44.4" x14ac:dyDescent="0.7">
      <c r="A9792" s="469" t="s">
        <v>0</v>
      </c>
      <c r="B9792" s="470"/>
      <c r="C9792" s="470"/>
      <c r="D9792" s="470"/>
      <c r="E9792" s="471" t="s">
        <v>1</v>
      </c>
      <c r="F9792" s="472"/>
      <c r="G9792" s="472"/>
      <c r="H9792" s="473"/>
    </row>
    <row r="9793" spans="1:8" ht="20.399999999999999" x14ac:dyDescent="0.35">
      <c r="A9793" s="1"/>
      <c r="B9793" s="476" t="s">
        <v>2</v>
      </c>
      <c r="C9793" s="476"/>
      <c r="D9793" s="476"/>
      <c r="E9793" s="474"/>
      <c r="F9793" s="474"/>
      <c r="G9793" s="474"/>
      <c r="H9793" s="475"/>
    </row>
    <row r="9794" spans="1:8" x14ac:dyDescent="0.3">
      <c r="A9794" s="477" t="s">
        <v>3</v>
      </c>
      <c r="B9794" s="478"/>
      <c r="C9794" s="479" t="s">
        <v>4</v>
      </c>
      <c r="D9794" s="479"/>
      <c r="E9794" s="548" t="s">
        <v>5</v>
      </c>
      <c r="F9794" s="549"/>
      <c r="G9794" s="549"/>
      <c r="H9794" s="550"/>
    </row>
    <row r="9795" spans="1:8" ht="15.6" x14ac:dyDescent="0.3">
      <c r="A9795" s="138" t="s">
        <v>6</v>
      </c>
      <c r="B9795" s="5"/>
      <c r="C9795" s="512" t="s">
        <v>7</v>
      </c>
      <c r="D9795" s="513"/>
      <c r="E9795" s="594">
        <v>212</v>
      </c>
      <c r="F9795" s="594"/>
      <c r="G9795" s="179" t="s">
        <v>8</v>
      </c>
      <c r="H9795" s="9">
        <v>46115</v>
      </c>
    </row>
    <row r="9796" spans="1:8" ht="15.6" x14ac:dyDescent="0.3">
      <c r="A9796" s="514" t="s">
        <v>1674</v>
      </c>
      <c r="B9796" s="515"/>
      <c r="C9796" s="516" t="s">
        <v>10</v>
      </c>
      <c r="D9796" s="481"/>
      <c r="E9796" s="482"/>
      <c r="F9796" s="482"/>
      <c r="G9796" s="7" t="s">
        <v>8</v>
      </c>
      <c r="H9796" s="9"/>
    </row>
    <row r="9797" spans="1:8" ht="15" x14ac:dyDescent="0.3">
      <c r="A9797" s="517" t="s">
        <v>1675</v>
      </c>
      <c r="B9797" s="518"/>
      <c r="C9797" s="484" t="s">
        <v>12</v>
      </c>
      <c r="D9797" s="519"/>
      <c r="E9797" s="520"/>
      <c r="F9797" s="520"/>
      <c r="G9797" s="10" t="s">
        <v>8</v>
      </c>
      <c r="H9797" s="11"/>
    </row>
    <row r="9798" spans="1:8" ht="15.6" x14ac:dyDescent="0.3">
      <c r="A9798" s="517" t="s">
        <v>1676</v>
      </c>
      <c r="B9798" s="518"/>
      <c r="C9798" s="521" t="s">
        <v>15</v>
      </c>
      <c r="D9798" s="522"/>
      <c r="E9798" s="523" t="s">
        <v>1677</v>
      </c>
      <c r="F9798" s="524"/>
      <c r="G9798" s="524"/>
      <c r="H9798" s="6"/>
    </row>
    <row r="9799" spans="1:8" ht="15.6" x14ac:dyDescent="0.3">
      <c r="A9799" s="180" t="s">
        <v>13</v>
      </c>
      <c r="B9799" s="181" t="s">
        <v>1678</v>
      </c>
      <c r="C9799" s="182"/>
      <c r="D9799" s="50"/>
      <c r="E9799" s="183"/>
      <c r="F9799" s="183"/>
      <c r="G9799" s="183"/>
      <c r="H9799" s="52"/>
    </row>
    <row r="9800" spans="1:8" ht="15" x14ac:dyDescent="0.3">
      <c r="A9800" s="527" t="s">
        <v>17</v>
      </c>
      <c r="B9800" s="505" t="s">
        <v>18</v>
      </c>
      <c r="C9800" s="505" t="s">
        <v>19</v>
      </c>
      <c r="D9800" s="505" t="s">
        <v>20</v>
      </c>
      <c r="E9800" s="505" t="s">
        <v>21</v>
      </c>
      <c r="F9800" s="505" t="s">
        <v>22</v>
      </c>
      <c r="G9800" s="505"/>
      <c r="H9800" s="527" t="s">
        <v>23</v>
      </c>
    </row>
    <row r="9801" spans="1:8" ht="27.6" x14ac:dyDescent="0.3">
      <c r="A9801" s="492"/>
      <c r="B9801" s="494"/>
      <c r="C9801" s="494"/>
      <c r="D9801" s="494"/>
      <c r="E9801" s="494"/>
      <c r="F9801" s="53" t="s">
        <v>24</v>
      </c>
      <c r="G9801" s="53" t="s">
        <v>25</v>
      </c>
      <c r="H9801" s="492"/>
    </row>
    <row r="9802" spans="1:8" x14ac:dyDescent="0.3">
      <c r="A9802" s="184">
        <v>1</v>
      </c>
      <c r="B9802" s="60" t="s">
        <v>1679</v>
      </c>
      <c r="C9802" s="57">
        <v>1</v>
      </c>
      <c r="D9802" s="56">
        <v>998719</v>
      </c>
      <c r="E9802" s="185">
        <v>15000</v>
      </c>
      <c r="F9802" s="58">
        <f>E9802*C9802*9%</f>
        <v>1350</v>
      </c>
      <c r="G9802" s="58">
        <f>F9802</f>
        <v>1350</v>
      </c>
      <c r="H9802" s="59">
        <f>E9802*C9802+F9802+G9802</f>
        <v>17700</v>
      </c>
    </row>
    <row r="9803" spans="1:8" x14ac:dyDescent="0.3">
      <c r="A9803" s="186"/>
      <c r="B9803" s="187"/>
      <c r="C9803" s="188"/>
      <c r="D9803" s="56"/>
      <c r="E9803" s="57"/>
      <c r="F9803" s="58"/>
      <c r="G9803" s="58"/>
      <c r="H9803" s="59"/>
    </row>
    <row r="9804" spans="1:8" x14ac:dyDescent="0.3">
      <c r="A9804" s="57"/>
      <c r="B9804" s="60"/>
      <c r="C9804" s="57"/>
      <c r="D9804" s="56"/>
      <c r="E9804" s="57"/>
      <c r="F9804" s="58"/>
      <c r="G9804" s="58"/>
      <c r="H9804" s="59"/>
    </row>
    <row r="9805" spans="1:8" x14ac:dyDescent="0.3">
      <c r="A9805" s="173"/>
      <c r="B9805" s="174"/>
      <c r="C9805" s="175"/>
      <c r="D9805" s="152"/>
      <c r="E9805" s="175"/>
      <c r="F9805" s="165"/>
      <c r="G9805" s="165"/>
      <c r="H9805" s="166"/>
    </row>
    <row r="9806" spans="1:8" x14ac:dyDescent="0.3">
      <c r="A9806" s="173"/>
      <c r="B9806" s="174"/>
      <c r="C9806" s="175"/>
      <c r="D9806" s="152"/>
      <c r="E9806" s="175"/>
      <c r="F9806" s="165"/>
      <c r="G9806" s="165"/>
      <c r="H9806" s="166"/>
    </row>
    <row r="9807" spans="1:8" x14ac:dyDescent="0.3">
      <c r="A9807" s="173"/>
      <c r="B9807" s="174"/>
      <c r="C9807" s="175"/>
      <c r="D9807" s="152"/>
      <c r="E9807" s="175"/>
      <c r="F9807" s="165"/>
      <c r="G9807" s="165"/>
      <c r="H9807" s="166"/>
    </row>
    <row r="9808" spans="1:8" x14ac:dyDescent="0.3">
      <c r="A9808" s="173"/>
      <c r="B9808" s="174"/>
      <c r="C9808" s="175"/>
      <c r="D9808" s="152"/>
      <c r="E9808" s="175"/>
      <c r="F9808" s="165"/>
      <c r="G9808" s="165"/>
      <c r="H9808" s="166"/>
    </row>
    <row r="9809" spans="1:8" x14ac:dyDescent="0.3">
      <c r="A9809" s="173"/>
      <c r="B9809" s="174"/>
      <c r="C9809" s="175"/>
      <c r="D9809" s="152"/>
      <c r="E9809" s="175"/>
      <c r="F9809" s="165"/>
      <c r="G9809" s="165"/>
      <c r="H9809" s="166"/>
    </row>
    <row r="9810" spans="1:8" x14ac:dyDescent="0.3">
      <c r="A9810" s="173"/>
      <c r="B9810" s="174"/>
      <c r="C9810" s="175"/>
      <c r="D9810" s="152"/>
      <c r="E9810" s="175"/>
      <c r="F9810" s="165"/>
      <c r="G9810" s="165"/>
      <c r="H9810" s="166"/>
    </row>
    <row r="9811" spans="1:8" x14ac:dyDescent="0.3">
      <c r="A9811" s="173"/>
      <c r="B9811" s="174"/>
      <c r="C9811" s="175"/>
      <c r="D9811" s="152"/>
      <c r="E9811" s="175"/>
      <c r="F9811" s="165"/>
      <c r="G9811" s="165"/>
      <c r="H9811" s="166"/>
    </row>
    <row r="9812" spans="1:8" x14ac:dyDescent="0.3">
      <c r="A9812" s="173"/>
      <c r="B9812" s="174"/>
      <c r="C9812" s="175"/>
      <c r="D9812" s="152"/>
      <c r="E9812" s="175"/>
      <c r="F9812" s="165"/>
      <c r="G9812" s="165"/>
      <c r="H9812" s="166"/>
    </row>
    <row r="9813" spans="1:8" x14ac:dyDescent="0.3">
      <c r="A9813" s="173"/>
      <c r="B9813" s="174"/>
      <c r="C9813" s="175"/>
      <c r="D9813" s="152"/>
      <c r="E9813" s="175"/>
      <c r="F9813" s="165"/>
      <c r="G9813" s="165"/>
      <c r="H9813" s="166"/>
    </row>
    <row r="9814" spans="1:8" x14ac:dyDescent="0.3">
      <c r="A9814" s="173"/>
      <c r="B9814" s="174"/>
      <c r="C9814" s="175"/>
      <c r="D9814" s="152"/>
      <c r="E9814" s="175"/>
      <c r="F9814" s="165"/>
      <c r="G9814" s="165"/>
      <c r="H9814" s="166"/>
    </row>
    <row r="9815" spans="1:8" x14ac:dyDescent="0.3">
      <c r="A9815" s="27"/>
      <c r="B9815" s="174"/>
      <c r="C9815" s="24"/>
      <c r="D9815" s="152"/>
      <c r="E9815" s="175"/>
      <c r="F9815" s="175"/>
      <c r="G9815" s="162"/>
      <c r="H9815" s="154"/>
    </row>
    <row r="9816" spans="1:8" x14ac:dyDescent="0.3">
      <c r="A9816" s="27"/>
      <c r="B9816" s="174"/>
      <c r="C9816" s="24"/>
      <c r="D9816" s="152"/>
      <c r="E9816" s="25"/>
      <c r="F9816" s="175"/>
      <c r="G9816" s="162"/>
      <c r="H9816" s="154"/>
    </row>
    <row r="9817" spans="1:8" x14ac:dyDescent="0.3">
      <c r="A9817" s="27"/>
      <c r="B9817" s="28"/>
      <c r="C9817" s="24"/>
      <c r="D9817" s="152"/>
      <c r="E9817" s="25"/>
      <c r="F9817" s="175"/>
      <c r="G9817" s="162"/>
      <c r="H9817" s="154"/>
    </row>
    <row r="9818" spans="1:8" x14ac:dyDescent="0.3">
      <c r="A9818" s="27"/>
      <c r="B9818" s="28"/>
      <c r="C9818" s="24"/>
      <c r="D9818" s="25"/>
      <c r="E9818" s="25"/>
      <c r="F9818" s="25"/>
      <c r="G9818" s="28"/>
      <c r="H9818" s="32"/>
    </row>
    <row r="9819" spans="1:8" ht="15.6" x14ac:dyDescent="0.3">
      <c r="A9819" s="448" t="s">
        <v>45</v>
      </c>
      <c r="B9819" s="449"/>
      <c r="C9819" s="24"/>
      <c r="D9819" s="25"/>
      <c r="E9819" s="25"/>
      <c r="F9819" s="447" t="s">
        <v>46</v>
      </c>
      <c r="G9819" s="447"/>
      <c r="H9819" s="66">
        <v>15000</v>
      </c>
    </row>
    <row r="9820" spans="1:8" ht="15.6" x14ac:dyDescent="0.3">
      <c r="A9820" s="497" t="s">
        <v>1505</v>
      </c>
      <c r="B9820" s="498"/>
      <c r="C9820" s="498"/>
      <c r="D9820" s="498"/>
      <c r="E9820" s="498"/>
      <c r="F9820" s="447" t="s">
        <v>47</v>
      </c>
      <c r="G9820" s="447"/>
      <c r="H9820" s="66">
        <f>H9819*9%</f>
        <v>1350</v>
      </c>
    </row>
    <row r="9821" spans="1:8" ht="15.6" x14ac:dyDescent="0.3">
      <c r="A9821" s="27"/>
      <c r="B9821" s="28"/>
      <c r="C9821" s="24"/>
      <c r="D9821" s="25"/>
      <c r="E9821" s="25"/>
      <c r="F9821" s="447" t="s">
        <v>48</v>
      </c>
      <c r="G9821" s="447"/>
      <c r="H9821" s="66">
        <f>H9820</f>
        <v>1350</v>
      </c>
    </row>
    <row r="9822" spans="1:8" ht="15.6" x14ac:dyDescent="0.3">
      <c r="A9822" s="448" t="s">
        <v>49</v>
      </c>
      <c r="B9822" s="449"/>
      <c r="C9822" s="24"/>
      <c r="D9822" s="25"/>
      <c r="E9822" s="25"/>
      <c r="F9822" s="447" t="s">
        <v>50</v>
      </c>
      <c r="G9822" s="447"/>
      <c r="H9822" s="66">
        <f>H9819+H9820+H9821</f>
        <v>17700</v>
      </c>
    </row>
    <row r="9823" spans="1:8" ht="15.6" x14ac:dyDescent="0.3">
      <c r="A9823" s="90"/>
      <c r="B9823" s="177"/>
      <c r="C9823" s="24"/>
      <c r="D9823" s="25"/>
      <c r="E9823" s="25"/>
      <c r="F9823" s="26"/>
      <c r="G9823" s="26"/>
      <c r="H9823" s="66"/>
    </row>
    <row r="9824" spans="1:8" ht="27" x14ac:dyDescent="0.3">
      <c r="A9824" s="29" t="s">
        <v>22</v>
      </c>
      <c r="B9824" s="30" t="s">
        <v>51</v>
      </c>
      <c r="C9824" s="31" t="s">
        <v>24</v>
      </c>
      <c r="D9824" s="31" t="s">
        <v>25</v>
      </c>
      <c r="E9824" s="528" t="s">
        <v>52</v>
      </c>
      <c r="F9824" s="528"/>
      <c r="G9824" s="28"/>
      <c r="H9824" s="32"/>
    </row>
    <row r="9825" spans="1:8" x14ac:dyDescent="0.3">
      <c r="A9825" s="33">
        <v>0.18</v>
      </c>
      <c r="B9825" s="34">
        <f>H9819</f>
        <v>15000</v>
      </c>
      <c r="C9825" s="35">
        <f>H9820</f>
        <v>1350</v>
      </c>
      <c r="D9825" s="35">
        <f>H9821</f>
        <v>1350</v>
      </c>
      <c r="E9825" s="529">
        <f>C9825+D9825</f>
        <v>2700</v>
      </c>
      <c r="F9825" s="530"/>
      <c r="G9825" s="28"/>
      <c r="H9825" s="32"/>
    </row>
    <row r="9826" spans="1:8" x14ac:dyDescent="0.3">
      <c r="A9826" s="452" t="s">
        <v>1680</v>
      </c>
      <c r="B9826" s="453"/>
      <c r="C9826" s="453"/>
      <c r="D9826" s="453"/>
      <c r="E9826" s="453"/>
      <c r="F9826" s="453"/>
      <c r="G9826" s="453"/>
      <c r="H9826" s="454"/>
    </row>
    <row r="9827" spans="1:8" ht="15.6" x14ac:dyDescent="0.3">
      <c r="A9827" s="455" t="s">
        <v>53</v>
      </c>
      <c r="B9827" s="456"/>
      <c r="C9827" s="456"/>
      <c r="D9827" s="457"/>
      <c r="E9827" s="458" t="s">
        <v>54</v>
      </c>
      <c r="F9827" s="459"/>
      <c r="G9827" s="459"/>
      <c r="H9827" s="460"/>
    </row>
    <row r="9828" spans="1:8" x14ac:dyDescent="0.3">
      <c r="A9828" s="461" t="s">
        <v>55</v>
      </c>
      <c r="B9828" s="462"/>
      <c r="C9828" s="462"/>
      <c r="D9828" s="463"/>
      <c r="E9828" s="39"/>
      <c r="F9828" s="25"/>
      <c r="G9828" s="28"/>
      <c r="H9828" s="32"/>
    </row>
    <row r="9829" spans="1:8" x14ac:dyDescent="0.3">
      <c r="A9829" s="461" t="s">
        <v>56</v>
      </c>
      <c r="B9829" s="462"/>
      <c r="C9829" s="462"/>
      <c r="D9829" s="463"/>
      <c r="E9829" s="39"/>
      <c r="F9829" s="25"/>
      <c r="G9829" s="28"/>
      <c r="H9829" s="32"/>
    </row>
    <row r="9830" spans="1:8" x14ac:dyDescent="0.3">
      <c r="A9830" s="461" t="s">
        <v>57</v>
      </c>
      <c r="B9830" s="462"/>
      <c r="C9830" s="462"/>
      <c r="D9830" s="463"/>
      <c r="E9830" s="25"/>
      <c r="F9830" s="25"/>
      <c r="G9830" s="28"/>
      <c r="H9830" s="32"/>
    </row>
    <row r="9831" spans="1:8" ht="15.6" x14ac:dyDescent="0.3">
      <c r="A9831" s="464" t="s">
        <v>58</v>
      </c>
      <c r="B9831" s="465"/>
      <c r="C9831" s="465"/>
      <c r="D9831" s="510"/>
      <c r="E9831" s="466" t="s">
        <v>59</v>
      </c>
      <c r="F9831" s="467"/>
      <c r="G9831" s="467"/>
      <c r="H9831" s="468"/>
    </row>
    <row r="9835" spans="1:8" ht="44.4" x14ac:dyDescent="0.7">
      <c r="A9835" s="469" t="s">
        <v>0</v>
      </c>
      <c r="B9835" s="470"/>
      <c r="C9835" s="470"/>
      <c r="D9835" s="470"/>
      <c r="E9835" s="531" t="s">
        <v>92</v>
      </c>
      <c r="F9835" s="544"/>
      <c r="G9835" s="544"/>
      <c r="H9835" s="545"/>
    </row>
    <row r="9836" spans="1:8" ht="20.399999999999999" x14ac:dyDescent="0.35">
      <c r="A9836" s="1"/>
      <c r="B9836" s="476" t="s">
        <v>2</v>
      </c>
      <c r="C9836" s="476"/>
      <c r="D9836" s="476"/>
      <c r="E9836" s="546"/>
      <c r="F9836" s="546"/>
      <c r="G9836" s="546"/>
      <c r="H9836" s="547"/>
    </row>
    <row r="9837" spans="1:8" x14ac:dyDescent="0.3">
      <c r="A9837" s="477" t="s">
        <v>3</v>
      </c>
      <c r="B9837" s="478"/>
      <c r="C9837" s="136"/>
      <c r="D9837" s="499" t="s">
        <v>4</v>
      </c>
      <c r="E9837" s="499"/>
      <c r="F9837" s="137"/>
      <c r="G9837" s="575" t="s">
        <v>134</v>
      </c>
      <c r="H9837" s="576"/>
    </row>
    <row r="9838" spans="1:8" ht="15.6" x14ac:dyDescent="0.3">
      <c r="A9838" s="138" t="s">
        <v>6</v>
      </c>
      <c r="B9838" s="5"/>
      <c r="C9838" s="481" t="s">
        <v>7</v>
      </c>
      <c r="D9838" s="481"/>
      <c r="E9838" s="482">
        <v>213</v>
      </c>
      <c r="F9838" s="482"/>
      <c r="G9838" s="7" t="s">
        <v>8</v>
      </c>
      <c r="H9838" s="8">
        <v>46115</v>
      </c>
    </row>
    <row r="9839" spans="1:8" ht="15.6" x14ac:dyDescent="0.3">
      <c r="A9839" s="556" t="s">
        <v>177</v>
      </c>
      <c r="B9839" s="557"/>
      <c r="C9839" s="481" t="s">
        <v>10</v>
      </c>
      <c r="D9839" s="481"/>
      <c r="E9839" s="482"/>
      <c r="F9839" s="482"/>
      <c r="G9839" s="7" t="s">
        <v>8</v>
      </c>
      <c r="H9839" s="6"/>
    </row>
    <row r="9840" spans="1:8" ht="15.6" x14ac:dyDescent="0.3">
      <c r="A9840" s="577" t="s">
        <v>178</v>
      </c>
      <c r="B9840" s="578"/>
      <c r="C9840" s="481" t="s">
        <v>12</v>
      </c>
      <c r="D9840" s="481"/>
      <c r="E9840" s="482">
        <v>1111</v>
      </c>
      <c r="F9840" s="482"/>
      <c r="G9840" s="7" t="s">
        <v>8</v>
      </c>
      <c r="H9840" s="8" t="s">
        <v>1681</v>
      </c>
    </row>
    <row r="9841" spans="1:8" ht="15.6" x14ac:dyDescent="0.3">
      <c r="A9841" s="556" t="s">
        <v>179</v>
      </c>
      <c r="B9841" s="557"/>
      <c r="C9841" s="481" t="s">
        <v>15</v>
      </c>
      <c r="D9841" s="481"/>
      <c r="E9841" s="566" t="s">
        <v>180</v>
      </c>
      <c r="F9841" s="567"/>
      <c r="G9841" s="567"/>
      <c r="H9841" s="568"/>
    </row>
    <row r="9842" spans="1:8" ht="15.6" x14ac:dyDescent="0.3">
      <c r="A9842" s="558" t="s">
        <v>1682</v>
      </c>
      <c r="B9842" s="559"/>
      <c r="C9842" s="569"/>
      <c r="D9842" s="570"/>
      <c r="E9842" s="570"/>
      <c r="F9842" s="570"/>
      <c r="G9842" s="570"/>
      <c r="H9842" s="571"/>
    </row>
    <row r="9843" spans="1:8" ht="15" x14ac:dyDescent="0.3">
      <c r="A9843" s="492" t="s">
        <v>17</v>
      </c>
      <c r="B9843" s="494" t="s">
        <v>18</v>
      </c>
      <c r="C9843" s="494" t="s">
        <v>19</v>
      </c>
      <c r="D9843" s="494" t="s">
        <v>20</v>
      </c>
      <c r="E9843" s="494" t="s">
        <v>21</v>
      </c>
      <c r="F9843" s="494" t="s">
        <v>22</v>
      </c>
      <c r="G9843" s="494"/>
      <c r="H9843" s="492" t="s">
        <v>23</v>
      </c>
    </row>
    <row r="9844" spans="1:8" ht="27.6" x14ac:dyDescent="0.3">
      <c r="A9844" s="492"/>
      <c r="B9844" s="494"/>
      <c r="C9844" s="494"/>
      <c r="D9844" s="494"/>
      <c r="E9844" s="494"/>
      <c r="F9844" s="53" t="s">
        <v>24</v>
      </c>
      <c r="G9844" s="53" t="s">
        <v>25</v>
      </c>
      <c r="H9844" s="492"/>
    </row>
    <row r="9845" spans="1:8" x14ac:dyDescent="0.3">
      <c r="A9845" s="57">
        <v>1</v>
      </c>
      <c r="B9845" s="113" t="s">
        <v>1683</v>
      </c>
      <c r="C9845" s="57">
        <v>1</v>
      </c>
      <c r="D9845" s="170">
        <v>998719</v>
      </c>
      <c r="E9845">
        <v>10000</v>
      </c>
      <c r="F9845" s="58">
        <v>900</v>
      </c>
      <c r="G9845" s="58">
        <v>900</v>
      </c>
      <c r="H9845" s="59">
        <f>E9845*C9845+F9845+G9845</f>
        <v>11800</v>
      </c>
    </row>
    <row r="9846" spans="1:8" x14ac:dyDescent="0.3">
      <c r="A9846" s="57"/>
      <c r="B9846" s="60"/>
      <c r="C9846" s="57"/>
      <c r="D9846" s="56"/>
      <c r="E9846" s="57"/>
      <c r="F9846" s="58"/>
      <c r="G9846" s="58"/>
      <c r="H9846" s="59"/>
    </row>
    <row r="9847" spans="1:8" x14ac:dyDescent="0.3">
      <c r="A9847" s="55"/>
      <c r="B9847" s="63"/>
      <c r="C9847" s="55"/>
      <c r="D9847" s="56"/>
      <c r="E9847" s="55"/>
      <c r="F9847" s="58"/>
      <c r="G9847" s="58"/>
      <c r="H9847" s="59"/>
    </row>
    <row r="9848" spans="1:8" x14ac:dyDescent="0.3">
      <c r="A9848" s="90"/>
      <c r="B9848" s="132"/>
      <c r="C9848" s="24"/>
      <c r="D9848" s="164"/>
      <c r="E9848" s="24"/>
      <c r="F9848" s="165"/>
      <c r="G9848" s="165"/>
      <c r="H9848" s="166"/>
    </row>
    <row r="9849" spans="1:8" x14ac:dyDescent="0.3">
      <c r="A9849" s="90"/>
      <c r="B9849" s="132"/>
      <c r="C9849" s="24"/>
      <c r="D9849" s="164"/>
      <c r="E9849" s="57"/>
      <c r="F9849" s="165"/>
      <c r="G9849" s="165"/>
      <c r="H9849" s="166"/>
    </row>
    <row r="9850" spans="1:8" x14ac:dyDescent="0.3">
      <c r="A9850" s="90"/>
      <c r="B9850" s="132"/>
      <c r="C9850" s="24"/>
      <c r="D9850" s="164"/>
      <c r="E9850" s="24"/>
      <c r="F9850" s="165"/>
      <c r="G9850" s="165"/>
      <c r="H9850" s="166"/>
    </row>
    <row r="9851" spans="1:8" x14ac:dyDescent="0.3">
      <c r="A9851" s="27"/>
      <c r="B9851" s="132"/>
      <c r="C9851" s="24"/>
      <c r="D9851" s="25"/>
      <c r="E9851" s="25"/>
      <c r="F9851" s="165"/>
      <c r="G9851" s="165"/>
      <c r="H9851" s="166"/>
    </row>
    <row r="9852" spans="1:8" x14ac:dyDescent="0.3">
      <c r="A9852" s="27"/>
      <c r="B9852" s="28"/>
      <c r="C9852" s="24"/>
      <c r="D9852" s="25"/>
      <c r="E9852" s="25"/>
      <c r="F9852" s="165"/>
      <c r="G9852" s="165"/>
      <c r="H9852" s="166"/>
    </row>
    <row r="9853" spans="1:8" x14ac:dyDescent="0.3">
      <c r="A9853" s="27"/>
      <c r="B9853" s="28"/>
      <c r="C9853" s="24"/>
      <c r="D9853" s="25"/>
      <c r="E9853" s="25"/>
      <c r="F9853" s="165"/>
      <c r="G9853" s="165"/>
      <c r="H9853" s="166"/>
    </row>
    <row r="9854" spans="1:8" x14ac:dyDescent="0.3">
      <c r="A9854" s="27"/>
      <c r="B9854" s="28"/>
      <c r="C9854" s="24"/>
      <c r="D9854" s="25"/>
      <c r="E9854" s="25"/>
      <c r="F9854" s="165"/>
      <c r="G9854" s="165"/>
      <c r="H9854" s="166"/>
    </row>
    <row r="9855" spans="1:8" x14ac:dyDescent="0.3">
      <c r="A9855" s="27"/>
      <c r="B9855" s="28"/>
      <c r="C9855" s="24"/>
      <c r="D9855" s="25"/>
      <c r="E9855" s="25"/>
      <c r="F9855" s="165"/>
      <c r="G9855" s="165"/>
      <c r="H9855" s="166"/>
    </row>
    <row r="9856" spans="1:8" x14ac:dyDescent="0.3">
      <c r="A9856" s="27"/>
      <c r="B9856" s="28"/>
      <c r="C9856" s="24"/>
      <c r="D9856" s="25"/>
      <c r="E9856" s="25"/>
      <c r="F9856" s="165"/>
      <c r="G9856" s="165"/>
      <c r="H9856" s="166"/>
    </row>
    <row r="9857" spans="1:8" x14ac:dyDescent="0.3">
      <c r="A9857" s="27"/>
      <c r="B9857" s="28"/>
      <c r="C9857" s="24"/>
      <c r="D9857" s="25"/>
      <c r="E9857" s="25"/>
      <c r="F9857" s="28"/>
      <c r="G9857" s="28"/>
      <c r="H9857" s="32"/>
    </row>
    <row r="9858" spans="1:8" x14ac:dyDescent="0.3">
      <c r="A9858" s="27"/>
      <c r="B9858" s="28"/>
      <c r="C9858" s="24"/>
      <c r="D9858" s="25"/>
      <c r="E9858" s="25"/>
      <c r="F9858" s="28"/>
      <c r="G9858" s="28"/>
      <c r="H9858" s="32"/>
    </row>
    <row r="9859" spans="1:8" x14ac:dyDescent="0.3">
      <c r="A9859" s="27"/>
      <c r="B9859" s="28"/>
      <c r="C9859" s="24"/>
      <c r="D9859" s="25"/>
      <c r="E9859" s="25"/>
      <c r="F9859" s="28"/>
      <c r="G9859" s="28"/>
      <c r="H9859" s="32"/>
    </row>
    <row r="9860" spans="1:8" x14ac:dyDescent="0.3">
      <c r="A9860" s="27"/>
      <c r="B9860" s="28"/>
      <c r="C9860" s="24"/>
      <c r="D9860" s="25"/>
      <c r="E9860" s="25"/>
      <c r="F9860" s="28"/>
      <c r="G9860" s="28"/>
      <c r="H9860" s="32"/>
    </row>
    <row r="9861" spans="1:8" x14ac:dyDescent="0.3">
      <c r="A9861" s="27"/>
      <c r="B9861" s="28"/>
      <c r="C9861" s="24"/>
      <c r="D9861" s="25"/>
      <c r="E9861" s="25"/>
      <c r="F9861" s="28"/>
      <c r="G9861" s="28"/>
      <c r="H9861" s="32"/>
    </row>
    <row r="9862" spans="1:8" x14ac:dyDescent="0.3">
      <c r="A9862" s="27"/>
      <c r="B9862" s="28"/>
      <c r="C9862" s="24"/>
      <c r="D9862" s="25"/>
      <c r="E9862" s="25"/>
      <c r="F9862" s="28"/>
      <c r="G9862" s="28"/>
      <c r="H9862" s="32"/>
    </row>
    <row r="9863" spans="1:8" x14ac:dyDescent="0.3">
      <c r="A9863" s="27"/>
      <c r="B9863" s="28"/>
      <c r="C9863" s="24"/>
      <c r="D9863" s="25"/>
      <c r="E9863" s="25"/>
      <c r="F9863" s="28"/>
      <c r="G9863" s="28"/>
      <c r="H9863" s="32"/>
    </row>
    <row r="9864" spans="1:8" x14ac:dyDescent="0.3">
      <c r="A9864" s="27"/>
      <c r="B9864" s="28"/>
      <c r="C9864" s="24"/>
      <c r="D9864" s="25"/>
      <c r="E9864" s="25"/>
      <c r="F9864" s="28"/>
      <c r="G9864" s="28"/>
      <c r="H9864" s="32"/>
    </row>
    <row r="9865" spans="1:8" x14ac:dyDescent="0.3">
      <c r="A9865" s="27"/>
      <c r="B9865" s="28"/>
      <c r="C9865" s="24"/>
      <c r="D9865" s="25"/>
      <c r="E9865" s="25"/>
      <c r="F9865" s="28"/>
      <c r="G9865" s="28"/>
      <c r="H9865" s="32"/>
    </row>
    <row r="9866" spans="1:8" x14ac:dyDescent="0.3">
      <c r="A9866" s="27"/>
      <c r="B9866" s="28"/>
      <c r="C9866" s="24"/>
      <c r="D9866" s="25"/>
      <c r="E9866" s="25"/>
      <c r="F9866" s="28"/>
      <c r="G9866" s="28"/>
      <c r="H9866" s="32"/>
    </row>
    <row r="9867" spans="1:8" x14ac:dyDescent="0.3">
      <c r="A9867" s="27"/>
      <c r="B9867" s="28"/>
      <c r="C9867" s="24"/>
      <c r="D9867" s="25"/>
      <c r="E9867" s="25"/>
      <c r="F9867" s="28"/>
      <c r="G9867" s="28"/>
      <c r="H9867" s="32"/>
    </row>
    <row r="9868" spans="1:8" ht="15.6" x14ac:dyDescent="0.3">
      <c r="A9868" s="448" t="s">
        <v>45</v>
      </c>
      <c r="B9868" s="449"/>
      <c r="C9868" s="449"/>
      <c r="D9868" s="25"/>
      <c r="E9868" s="25"/>
      <c r="F9868" s="447" t="s">
        <v>46</v>
      </c>
      <c r="G9868" s="447"/>
      <c r="H9868" s="66">
        <v>10000</v>
      </c>
    </row>
    <row r="9869" spans="1:8" ht="15.6" x14ac:dyDescent="0.3">
      <c r="A9869" s="497" t="s">
        <v>1684</v>
      </c>
      <c r="B9869" s="498"/>
      <c r="C9869" s="498"/>
      <c r="D9869" s="498"/>
      <c r="E9869" s="498"/>
      <c r="F9869" s="447" t="s">
        <v>47</v>
      </c>
      <c r="G9869" s="447"/>
      <c r="H9869" s="66">
        <f>H9868*9%</f>
        <v>900</v>
      </c>
    </row>
    <row r="9870" spans="1:8" ht="15.6" x14ac:dyDescent="0.3">
      <c r="A9870" s="27"/>
      <c r="B9870" s="28"/>
      <c r="C9870" s="24"/>
      <c r="D9870" s="25"/>
      <c r="E9870" s="25"/>
      <c r="F9870" s="447" t="s">
        <v>48</v>
      </c>
      <c r="G9870" s="447"/>
      <c r="H9870" s="66">
        <f>H9868*9%</f>
        <v>900</v>
      </c>
    </row>
    <row r="9871" spans="1:8" ht="15.6" x14ac:dyDescent="0.3">
      <c r="A9871" s="448" t="s">
        <v>49</v>
      </c>
      <c r="B9871" s="449"/>
      <c r="C9871" s="449"/>
      <c r="D9871" s="449"/>
      <c r="E9871" s="25"/>
      <c r="F9871" s="447" t="s">
        <v>50</v>
      </c>
      <c r="G9871" s="447"/>
      <c r="H9871" s="66">
        <v>11800</v>
      </c>
    </row>
    <row r="9872" spans="1:8" ht="27" x14ac:dyDescent="0.3">
      <c r="A9872" s="68" t="s">
        <v>22</v>
      </c>
      <c r="B9872" s="69" t="s">
        <v>51</v>
      </c>
      <c r="C9872" s="70" t="s">
        <v>24</v>
      </c>
      <c r="D9872" s="31" t="s">
        <v>25</v>
      </c>
      <c r="E9872" s="450" t="s">
        <v>52</v>
      </c>
      <c r="F9872" s="450"/>
      <c r="G9872" s="28"/>
      <c r="H9872" s="32"/>
    </row>
    <row r="9873" spans="1:8" x14ac:dyDescent="0.3">
      <c r="A9873" s="72">
        <v>0.18</v>
      </c>
      <c r="B9873" s="73">
        <f>H9868</f>
        <v>10000</v>
      </c>
      <c r="C9873" s="74">
        <f>H9869</f>
        <v>900</v>
      </c>
      <c r="D9873" s="74">
        <f>H9870</f>
        <v>900</v>
      </c>
      <c r="E9873" s="507">
        <f>C9873+D9873</f>
        <v>1800</v>
      </c>
      <c r="F9873" s="507"/>
      <c r="G9873" s="74"/>
      <c r="H9873" s="75"/>
    </row>
    <row r="9874" spans="1:8" x14ac:dyDescent="0.3">
      <c r="A9874" s="452" t="s">
        <v>1685</v>
      </c>
      <c r="B9874" s="453"/>
      <c r="C9874" s="453"/>
      <c r="D9874" s="453"/>
      <c r="E9874" s="453"/>
      <c r="F9874" s="453"/>
      <c r="G9874" s="453"/>
      <c r="H9874" s="454"/>
    </row>
    <row r="9875" spans="1:8" ht="15.6" x14ac:dyDescent="0.3">
      <c r="A9875" s="455" t="s">
        <v>53</v>
      </c>
      <c r="B9875" s="456"/>
      <c r="C9875" s="456"/>
      <c r="D9875" s="457"/>
      <c r="E9875" s="458" t="s">
        <v>54</v>
      </c>
      <c r="F9875" s="459"/>
      <c r="G9875" s="459"/>
      <c r="H9875" s="460"/>
    </row>
    <row r="9876" spans="1:8" x14ac:dyDescent="0.3">
      <c r="A9876" s="461" t="s">
        <v>55</v>
      </c>
      <c r="B9876" s="462"/>
      <c r="C9876" s="462"/>
      <c r="D9876" s="463"/>
      <c r="E9876" s="39"/>
      <c r="F9876" s="28"/>
      <c r="G9876" s="28"/>
      <c r="H9876" s="32"/>
    </row>
    <row r="9877" spans="1:8" x14ac:dyDescent="0.3">
      <c r="A9877" s="461" t="s">
        <v>56</v>
      </c>
      <c r="B9877" s="462"/>
      <c r="C9877" s="462"/>
      <c r="D9877" s="463"/>
      <c r="E9877" s="39"/>
      <c r="F9877" s="28"/>
      <c r="G9877" s="28"/>
      <c r="H9877" s="32"/>
    </row>
    <row r="9878" spans="1:8" x14ac:dyDescent="0.3">
      <c r="A9878" s="461" t="s">
        <v>57</v>
      </c>
      <c r="B9878" s="462"/>
      <c r="C9878" s="462"/>
      <c r="D9878" s="463"/>
      <c r="E9878" s="167"/>
      <c r="H9878" s="168"/>
    </row>
    <row r="9879" spans="1:8" ht="15.6" x14ac:dyDescent="0.3">
      <c r="A9879" s="464" t="s">
        <v>58</v>
      </c>
      <c r="B9879" s="465"/>
      <c r="C9879" s="465"/>
      <c r="D9879" s="510"/>
      <c r="E9879" s="466" t="s">
        <v>59</v>
      </c>
      <c r="F9879" s="467"/>
      <c r="G9879" s="467"/>
      <c r="H9879" s="468"/>
    </row>
    <row r="9883" spans="1:8" ht="44.4" x14ac:dyDescent="0.7">
      <c r="A9883" s="469" t="s">
        <v>0</v>
      </c>
      <c r="B9883" s="470"/>
      <c r="C9883" s="470"/>
      <c r="D9883" s="470"/>
      <c r="E9883" s="471" t="s">
        <v>92</v>
      </c>
      <c r="F9883" s="472"/>
      <c r="G9883" s="472"/>
      <c r="H9883" s="473"/>
    </row>
    <row r="9884" spans="1:8" ht="20.399999999999999" x14ac:dyDescent="0.35">
      <c r="A9884" s="156"/>
      <c r="B9884" s="476" t="s">
        <v>2</v>
      </c>
      <c r="C9884" s="476"/>
      <c r="D9884" s="476"/>
      <c r="E9884" s="474"/>
      <c r="F9884" s="474"/>
      <c r="G9884" s="474"/>
      <c r="H9884" s="475"/>
    </row>
    <row r="9885" spans="1:8" x14ac:dyDescent="0.3">
      <c r="A9885" s="477" t="s">
        <v>3</v>
      </c>
      <c r="B9885" s="478"/>
      <c r="C9885" s="479" t="s">
        <v>4</v>
      </c>
      <c r="D9885" s="479"/>
      <c r="E9885" s="480" t="s">
        <v>5</v>
      </c>
      <c r="F9885" s="480"/>
      <c r="G9885" s="480"/>
      <c r="H9885" s="480"/>
    </row>
    <row r="9886" spans="1:8" ht="15.6" x14ac:dyDescent="0.3">
      <c r="A9886" s="158" t="s">
        <v>6</v>
      </c>
      <c r="B9886" s="5"/>
      <c r="C9886" s="481" t="s">
        <v>7</v>
      </c>
      <c r="D9886" s="481"/>
      <c r="E9886" s="482">
        <v>214</v>
      </c>
      <c r="F9886" s="482"/>
      <c r="G9886" s="7" t="s">
        <v>8</v>
      </c>
      <c r="H9886" s="8">
        <v>46115</v>
      </c>
    </row>
    <row r="9887" spans="1:8" ht="15.6" x14ac:dyDescent="0.3">
      <c r="A9887" s="500" t="s">
        <v>863</v>
      </c>
      <c r="B9887" s="501"/>
      <c r="C9887" s="481" t="s">
        <v>10</v>
      </c>
      <c r="D9887" s="481"/>
      <c r="E9887" s="482"/>
      <c r="F9887" s="482"/>
      <c r="G9887" s="7" t="s">
        <v>8</v>
      </c>
      <c r="H9887" s="6"/>
    </row>
    <row r="9888" spans="1:8" ht="15.6" x14ac:dyDescent="0.3">
      <c r="A9888" s="500" t="s">
        <v>864</v>
      </c>
      <c r="B9888" s="501"/>
      <c r="C9888" s="481" t="s">
        <v>12</v>
      </c>
      <c r="D9888" s="481"/>
      <c r="E9888" s="482" t="s">
        <v>546</v>
      </c>
      <c r="F9888" s="482"/>
      <c r="G9888" s="7" t="s">
        <v>8</v>
      </c>
      <c r="H9888" s="9"/>
    </row>
    <row r="9889" spans="1:8" ht="15.6" x14ac:dyDescent="0.3">
      <c r="A9889" s="500" t="s">
        <v>865</v>
      </c>
      <c r="B9889" s="501"/>
      <c r="C9889" s="481" t="s">
        <v>15</v>
      </c>
      <c r="D9889" s="481"/>
      <c r="E9889" s="536" t="s">
        <v>866</v>
      </c>
      <c r="F9889" s="617"/>
      <c r="G9889" s="617"/>
      <c r="H9889" s="516"/>
    </row>
    <row r="9890" spans="1:8" ht="15.6" x14ac:dyDescent="0.3">
      <c r="A9890" s="651" t="s">
        <v>867</v>
      </c>
      <c r="B9890" s="512"/>
      <c r="C9890" s="489"/>
      <c r="D9890" s="490"/>
      <c r="E9890" s="490"/>
      <c r="F9890" s="490"/>
      <c r="G9890" s="490"/>
      <c r="H9890" s="491"/>
    </row>
    <row r="9891" spans="1:8" ht="15" x14ac:dyDescent="0.3">
      <c r="A9891" s="492" t="s">
        <v>17</v>
      </c>
      <c r="B9891" s="494" t="s">
        <v>18</v>
      </c>
      <c r="C9891" s="494" t="s">
        <v>19</v>
      </c>
      <c r="D9891" s="494" t="s">
        <v>20</v>
      </c>
      <c r="E9891" s="494" t="s">
        <v>21</v>
      </c>
      <c r="F9891" s="494" t="s">
        <v>22</v>
      </c>
      <c r="G9891" s="494"/>
      <c r="H9891" s="492" t="s">
        <v>23</v>
      </c>
    </row>
    <row r="9892" spans="1:8" ht="27.6" x14ac:dyDescent="0.3">
      <c r="A9892" s="492"/>
      <c r="B9892" s="494"/>
      <c r="C9892" s="494"/>
      <c r="D9892" s="494"/>
      <c r="E9892" s="494"/>
      <c r="F9892" s="53" t="s">
        <v>24</v>
      </c>
      <c r="G9892" s="53" t="s">
        <v>25</v>
      </c>
      <c r="H9892" s="492"/>
    </row>
    <row r="9893" spans="1:8" x14ac:dyDescent="0.3">
      <c r="A9893" s="55">
        <v>1</v>
      </c>
      <c r="B9893" s="130" t="s">
        <v>1686</v>
      </c>
      <c r="C9893" s="55">
        <v>1</v>
      </c>
      <c r="D9893" s="55">
        <v>998719</v>
      </c>
      <c r="E9893" s="55">
        <v>4500</v>
      </c>
      <c r="F9893" s="93">
        <f>C9893*E9893*9%</f>
        <v>405</v>
      </c>
      <c r="G9893" s="93">
        <f>C9893*E9893*9%</f>
        <v>405</v>
      </c>
      <c r="H9893" s="62">
        <f>C9893*E9893+F9893+G9893</f>
        <v>5310</v>
      </c>
    </row>
    <row r="9894" spans="1:8" x14ac:dyDescent="0.3">
      <c r="A9894" s="55">
        <v>2</v>
      </c>
      <c r="B9894" s="130" t="s">
        <v>1687</v>
      </c>
      <c r="C9894" s="55">
        <v>1</v>
      </c>
      <c r="D9894" s="55">
        <v>988719</v>
      </c>
      <c r="E9894" s="55">
        <v>800</v>
      </c>
      <c r="F9894" s="93">
        <f>C9894*E9894*9%</f>
        <v>72</v>
      </c>
      <c r="G9894" s="93">
        <f>C9894*E9894*9%</f>
        <v>72</v>
      </c>
      <c r="H9894" s="62">
        <f>C9894*E9894+F9894+G9894</f>
        <v>944</v>
      </c>
    </row>
    <row r="9895" spans="1:8" x14ac:dyDescent="0.3">
      <c r="A9895" s="55">
        <v>3</v>
      </c>
      <c r="B9895" s="130" t="s">
        <v>1688</v>
      </c>
      <c r="C9895" s="55">
        <v>1</v>
      </c>
      <c r="D9895" s="55">
        <v>988719</v>
      </c>
      <c r="E9895" s="55">
        <v>2200</v>
      </c>
      <c r="F9895" s="93">
        <f t="shared" ref="F9895:F9896" si="264">C9895*E9895*9%</f>
        <v>198</v>
      </c>
      <c r="G9895" s="93">
        <f t="shared" ref="G9895:G9896" si="265">C9895*E9895*9%</f>
        <v>198</v>
      </c>
      <c r="H9895" s="62">
        <f t="shared" ref="H9895:H9896" si="266">C9895*E9895+F9895+G9895</f>
        <v>2596</v>
      </c>
    </row>
    <row r="9896" spans="1:8" x14ac:dyDescent="0.3">
      <c r="A9896" s="55">
        <v>4</v>
      </c>
      <c r="B9896" s="94" t="s">
        <v>1689</v>
      </c>
      <c r="C9896" s="55">
        <v>1</v>
      </c>
      <c r="D9896" s="55">
        <v>988719</v>
      </c>
      <c r="E9896" s="55">
        <v>4000</v>
      </c>
      <c r="F9896" s="93">
        <f t="shared" si="264"/>
        <v>360</v>
      </c>
      <c r="G9896" s="93">
        <f t="shared" si="265"/>
        <v>360</v>
      </c>
      <c r="H9896" s="62">
        <f t="shared" si="266"/>
        <v>4720</v>
      </c>
    </row>
    <row r="9897" spans="1:8" x14ac:dyDescent="0.3">
      <c r="A9897" s="159"/>
      <c r="B9897" s="28"/>
      <c r="C9897" s="24"/>
      <c r="D9897" s="25"/>
      <c r="E9897" s="25"/>
      <c r="F9897" s="25"/>
      <c r="G9897" s="28"/>
      <c r="H9897" s="32"/>
    </row>
    <row r="9898" spans="1:8" x14ac:dyDescent="0.3">
      <c r="A9898" s="159"/>
      <c r="B9898" s="28"/>
      <c r="C9898" s="24"/>
      <c r="D9898" s="25"/>
      <c r="E9898" s="25"/>
      <c r="F9898" s="25"/>
      <c r="G9898" s="28"/>
      <c r="H9898" s="32"/>
    </row>
    <row r="9899" spans="1:8" x14ac:dyDescent="0.3">
      <c r="A9899" s="159"/>
      <c r="B9899" s="28"/>
      <c r="C9899" s="24"/>
      <c r="D9899" s="25"/>
      <c r="E9899" s="25"/>
      <c r="F9899" s="25"/>
      <c r="G9899" s="28"/>
      <c r="H9899" s="32"/>
    </row>
    <row r="9900" spans="1:8" x14ac:dyDescent="0.3">
      <c r="A9900" s="159"/>
      <c r="B9900" s="28"/>
      <c r="C9900" s="24"/>
      <c r="D9900" s="25"/>
      <c r="E9900" s="25"/>
      <c r="F9900" s="25"/>
      <c r="G9900" s="28"/>
      <c r="H9900" s="32"/>
    </row>
    <row r="9901" spans="1:8" x14ac:dyDescent="0.3">
      <c r="A9901" s="159"/>
      <c r="B9901" s="28"/>
      <c r="C9901" s="24"/>
      <c r="D9901" s="25"/>
      <c r="E9901" s="25"/>
      <c r="F9901" s="25"/>
      <c r="G9901" s="28"/>
      <c r="H9901" s="32"/>
    </row>
    <row r="9902" spans="1:8" x14ac:dyDescent="0.3">
      <c r="A9902" s="159"/>
      <c r="B9902" s="28"/>
      <c r="C9902" s="24"/>
      <c r="D9902" s="25"/>
      <c r="E9902" s="25"/>
      <c r="F9902" s="25"/>
      <c r="G9902" s="28"/>
      <c r="H9902" s="32"/>
    </row>
    <row r="9903" spans="1:8" x14ac:dyDescent="0.3">
      <c r="A9903" s="159"/>
      <c r="B9903" s="28"/>
      <c r="C9903" s="24"/>
      <c r="D9903" s="25"/>
      <c r="E9903" s="25"/>
      <c r="F9903" s="25"/>
      <c r="G9903" s="28"/>
      <c r="H9903" s="32"/>
    </row>
    <row r="9904" spans="1:8" x14ac:dyDescent="0.3">
      <c r="A9904" s="159"/>
      <c r="B9904" s="28"/>
      <c r="C9904" s="24"/>
      <c r="D9904" s="25"/>
      <c r="E9904" s="25"/>
      <c r="F9904" s="25"/>
      <c r="G9904" s="28"/>
      <c r="H9904" s="32"/>
    </row>
    <row r="9905" spans="1:8" x14ac:dyDescent="0.3">
      <c r="A9905" s="159"/>
      <c r="B9905" s="28"/>
      <c r="C9905" s="24"/>
      <c r="D9905" s="25"/>
      <c r="E9905" s="25"/>
      <c r="F9905" s="25"/>
      <c r="G9905" s="28"/>
      <c r="H9905" s="32"/>
    </row>
    <row r="9906" spans="1:8" x14ac:dyDescent="0.3">
      <c r="A9906" s="159"/>
      <c r="B9906" s="28"/>
      <c r="C9906" s="24"/>
      <c r="D9906" s="25"/>
      <c r="E9906" s="25"/>
      <c r="F9906" s="25"/>
      <c r="G9906" s="28"/>
      <c r="H9906" s="32"/>
    </row>
    <row r="9907" spans="1:8" x14ac:dyDescent="0.3">
      <c r="A9907" s="159"/>
      <c r="B9907" s="28"/>
      <c r="C9907" s="24"/>
      <c r="D9907" s="25"/>
      <c r="E9907" s="25"/>
      <c r="F9907" s="25"/>
      <c r="G9907" s="28"/>
      <c r="H9907" s="32"/>
    </row>
    <row r="9908" spans="1:8" x14ac:dyDescent="0.3">
      <c r="A9908" s="159"/>
      <c r="B9908" s="28"/>
      <c r="C9908" s="24"/>
      <c r="D9908" s="25"/>
      <c r="E9908" s="25"/>
      <c r="F9908" s="25"/>
      <c r="G9908" s="28"/>
      <c r="H9908" s="32"/>
    </row>
    <row r="9909" spans="1:8" x14ac:dyDescent="0.3">
      <c r="A9909" s="159"/>
      <c r="B9909" s="28"/>
      <c r="C9909" s="24"/>
      <c r="D9909" s="25"/>
      <c r="E9909" s="25"/>
      <c r="F9909" s="25"/>
      <c r="G9909" s="28"/>
      <c r="H9909" s="32"/>
    </row>
    <row r="9910" spans="1:8" x14ac:dyDescent="0.3">
      <c r="A9910" s="159"/>
      <c r="B9910" s="28"/>
      <c r="C9910" s="24"/>
      <c r="D9910" s="25"/>
      <c r="E9910" s="25"/>
      <c r="F9910" s="25"/>
      <c r="G9910" s="28"/>
      <c r="H9910" s="32"/>
    </row>
    <row r="9911" spans="1:8" x14ac:dyDescent="0.3">
      <c r="A9911" s="159"/>
      <c r="B9911" s="28"/>
      <c r="C9911" s="24"/>
      <c r="D9911" s="25"/>
      <c r="E9911" s="25"/>
      <c r="F9911" s="25"/>
      <c r="G9911" s="28"/>
      <c r="H9911" s="32"/>
    </row>
    <row r="9912" spans="1:8" x14ac:dyDescent="0.3">
      <c r="A9912" s="159"/>
      <c r="B9912" s="28"/>
      <c r="C9912" s="24"/>
      <c r="D9912" s="25"/>
      <c r="E9912" s="25"/>
      <c r="F9912" s="25"/>
      <c r="G9912" s="28"/>
      <c r="H9912" s="32"/>
    </row>
    <row r="9913" spans="1:8" ht="15.6" x14ac:dyDescent="0.3">
      <c r="A9913" s="64" t="s">
        <v>45</v>
      </c>
      <c r="B9913" s="28"/>
      <c r="C9913" s="24"/>
      <c r="D9913" s="25"/>
      <c r="E9913" s="25"/>
      <c r="F9913" s="447" t="s">
        <v>46</v>
      </c>
      <c r="G9913" s="447"/>
      <c r="H9913" s="66">
        <v>11500</v>
      </c>
    </row>
    <row r="9914" spans="1:8" ht="15.6" x14ac:dyDescent="0.3">
      <c r="A9914" s="497" t="s">
        <v>1701</v>
      </c>
      <c r="B9914" s="498"/>
      <c r="C9914" s="498"/>
      <c r="D9914" s="498"/>
      <c r="E9914" s="498"/>
      <c r="F9914" s="447" t="s">
        <v>47</v>
      </c>
      <c r="G9914" s="447"/>
      <c r="H9914" s="66">
        <f>H9913*9%</f>
        <v>1035</v>
      </c>
    </row>
    <row r="9915" spans="1:8" ht="15.6" x14ac:dyDescent="0.3">
      <c r="A9915" s="159"/>
      <c r="B9915" s="28"/>
      <c r="C9915" s="24"/>
      <c r="D9915" s="25"/>
      <c r="E9915" s="25"/>
      <c r="F9915" s="447" t="s">
        <v>48</v>
      </c>
      <c r="G9915" s="447"/>
      <c r="H9915" s="66">
        <f>H9913*9%</f>
        <v>1035</v>
      </c>
    </row>
    <row r="9916" spans="1:8" ht="15.6" x14ac:dyDescent="0.3">
      <c r="A9916" s="64" t="s">
        <v>49</v>
      </c>
      <c r="B9916" s="28"/>
      <c r="C9916" s="24"/>
      <c r="D9916" s="25"/>
      <c r="E9916" s="25"/>
      <c r="F9916" s="447" t="s">
        <v>50</v>
      </c>
      <c r="G9916" s="447"/>
      <c r="H9916" s="66">
        <f>H9913+H9914+H9915</f>
        <v>13570</v>
      </c>
    </row>
    <row r="9917" spans="1:8" ht="26.4" x14ac:dyDescent="0.3">
      <c r="A9917" s="325" t="s">
        <v>22</v>
      </c>
      <c r="B9917" s="71" t="s">
        <v>51</v>
      </c>
      <c r="C9917" s="161" t="s">
        <v>24</v>
      </c>
      <c r="D9917" s="161" t="s">
        <v>25</v>
      </c>
      <c r="E9917" s="528" t="s">
        <v>52</v>
      </c>
      <c r="F9917" s="528"/>
      <c r="G9917" s="162"/>
      <c r="H9917" s="154"/>
    </row>
    <row r="9918" spans="1:8" x14ac:dyDescent="0.3">
      <c r="A9918" s="72">
        <v>0.18</v>
      </c>
      <c r="B9918" s="73">
        <f>H9913</f>
        <v>11500</v>
      </c>
      <c r="C9918" s="73">
        <f>H9914</f>
        <v>1035</v>
      </c>
      <c r="D9918" s="73">
        <f>H9914</f>
        <v>1035</v>
      </c>
      <c r="E9918" s="506">
        <f>C9918+D9918</f>
        <v>2070</v>
      </c>
      <c r="F9918" s="507"/>
      <c r="G9918" s="74"/>
      <c r="H9918" s="75"/>
    </row>
    <row r="9919" spans="1:8" x14ac:dyDescent="0.3">
      <c r="A9919" s="452" t="s">
        <v>1700</v>
      </c>
      <c r="B9919" s="453"/>
      <c r="C9919" s="453"/>
      <c r="D9919" s="453"/>
      <c r="E9919" s="453"/>
      <c r="F9919" s="453"/>
      <c r="G9919" s="453"/>
      <c r="H9919" s="454"/>
    </row>
    <row r="9920" spans="1:8" ht="15.6" x14ac:dyDescent="0.3">
      <c r="A9920" s="455" t="s">
        <v>53</v>
      </c>
      <c r="B9920" s="456"/>
      <c r="C9920" s="456"/>
      <c r="D9920" s="456"/>
      <c r="E9920" s="458" t="s">
        <v>54</v>
      </c>
      <c r="F9920" s="459"/>
      <c r="G9920" s="459"/>
      <c r="H9920" s="460"/>
    </row>
    <row r="9921" spans="1:8" x14ac:dyDescent="0.3">
      <c r="A9921" s="461" t="s">
        <v>55</v>
      </c>
      <c r="B9921" s="462"/>
      <c r="C9921" s="462"/>
      <c r="D9921" s="462"/>
      <c r="E9921" s="39"/>
      <c r="F9921" s="25"/>
      <c r="G9921" s="28"/>
      <c r="H9921" s="32"/>
    </row>
    <row r="9922" spans="1:8" x14ac:dyDescent="0.3">
      <c r="A9922" s="461" t="s">
        <v>56</v>
      </c>
      <c r="B9922" s="462"/>
      <c r="C9922" s="462"/>
      <c r="D9922" s="462"/>
      <c r="E9922" s="39"/>
      <c r="F9922" s="25"/>
      <c r="G9922" s="28"/>
      <c r="H9922" s="32"/>
    </row>
    <row r="9923" spans="1:8" x14ac:dyDescent="0.3">
      <c r="A9923" s="461" t="s">
        <v>57</v>
      </c>
      <c r="B9923" s="462"/>
      <c r="C9923" s="462"/>
      <c r="D9923" s="463"/>
      <c r="E9923" s="25"/>
      <c r="F9923" s="25"/>
      <c r="G9923" s="28"/>
      <c r="H9923" s="32"/>
    </row>
    <row r="9924" spans="1:8" ht="15.6" x14ac:dyDescent="0.3">
      <c r="A9924" s="464" t="s">
        <v>58</v>
      </c>
      <c r="B9924" s="465"/>
      <c r="C9924" s="465"/>
      <c r="D9924" s="465"/>
      <c r="E9924" s="466" t="s">
        <v>59</v>
      </c>
      <c r="F9924" s="467"/>
      <c r="G9924" s="467"/>
      <c r="H9924" s="468"/>
    </row>
    <row r="9929" spans="1:8" ht="44.4" x14ac:dyDescent="0.7">
      <c r="A9929" s="469" t="s">
        <v>0</v>
      </c>
      <c r="B9929" s="470"/>
      <c r="C9929" s="470"/>
      <c r="D9929" s="470"/>
      <c r="E9929" s="471" t="s">
        <v>92</v>
      </c>
      <c r="F9929" s="472"/>
      <c r="G9929" s="472"/>
      <c r="H9929" s="473"/>
    </row>
    <row r="9930" spans="1:8" ht="20.399999999999999" x14ac:dyDescent="0.35">
      <c r="A9930" s="156"/>
      <c r="B9930" s="476" t="s">
        <v>2</v>
      </c>
      <c r="C9930" s="476"/>
      <c r="D9930" s="476"/>
      <c r="E9930" s="474"/>
      <c r="F9930" s="474"/>
      <c r="G9930" s="474"/>
      <c r="H9930" s="475"/>
    </row>
    <row r="9931" spans="1:8" x14ac:dyDescent="0.3">
      <c r="A9931" s="477" t="s">
        <v>3</v>
      </c>
      <c r="B9931" s="478"/>
      <c r="C9931" s="479" t="s">
        <v>4</v>
      </c>
      <c r="D9931" s="479"/>
      <c r="E9931" s="480" t="s">
        <v>5</v>
      </c>
      <c r="F9931" s="480"/>
      <c r="G9931" s="480"/>
      <c r="H9931" s="480"/>
    </row>
    <row r="9932" spans="1:8" ht="15.6" x14ac:dyDescent="0.3">
      <c r="A9932" s="158" t="s">
        <v>6</v>
      </c>
      <c r="B9932" s="5"/>
      <c r="C9932" s="481" t="s">
        <v>7</v>
      </c>
      <c r="D9932" s="481"/>
      <c r="E9932" s="482">
        <v>215</v>
      </c>
      <c r="F9932" s="482"/>
      <c r="G9932" s="7" t="s">
        <v>8</v>
      </c>
      <c r="H9932" s="8">
        <v>46115</v>
      </c>
    </row>
    <row r="9933" spans="1:8" ht="15.6" x14ac:dyDescent="0.3">
      <c r="A9933" s="500" t="s">
        <v>1690</v>
      </c>
      <c r="B9933" s="501"/>
      <c r="C9933" s="481" t="s">
        <v>10</v>
      </c>
      <c r="D9933" s="481"/>
      <c r="E9933" s="482"/>
      <c r="F9933" s="482"/>
      <c r="G9933" s="7" t="s">
        <v>8</v>
      </c>
      <c r="H9933" s="6"/>
    </row>
    <row r="9934" spans="1:8" ht="15.6" x14ac:dyDescent="0.3">
      <c r="A9934" s="500" t="s">
        <v>1691</v>
      </c>
      <c r="B9934" s="501"/>
      <c r="C9934" s="481" t="s">
        <v>12</v>
      </c>
      <c r="D9934" s="481"/>
      <c r="E9934" s="482" t="s">
        <v>546</v>
      </c>
      <c r="F9934" s="482"/>
      <c r="G9934" s="7" t="s">
        <v>8</v>
      </c>
      <c r="H9934" s="9"/>
    </row>
    <row r="9935" spans="1:8" ht="15.6" x14ac:dyDescent="0.3">
      <c r="A9935" s="500" t="s">
        <v>1692</v>
      </c>
      <c r="B9935" s="501"/>
      <c r="C9935" s="481" t="s">
        <v>15</v>
      </c>
      <c r="D9935" s="481"/>
      <c r="E9935" s="536" t="s">
        <v>1698</v>
      </c>
      <c r="F9935" s="617"/>
      <c r="G9935" s="617"/>
      <c r="H9935" s="516"/>
    </row>
    <row r="9936" spans="1:8" ht="15.6" x14ac:dyDescent="0.3">
      <c r="A9936" s="651" t="s">
        <v>1693</v>
      </c>
      <c r="B9936" s="512"/>
      <c r="C9936" s="489"/>
      <c r="D9936" s="490"/>
      <c r="E9936" s="490"/>
      <c r="F9936" s="490"/>
      <c r="G9936" s="490"/>
      <c r="H9936" s="491"/>
    </row>
    <row r="9937" spans="1:9" ht="15" x14ac:dyDescent="0.3">
      <c r="A9937" s="492" t="s">
        <v>17</v>
      </c>
      <c r="B9937" s="494" t="s">
        <v>18</v>
      </c>
      <c r="C9937" s="494" t="s">
        <v>19</v>
      </c>
      <c r="D9937" s="494" t="s">
        <v>20</v>
      </c>
      <c r="E9937" s="494" t="s">
        <v>21</v>
      </c>
      <c r="F9937" s="494" t="s">
        <v>22</v>
      </c>
      <c r="G9937" s="494"/>
      <c r="H9937" s="492" t="s">
        <v>23</v>
      </c>
    </row>
    <row r="9938" spans="1:9" ht="27.6" x14ac:dyDescent="0.3">
      <c r="A9938" s="492"/>
      <c r="B9938" s="494"/>
      <c r="C9938" s="494"/>
      <c r="D9938" s="494"/>
      <c r="E9938" s="494"/>
      <c r="F9938" s="53" t="s">
        <v>24</v>
      </c>
      <c r="G9938" s="53" t="s">
        <v>25</v>
      </c>
      <c r="H9938" s="492"/>
    </row>
    <row r="9939" spans="1:9" x14ac:dyDescent="0.3">
      <c r="A9939" s="55">
        <v>1</v>
      </c>
      <c r="B9939" s="130" t="s">
        <v>1694</v>
      </c>
      <c r="C9939" s="55">
        <v>1</v>
      </c>
      <c r="D9939" s="356">
        <v>85362020</v>
      </c>
      <c r="E9939" s="55">
        <v>11767</v>
      </c>
      <c r="F9939" s="93">
        <f>C9939*E9939*9%</f>
        <v>1059.03</v>
      </c>
      <c r="G9939" s="93">
        <f>C9939*E9939*9%</f>
        <v>1059.03</v>
      </c>
      <c r="H9939" s="62">
        <f>C9939*E9939+F9939+G9939</f>
        <v>13885.060000000001</v>
      </c>
      <c r="I9939" s="362">
        <f>E9939*C9939</f>
        <v>11767</v>
      </c>
    </row>
    <row r="9940" spans="1:9" x14ac:dyDescent="0.3">
      <c r="A9940" s="55">
        <v>2</v>
      </c>
      <c r="B9940" s="130" t="s">
        <v>235</v>
      </c>
      <c r="C9940" s="55">
        <v>8</v>
      </c>
      <c r="D9940" s="356">
        <v>85446020</v>
      </c>
      <c r="E9940" s="55">
        <v>755</v>
      </c>
      <c r="F9940" s="93">
        <f>C9940*E9940*9%</f>
        <v>543.6</v>
      </c>
      <c r="G9940" s="93">
        <f>C9940*E9940*9%</f>
        <v>543.6</v>
      </c>
      <c r="H9940" s="62">
        <f>C9940*E9940+F9940+G9940</f>
        <v>7127.2000000000007</v>
      </c>
      <c r="I9940" s="362">
        <f t="shared" ref="I9940:I9942" si="267">E9940*C9940</f>
        <v>6040</v>
      </c>
    </row>
    <row r="9941" spans="1:9" x14ac:dyDescent="0.3">
      <c r="A9941" s="55">
        <v>3</v>
      </c>
      <c r="B9941" s="130" t="s">
        <v>534</v>
      </c>
      <c r="C9941" s="55">
        <v>1</v>
      </c>
      <c r="D9941" s="357">
        <v>988719</v>
      </c>
      <c r="E9941" s="55">
        <v>2200</v>
      </c>
      <c r="F9941" s="93">
        <f t="shared" ref="F9941" si="268">C9941*E9941*9%</f>
        <v>198</v>
      </c>
      <c r="G9941" s="93">
        <f t="shared" ref="G9941" si="269">C9941*E9941*9%</f>
        <v>198</v>
      </c>
      <c r="H9941" s="62">
        <f t="shared" ref="H9941" si="270">C9941*E9941+F9941+G9941</f>
        <v>2596</v>
      </c>
      <c r="I9941" s="362">
        <f t="shared" si="267"/>
        <v>2200</v>
      </c>
    </row>
    <row r="9942" spans="1:9" x14ac:dyDescent="0.3">
      <c r="A9942" s="55">
        <v>4</v>
      </c>
      <c r="B9942" s="94" t="s">
        <v>1695</v>
      </c>
      <c r="C9942" s="55">
        <v>16</v>
      </c>
      <c r="D9942" s="356">
        <v>85369090</v>
      </c>
      <c r="E9942" s="55">
        <v>62.5</v>
      </c>
      <c r="F9942" s="93">
        <f t="shared" ref="F9942" si="271">C9942*E9942*9%</f>
        <v>90</v>
      </c>
      <c r="G9942" s="93">
        <f t="shared" ref="G9942" si="272">C9942*E9942*9%</f>
        <v>90</v>
      </c>
      <c r="H9942" s="62">
        <f t="shared" ref="H9942" si="273">C9942*E9942+F9942+G9942</f>
        <v>1180</v>
      </c>
      <c r="I9942" s="362">
        <f t="shared" si="267"/>
        <v>1000</v>
      </c>
    </row>
    <row r="9943" spans="1:9" x14ac:dyDescent="0.3">
      <c r="A9943" s="159"/>
      <c r="B9943" s="28"/>
      <c r="C9943" s="24"/>
      <c r="D9943" s="25"/>
      <c r="E9943" s="25"/>
      <c r="F9943" s="25"/>
      <c r="G9943" s="28"/>
      <c r="H9943" s="32"/>
    </row>
    <row r="9944" spans="1:9" x14ac:dyDescent="0.3">
      <c r="A9944" s="159"/>
      <c r="B9944" s="28"/>
      <c r="C9944" s="24"/>
      <c r="D9944" s="25"/>
      <c r="E9944" s="25"/>
      <c r="F9944" s="25"/>
      <c r="G9944" s="28"/>
      <c r="H9944" s="32"/>
    </row>
    <row r="9945" spans="1:9" x14ac:dyDescent="0.3">
      <c r="A9945" s="159"/>
      <c r="B9945" s="28"/>
      <c r="C9945" s="24"/>
      <c r="D9945" s="25"/>
      <c r="E9945" s="25"/>
      <c r="F9945" s="25"/>
      <c r="G9945" s="28"/>
      <c r="H9945" s="32"/>
    </row>
    <row r="9946" spans="1:9" x14ac:dyDescent="0.3">
      <c r="A9946" s="159"/>
      <c r="B9946" s="28"/>
      <c r="C9946" s="24"/>
      <c r="D9946" s="25"/>
      <c r="E9946" s="25"/>
      <c r="F9946" s="25"/>
      <c r="G9946" s="28"/>
      <c r="H9946" s="32"/>
    </row>
    <row r="9947" spans="1:9" x14ac:dyDescent="0.3">
      <c r="A9947" s="159"/>
      <c r="B9947" s="28"/>
      <c r="C9947" s="24"/>
      <c r="D9947" s="25"/>
      <c r="E9947" s="25"/>
      <c r="F9947" s="25"/>
      <c r="G9947" s="28"/>
      <c r="H9947" s="32"/>
    </row>
    <row r="9948" spans="1:9" x14ac:dyDescent="0.3">
      <c r="A9948" s="159"/>
      <c r="B9948" s="28"/>
      <c r="C9948" s="24"/>
      <c r="D9948" s="25"/>
      <c r="E9948" s="25"/>
      <c r="F9948" s="25"/>
      <c r="G9948" s="28"/>
      <c r="H9948" s="32"/>
    </row>
    <row r="9949" spans="1:9" x14ac:dyDescent="0.3">
      <c r="A9949" s="159"/>
      <c r="B9949" s="28"/>
      <c r="C9949" s="24"/>
      <c r="D9949" s="25"/>
      <c r="E9949" s="25"/>
      <c r="F9949" s="25"/>
      <c r="G9949" s="28"/>
      <c r="H9949" s="32"/>
    </row>
    <row r="9950" spans="1:9" x14ac:dyDescent="0.3">
      <c r="A9950" s="159"/>
      <c r="B9950" s="28"/>
      <c r="C9950" s="24"/>
      <c r="D9950" s="25"/>
      <c r="E9950" s="25"/>
      <c r="F9950" s="25"/>
      <c r="G9950" s="28"/>
      <c r="H9950" s="32"/>
    </row>
    <row r="9951" spans="1:9" x14ac:dyDescent="0.3">
      <c r="A9951" s="159"/>
      <c r="B9951" s="28"/>
      <c r="C9951" s="24"/>
      <c r="D9951" s="25"/>
      <c r="E9951" s="25"/>
      <c r="F9951" s="25"/>
      <c r="G9951" s="28"/>
      <c r="H9951" s="32"/>
    </row>
    <row r="9952" spans="1:9" x14ac:dyDescent="0.3">
      <c r="A9952" s="159"/>
      <c r="B9952" s="28"/>
      <c r="C9952" s="24"/>
      <c r="D9952" s="25"/>
      <c r="E9952" s="25"/>
      <c r="F9952" s="25"/>
      <c r="G9952" s="28"/>
      <c r="H9952" s="32"/>
    </row>
    <row r="9953" spans="1:8" x14ac:dyDescent="0.3">
      <c r="A9953" s="159"/>
      <c r="B9953" s="28"/>
      <c r="C9953" s="24"/>
      <c r="D9953" s="25"/>
      <c r="E9953" s="25"/>
      <c r="F9953" s="25"/>
      <c r="G9953" s="28"/>
      <c r="H9953" s="32"/>
    </row>
    <row r="9954" spans="1:8" x14ac:dyDescent="0.3">
      <c r="A9954" s="159"/>
      <c r="B9954" s="28"/>
      <c r="C9954" s="24"/>
      <c r="D9954" s="25"/>
      <c r="E9954" s="25"/>
      <c r="F9954" s="25"/>
      <c r="G9954" s="28"/>
      <c r="H9954" s="32"/>
    </row>
    <row r="9955" spans="1:8" x14ac:dyDescent="0.3">
      <c r="A9955" s="159"/>
      <c r="B9955" s="28"/>
      <c r="C9955" s="24"/>
      <c r="D9955" s="25"/>
      <c r="E9955" s="25"/>
      <c r="F9955" s="25"/>
      <c r="G9955" s="28"/>
      <c r="H9955" s="32"/>
    </row>
    <row r="9956" spans="1:8" x14ac:dyDescent="0.3">
      <c r="A9956" s="159"/>
      <c r="B9956" s="28"/>
      <c r="C9956" s="24"/>
      <c r="D9956" s="25"/>
      <c r="E9956" s="25"/>
      <c r="F9956" s="25"/>
      <c r="G9956" s="28"/>
      <c r="H9956" s="32"/>
    </row>
    <row r="9957" spans="1:8" x14ac:dyDescent="0.3">
      <c r="A9957" s="159"/>
      <c r="B9957" s="28"/>
      <c r="C9957" s="24"/>
      <c r="D9957" s="25"/>
      <c r="E9957" s="25"/>
      <c r="F9957" s="25"/>
      <c r="G9957" s="28"/>
      <c r="H9957" s="32"/>
    </row>
    <row r="9958" spans="1:8" x14ac:dyDescent="0.3">
      <c r="A9958" s="159"/>
      <c r="B9958" s="28"/>
      <c r="C9958" s="24"/>
      <c r="D9958" s="25"/>
      <c r="E9958" s="25"/>
      <c r="F9958" s="25"/>
      <c r="G9958" s="28"/>
      <c r="H9958" s="32"/>
    </row>
    <row r="9959" spans="1:8" ht="15.6" x14ac:dyDescent="0.3">
      <c r="A9959" s="64" t="s">
        <v>45</v>
      </c>
      <c r="B9959" s="28"/>
      <c r="C9959" s="24"/>
      <c r="D9959" s="25"/>
      <c r="E9959" s="25"/>
      <c r="F9959" s="447" t="s">
        <v>46</v>
      </c>
      <c r="G9959" s="447"/>
      <c r="H9959" s="66">
        <v>21007</v>
      </c>
    </row>
    <row r="9960" spans="1:8" ht="15.6" x14ac:dyDescent="0.3">
      <c r="A9960" s="497" t="s">
        <v>1696</v>
      </c>
      <c r="B9960" s="498"/>
      <c r="C9960" s="498"/>
      <c r="D9960" s="498"/>
      <c r="E9960" s="498"/>
      <c r="F9960" s="447" t="s">
        <v>47</v>
      </c>
      <c r="G9960" s="447"/>
      <c r="H9960" s="66">
        <f>H9959*9%</f>
        <v>1890.6299999999999</v>
      </c>
    </row>
    <row r="9961" spans="1:8" ht="15.6" x14ac:dyDescent="0.3">
      <c r="A9961" s="159"/>
      <c r="B9961" s="28"/>
      <c r="C9961" s="24"/>
      <c r="D9961" s="25"/>
      <c r="E9961" s="25"/>
      <c r="F9961" s="447" t="s">
        <v>48</v>
      </c>
      <c r="G9961" s="447"/>
      <c r="H9961" s="66">
        <f>H9959*9%</f>
        <v>1890.6299999999999</v>
      </c>
    </row>
    <row r="9962" spans="1:8" ht="15.6" x14ac:dyDescent="0.3">
      <c r="A9962" s="64" t="s">
        <v>49</v>
      </c>
      <c r="B9962" s="28"/>
      <c r="C9962" s="24"/>
      <c r="D9962" s="25"/>
      <c r="E9962" s="25"/>
      <c r="F9962" s="447" t="s">
        <v>50</v>
      </c>
      <c r="G9962" s="447"/>
      <c r="H9962" s="66">
        <v>24788</v>
      </c>
    </row>
    <row r="9963" spans="1:8" ht="26.4" x14ac:dyDescent="0.3">
      <c r="A9963" s="325" t="s">
        <v>22</v>
      </c>
      <c r="B9963" s="71" t="s">
        <v>51</v>
      </c>
      <c r="C9963" s="161" t="s">
        <v>24</v>
      </c>
      <c r="D9963" s="161" t="s">
        <v>25</v>
      </c>
      <c r="E9963" s="528" t="s">
        <v>52</v>
      </c>
      <c r="F9963" s="528"/>
      <c r="G9963" s="162"/>
      <c r="H9963" s="154"/>
    </row>
    <row r="9964" spans="1:8" x14ac:dyDescent="0.3">
      <c r="A9964" s="72">
        <v>0.18</v>
      </c>
      <c r="B9964" s="73">
        <f>H9959</f>
        <v>21007</v>
      </c>
      <c r="C9964" s="73">
        <f>H9960</f>
        <v>1890.6299999999999</v>
      </c>
      <c r="D9964" s="73">
        <f>H9960</f>
        <v>1890.6299999999999</v>
      </c>
      <c r="E9964" s="506">
        <f>C9964+D9964</f>
        <v>3781.2599999999998</v>
      </c>
      <c r="F9964" s="507"/>
      <c r="G9964" s="74"/>
      <c r="H9964" s="75"/>
    </row>
    <row r="9965" spans="1:8" x14ac:dyDescent="0.3">
      <c r="A9965" s="452" t="s">
        <v>1697</v>
      </c>
      <c r="B9965" s="453"/>
      <c r="C9965" s="453"/>
      <c r="D9965" s="453"/>
      <c r="E9965" s="453"/>
      <c r="F9965" s="453"/>
      <c r="G9965" s="453"/>
      <c r="H9965" s="454"/>
    </row>
    <row r="9966" spans="1:8" ht="15.6" x14ac:dyDescent="0.3">
      <c r="A9966" s="455" t="s">
        <v>53</v>
      </c>
      <c r="B9966" s="456"/>
      <c r="C9966" s="456"/>
      <c r="D9966" s="456"/>
      <c r="E9966" s="458" t="s">
        <v>54</v>
      </c>
      <c r="F9966" s="459"/>
      <c r="G9966" s="459"/>
      <c r="H9966" s="460"/>
    </row>
    <row r="9967" spans="1:8" x14ac:dyDescent="0.3">
      <c r="A9967" s="461" t="s">
        <v>55</v>
      </c>
      <c r="B9967" s="462"/>
      <c r="C9967" s="462"/>
      <c r="D9967" s="462"/>
      <c r="E9967" s="39"/>
      <c r="F9967" s="25"/>
      <c r="G9967" s="28"/>
      <c r="H9967" s="32"/>
    </row>
    <row r="9968" spans="1:8" x14ac:dyDescent="0.3">
      <c r="A9968" s="461" t="s">
        <v>56</v>
      </c>
      <c r="B9968" s="462"/>
      <c r="C9968" s="462"/>
      <c r="D9968" s="462"/>
      <c r="E9968" s="39"/>
      <c r="F9968" s="25"/>
      <c r="G9968" s="28"/>
      <c r="H9968" s="32"/>
    </row>
    <row r="9969" spans="1:8" x14ac:dyDescent="0.3">
      <c r="A9969" s="461" t="s">
        <v>57</v>
      </c>
      <c r="B9969" s="462"/>
      <c r="C9969" s="462"/>
      <c r="D9969" s="463"/>
      <c r="E9969" s="25"/>
      <c r="F9969" s="25"/>
      <c r="G9969" s="28"/>
      <c r="H9969" s="32"/>
    </row>
    <row r="9970" spans="1:8" ht="15.6" x14ac:dyDescent="0.3">
      <c r="A9970" s="464" t="s">
        <v>58</v>
      </c>
      <c r="B9970" s="465"/>
      <c r="C9970" s="465"/>
      <c r="D9970" s="465"/>
      <c r="E9970" s="466" t="s">
        <v>59</v>
      </c>
      <c r="F9970" s="467"/>
      <c r="G9970" s="467"/>
      <c r="H9970" s="468"/>
    </row>
    <row r="9974" spans="1:8" ht="44.4" x14ac:dyDescent="0.7">
      <c r="A9974" s="469" t="s">
        <v>0</v>
      </c>
      <c r="B9974" s="470"/>
      <c r="C9974" s="470"/>
      <c r="D9974" s="470"/>
      <c r="E9974" s="471" t="s">
        <v>1</v>
      </c>
      <c r="F9974" s="472"/>
      <c r="G9974" s="472"/>
      <c r="H9974" s="473"/>
    </row>
    <row r="9975" spans="1:8" ht="20.399999999999999" x14ac:dyDescent="0.35">
      <c r="A9975" s="156"/>
      <c r="B9975" s="476" t="s">
        <v>2</v>
      </c>
      <c r="C9975" s="476"/>
      <c r="D9975" s="476"/>
      <c r="E9975" s="474"/>
      <c r="F9975" s="474"/>
      <c r="G9975" s="474"/>
      <c r="H9975" s="475"/>
    </row>
    <row r="9976" spans="1:8" x14ac:dyDescent="0.3">
      <c r="A9976" s="157" t="s">
        <v>3</v>
      </c>
      <c r="B9976" s="137"/>
      <c r="C9976" s="136"/>
      <c r="D9976" s="499" t="s">
        <v>4</v>
      </c>
      <c r="E9976" s="499"/>
      <c r="F9976" s="137"/>
      <c r="G9976" s="137" t="s">
        <v>134</v>
      </c>
      <c r="H9976" s="120"/>
    </row>
    <row r="9977" spans="1:8" ht="15.6" x14ac:dyDescent="0.3">
      <c r="A9977" s="158" t="s">
        <v>6</v>
      </c>
      <c r="B9977" s="5"/>
      <c r="C9977" s="481" t="s">
        <v>7</v>
      </c>
      <c r="D9977" s="481"/>
      <c r="E9977" s="482">
        <v>216</v>
      </c>
      <c r="F9977" s="482"/>
      <c r="G9977" s="7" t="s">
        <v>8</v>
      </c>
      <c r="H9977" s="9">
        <v>46115</v>
      </c>
    </row>
    <row r="9978" spans="1:8" ht="15.6" x14ac:dyDescent="0.3">
      <c r="A9978" s="551" t="s">
        <v>217</v>
      </c>
      <c r="B9978" s="552"/>
      <c r="C9978" s="481" t="s">
        <v>10</v>
      </c>
      <c r="D9978" s="481"/>
      <c r="E9978" s="482"/>
      <c r="F9978" s="482"/>
      <c r="G9978" s="7" t="s">
        <v>8</v>
      </c>
      <c r="H9978" s="9"/>
    </row>
    <row r="9979" spans="1:8" ht="15" x14ac:dyDescent="0.3">
      <c r="A9979" s="517" t="s">
        <v>218</v>
      </c>
      <c r="B9979" s="553"/>
      <c r="C9979" s="483" t="s">
        <v>12</v>
      </c>
      <c r="D9979" s="484"/>
      <c r="E9979" s="584"/>
      <c r="F9979" s="585"/>
      <c r="G9979" s="10" t="s">
        <v>8</v>
      </c>
      <c r="H9979" s="82"/>
    </row>
    <row r="9980" spans="1:8" ht="15.6" x14ac:dyDescent="0.3">
      <c r="A9980" s="556" t="s">
        <v>219</v>
      </c>
      <c r="B9980" s="557"/>
      <c r="C9980" s="481" t="s">
        <v>15</v>
      </c>
      <c r="D9980" s="481"/>
      <c r="E9980" s="502" t="s">
        <v>220</v>
      </c>
      <c r="F9980" s="503"/>
      <c r="G9980" s="503"/>
      <c r="H9980" s="504"/>
    </row>
    <row r="9981" spans="1:8" ht="15.6" x14ac:dyDescent="0.3">
      <c r="A9981" s="558" t="s">
        <v>222</v>
      </c>
      <c r="B9981" s="559"/>
      <c r="C9981" s="489"/>
      <c r="D9981" s="490"/>
      <c r="E9981" s="490"/>
      <c r="F9981" s="490"/>
      <c r="G9981" s="490"/>
      <c r="H9981" s="491"/>
    </row>
    <row r="9982" spans="1:8" ht="15" x14ac:dyDescent="0.3">
      <c r="A9982" s="492" t="s">
        <v>17</v>
      </c>
      <c r="B9982" s="494" t="s">
        <v>18</v>
      </c>
      <c r="C9982" s="494" t="s">
        <v>19</v>
      </c>
      <c r="D9982" s="494" t="s">
        <v>20</v>
      </c>
      <c r="E9982" s="494" t="s">
        <v>21</v>
      </c>
      <c r="F9982" s="494" t="s">
        <v>22</v>
      </c>
      <c r="G9982" s="494"/>
      <c r="H9982" s="492" t="s">
        <v>23</v>
      </c>
    </row>
    <row r="9983" spans="1:8" ht="27.6" x14ac:dyDescent="0.3">
      <c r="A9983" s="492"/>
      <c r="B9983" s="494"/>
      <c r="C9983" s="494"/>
      <c r="D9983" s="494"/>
      <c r="E9983" s="494"/>
      <c r="F9983" s="53" t="s">
        <v>24</v>
      </c>
      <c r="G9983" s="53" t="s">
        <v>25</v>
      </c>
      <c r="H9983" s="492"/>
    </row>
    <row r="9984" spans="1:8" x14ac:dyDescent="0.3">
      <c r="A9984" s="57">
        <v>1</v>
      </c>
      <c r="B9984" s="60" t="s">
        <v>1699</v>
      </c>
      <c r="C9984" s="57">
        <v>1</v>
      </c>
      <c r="D9984" s="83">
        <v>998719</v>
      </c>
      <c r="E9984" s="57">
        <v>6000</v>
      </c>
      <c r="F9984" s="58">
        <f>E9984*C9984*9%</f>
        <v>540</v>
      </c>
      <c r="G9984" s="58">
        <f>F9984</f>
        <v>540</v>
      </c>
      <c r="H9984" s="59">
        <f>G9984+F9984+E9984*C9984</f>
        <v>7080</v>
      </c>
    </row>
    <row r="9985" spans="1:8" x14ac:dyDescent="0.3">
      <c r="A9985" s="57">
        <v>2</v>
      </c>
      <c r="B9985" s="60" t="s">
        <v>224</v>
      </c>
      <c r="C9985" s="57">
        <v>1</v>
      </c>
      <c r="D9985" s="83">
        <v>998719</v>
      </c>
      <c r="E9985" s="57">
        <v>1500</v>
      </c>
      <c r="F9985" s="58">
        <f>E9985*C9985*9%</f>
        <v>135</v>
      </c>
      <c r="G9985" s="58">
        <f>F9985</f>
        <v>135</v>
      </c>
      <c r="H9985" s="59">
        <f>G9985+F9985+E9985*C9985</f>
        <v>1770</v>
      </c>
    </row>
    <row r="9986" spans="1:8" x14ac:dyDescent="0.3">
      <c r="A9986" s="57">
        <v>3</v>
      </c>
      <c r="B9986" s="60" t="s">
        <v>225</v>
      </c>
      <c r="C9986" s="57">
        <v>1</v>
      </c>
      <c r="D9986" s="83">
        <v>998719</v>
      </c>
      <c r="E9986" s="57">
        <v>28000</v>
      </c>
      <c r="F9986" s="58">
        <f>E9986*C9986*9%</f>
        <v>2520</v>
      </c>
      <c r="G9986" s="58">
        <f>F9986</f>
        <v>2520</v>
      </c>
      <c r="H9986" s="59">
        <f>G9986+F9986+E9986*C9986</f>
        <v>33040</v>
      </c>
    </row>
    <row r="9987" spans="1:8" x14ac:dyDescent="0.3">
      <c r="A9987" s="57">
        <v>4</v>
      </c>
      <c r="B9987" s="60" t="s">
        <v>1702</v>
      </c>
      <c r="C9987" s="57">
        <v>1</v>
      </c>
      <c r="D9987" s="83">
        <v>8538</v>
      </c>
      <c r="E9987" s="57">
        <v>2200</v>
      </c>
      <c r="F9987" s="58">
        <f>E9987*C9987*9%</f>
        <v>198</v>
      </c>
      <c r="G9987" s="58">
        <f>F9987</f>
        <v>198</v>
      </c>
      <c r="H9987" s="59">
        <f>G9987+F9987+E9987*C9987</f>
        <v>2596</v>
      </c>
    </row>
    <row r="9988" spans="1:8" x14ac:dyDescent="0.3">
      <c r="A9988" s="173"/>
      <c r="B9988" s="174"/>
      <c r="C9988" s="175"/>
      <c r="D9988" s="176"/>
      <c r="E9988" s="175"/>
      <c r="F9988" s="165"/>
      <c r="G9988" s="165"/>
      <c r="H9988" s="166"/>
    </row>
    <row r="9989" spans="1:8" x14ac:dyDescent="0.3">
      <c r="A9989" s="27"/>
      <c r="B9989" s="88"/>
      <c r="C9989" s="24"/>
      <c r="D9989" s="89"/>
      <c r="E9989" s="24"/>
      <c r="F9989" s="133"/>
      <c r="G9989" s="133"/>
      <c r="H9989" s="134"/>
    </row>
    <row r="9990" spans="1:8" x14ac:dyDescent="0.3">
      <c r="A9990" s="27"/>
      <c r="B9990" s="88"/>
      <c r="C9990" s="24"/>
      <c r="D9990" s="89"/>
      <c r="E9990" s="24"/>
      <c r="F9990" s="133"/>
      <c r="G9990" s="133"/>
      <c r="H9990" s="134"/>
    </row>
    <row r="9991" spans="1:8" x14ac:dyDescent="0.3">
      <c r="A9991" s="27"/>
      <c r="B9991" s="88"/>
      <c r="C9991" s="24"/>
      <c r="D9991" s="89"/>
      <c r="E9991" s="24"/>
      <c r="F9991" s="133"/>
      <c r="G9991" s="133"/>
      <c r="H9991" s="134"/>
    </row>
    <row r="9992" spans="1:8" x14ac:dyDescent="0.3">
      <c r="A9992" s="27"/>
      <c r="B9992" s="88"/>
      <c r="C9992" s="24"/>
      <c r="D9992" s="89"/>
      <c r="E9992" s="24"/>
      <c r="F9992" s="133"/>
      <c r="G9992" s="133"/>
      <c r="H9992" s="134"/>
    </row>
    <row r="9993" spans="1:8" x14ac:dyDescent="0.3">
      <c r="A9993" s="27"/>
      <c r="B9993" s="88"/>
      <c r="C9993" s="24"/>
      <c r="D9993" s="89"/>
      <c r="E9993" s="24"/>
      <c r="F9993" s="133"/>
      <c r="G9993" s="133"/>
      <c r="H9993" s="134"/>
    </row>
    <row r="9994" spans="1:8" x14ac:dyDescent="0.3">
      <c r="A9994" s="27"/>
      <c r="B9994" s="88"/>
      <c r="C9994" s="24"/>
      <c r="D9994" s="89"/>
      <c r="E9994" s="24"/>
      <c r="F9994" s="133"/>
      <c r="G9994" s="133"/>
      <c r="H9994" s="134"/>
    </row>
    <row r="9995" spans="1:8" x14ac:dyDescent="0.3">
      <c r="A9995" s="27"/>
      <c r="B9995" s="88"/>
      <c r="C9995" s="24"/>
      <c r="D9995" s="89"/>
      <c r="E9995" s="24"/>
      <c r="F9995" s="133"/>
      <c r="G9995" s="133"/>
      <c r="H9995" s="134"/>
    </row>
    <row r="9996" spans="1:8" x14ac:dyDescent="0.3">
      <c r="A9996" s="27"/>
      <c r="B9996" s="88"/>
      <c r="C9996" s="24"/>
      <c r="D9996" s="89"/>
      <c r="E9996" s="24"/>
      <c r="F9996" s="133"/>
      <c r="G9996" s="133"/>
      <c r="H9996" s="134"/>
    </row>
    <row r="9997" spans="1:8" x14ac:dyDescent="0.3">
      <c r="A9997" s="27"/>
      <c r="B9997" s="88"/>
      <c r="C9997" s="24"/>
      <c r="D9997" s="89"/>
      <c r="E9997" s="24"/>
      <c r="F9997" s="133"/>
      <c r="G9997" s="133"/>
      <c r="H9997" s="134"/>
    </row>
    <row r="9998" spans="1:8" x14ac:dyDescent="0.3">
      <c r="A9998" s="27"/>
      <c r="B9998" s="28"/>
      <c r="C9998" s="24"/>
      <c r="D9998" s="89"/>
      <c r="E9998" s="25"/>
      <c r="F9998" s="25"/>
      <c r="G9998" s="25"/>
      <c r="H9998" s="32"/>
    </row>
    <row r="9999" spans="1:8" x14ac:dyDescent="0.3">
      <c r="A9999" s="27"/>
      <c r="B9999" s="28"/>
      <c r="C9999" s="24"/>
      <c r="D9999" s="89"/>
      <c r="E9999" s="25"/>
      <c r="F9999" s="25"/>
      <c r="G9999" s="25"/>
      <c r="H9999" s="32"/>
    </row>
    <row r="10000" spans="1:8" x14ac:dyDescent="0.3">
      <c r="A10000" s="159"/>
      <c r="B10000" s="28"/>
      <c r="C10000" s="24"/>
      <c r="D10000" s="25"/>
      <c r="E10000" s="25"/>
      <c r="F10000" s="28"/>
      <c r="G10000" s="28"/>
      <c r="H10000" s="32"/>
    </row>
    <row r="10001" spans="1:8" x14ac:dyDescent="0.3">
      <c r="A10001" s="159"/>
      <c r="B10001" s="28"/>
      <c r="C10001" s="24"/>
      <c r="D10001" s="25"/>
      <c r="E10001" s="25"/>
      <c r="F10001" s="28"/>
      <c r="G10001" s="28"/>
      <c r="H10001" s="32"/>
    </row>
    <row r="10002" spans="1:8" x14ac:dyDescent="0.3">
      <c r="A10002" s="159"/>
      <c r="B10002" s="28"/>
      <c r="C10002" s="24"/>
      <c r="D10002" s="25"/>
      <c r="E10002" s="25"/>
      <c r="F10002" s="28"/>
      <c r="G10002" s="28"/>
      <c r="H10002" s="32"/>
    </row>
    <row r="10003" spans="1:8" x14ac:dyDescent="0.3">
      <c r="A10003" s="159"/>
      <c r="B10003" s="28"/>
      <c r="C10003" s="24"/>
      <c r="D10003" s="25"/>
      <c r="E10003" s="25"/>
      <c r="F10003" s="28"/>
      <c r="G10003" s="28"/>
      <c r="H10003" s="32"/>
    </row>
    <row r="10004" spans="1:8" x14ac:dyDescent="0.3">
      <c r="A10004" s="159"/>
      <c r="B10004" s="28"/>
      <c r="C10004" s="24"/>
      <c r="D10004" s="25"/>
      <c r="E10004" s="25"/>
      <c r="F10004" s="28"/>
      <c r="G10004" s="28"/>
      <c r="H10004" s="32"/>
    </row>
    <row r="10005" spans="1:8" x14ac:dyDescent="0.3">
      <c r="A10005" s="159"/>
      <c r="B10005" s="28"/>
      <c r="C10005" s="24"/>
      <c r="D10005" s="25"/>
      <c r="E10005" s="25"/>
      <c r="F10005" s="28"/>
      <c r="G10005" s="28"/>
      <c r="H10005" s="32"/>
    </row>
    <row r="10006" spans="1:8" ht="15.6" x14ac:dyDescent="0.3">
      <c r="A10006" s="64" t="s">
        <v>45</v>
      </c>
      <c r="B10006" s="28"/>
      <c r="C10006" s="24"/>
      <c r="D10006" s="25"/>
      <c r="E10006" s="25"/>
      <c r="F10006" s="447" t="s">
        <v>46</v>
      </c>
      <c r="G10006" s="447"/>
      <c r="H10006" s="66">
        <v>37700</v>
      </c>
    </row>
    <row r="10007" spans="1:8" ht="15.6" x14ac:dyDescent="0.3">
      <c r="A10007" s="497" t="s">
        <v>1703</v>
      </c>
      <c r="B10007" s="498"/>
      <c r="C10007" s="498"/>
      <c r="D10007" s="498"/>
      <c r="E10007" s="498"/>
      <c r="F10007" s="447" t="s">
        <v>47</v>
      </c>
      <c r="G10007" s="447"/>
      <c r="H10007" s="66">
        <f>H10006*9%</f>
        <v>3393</v>
      </c>
    </row>
    <row r="10008" spans="1:8" ht="15.6" x14ac:dyDescent="0.3">
      <c r="A10008" s="159"/>
      <c r="B10008" s="28"/>
      <c r="C10008" s="24"/>
      <c r="D10008" s="25"/>
      <c r="E10008" s="25"/>
      <c r="F10008" s="447" t="s">
        <v>48</v>
      </c>
      <c r="G10008" s="447"/>
      <c r="H10008" s="66">
        <f>H10006*9%</f>
        <v>3393</v>
      </c>
    </row>
    <row r="10009" spans="1:8" ht="15.6" x14ac:dyDescent="0.3">
      <c r="A10009" s="64" t="s">
        <v>49</v>
      </c>
      <c r="B10009" s="28"/>
      <c r="C10009" s="24"/>
      <c r="D10009" s="25"/>
      <c r="E10009" s="25"/>
      <c r="F10009" s="447" t="s">
        <v>50</v>
      </c>
      <c r="G10009" s="447"/>
      <c r="H10009" s="66">
        <f>H10006+H10007+H10008</f>
        <v>44486</v>
      </c>
    </row>
    <row r="10010" spans="1:8" ht="27" x14ac:dyDescent="0.3">
      <c r="A10010" s="68" t="s">
        <v>22</v>
      </c>
      <c r="B10010" s="30" t="s">
        <v>51</v>
      </c>
      <c r="C10010" s="70" t="s">
        <v>24</v>
      </c>
      <c r="D10010" s="31" t="s">
        <v>25</v>
      </c>
      <c r="E10010" s="450" t="s">
        <v>52</v>
      </c>
      <c r="F10010" s="450"/>
      <c r="G10010" s="28"/>
      <c r="H10010" s="32"/>
    </row>
    <row r="10011" spans="1:8" x14ac:dyDescent="0.3">
      <c r="A10011" s="72">
        <v>0.18</v>
      </c>
      <c r="B10011" s="73">
        <f>H10006</f>
        <v>37700</v>
      </c>
      <c r="C10011" s="74">
        <f>H10007</f>
        <v>3393</v>
      </c>
      <c r="D10011" s="74">
        <f>H10007</f>
        <v>3393</v>
      </c>
      <c r="E10011" s="507">
        <f>C10011+D10011</f>
        <v>6786</v>
      </c>
      <c r="F10011" s="507"/>
      <c r="G10011" s="74"/>
      <c r="H10011" s="75"/>
    </row>
    <row r="10012" spans="1:8" x14ac:dyDescent="0.3">
      <c r="A10012" s="508" t="s">
        <v>1704</v>
      </c>
      <c r="B10012" s="509"/>
      <c r="C10012" s="509"/>
      <c r="D10012" s="509"/>
      <c r="E10012" s="453"/>
      <c r="F10012" s="453"/>
      <c r="G10012" s="453"/>
      <c r="H10012" s="454"/>
    </row>
    <row r="10013" spans="1:8" ht="15.6" x14ac:dyDescent="0.3">
      <c r="A10013" s="455" t="s">
        <v>53</v>
      </c>
      <c r="B10013" s="456"/>
      <c r="C10013" s="456"/>
      <c r="D10013" s="457"/>
      <c r="E10013" s="458" t="s">
        <v>54</v>
      </c>
      <c r="F10013" s="459"/>
      <c r="G10013" s="459"/>
      <c r="H10013" s="460"/>
    </row>
    <row r="10014" spans="1:8" x14ac:dyDescent="0.3">
      <c r="A10014" s="461" t="s">
        <v>55</v>
      </c>
      <c r="B10014" s="462"/>
      <c r="C10014" s="462"/>
      <c r="D10014" s="463"/>
      <c r="E10014" s="39"/>
      <c r="F10014" s="25"/>
      <c r="G10014" s="28"/>
      <c r="H10014" s="32"/>
    </row>
    <row r="10015" spans="1:8" x14ac:dyDescent="0.3">
      <c r="A10015" s="461" t="s">
        <v>56</v>
      </c>
      <c r="B10015" s="462"/>
      <c r="C10015" s="462"/>
      <c r="D10015" s="463"/>
      <c r="E10015" s="39"/>
      <c r="F10015" s="25"/>
      <c r="G10015" s="28"/>
      <c r="H10015" s="32"/>
    </row>
    <row r="10016" spans="1:8" x14ac:dyDescent="0.3">
      <c r="A10016" s="461" t="s">
        <v>57</v>
      </c>
      <c r="B10016" s="462"/>
      <c r="C10016" s="462"/>
      <c r="D10016" s="463"/>
      <c r="E10016" s="25"/>
      <c r="F10016" s="25"/>
      <c r="G10016" s="28"/>
      <c r="H10016" s="32"/>
    </row>
    <row r="10017" spans="1:11" ht="15.6" x14ac:dyDescent="0.3">
      <c r="A10017" s="464" t="s">
        <v>58</v>
      </c>
      <c r="B10017" s="465"/>
      <c r="C10017" s="465"/>
      <c r="D10017" s="510"/>
      <c r="E10017" s="466" t="s">
        <v>59</v>
      </c>
      <c r="F10017" s="467"/>
      <c r="G10017" s="467"/>
      <c r="H10017" s="468"/>
    </row>
    <row r="10021" spans="1:11" ht="44.4" x14ac:dyDescent="0.7">
      <c r="A10021" s="469" t="s">
        <v>0</v>
      </c>
      <c r="B10021" s="470"/>
      <c r="C10021" s="470"/>
      <c r="D10021" s="470"/>
      <c r="E10021" s="531" t="s">
        <v>1</v>
      </c>
      <c r="F10021" s="531"/>
      <c r="G10021" s="531"/>
      <c r="H10021" s="532"/>
    </row>
    <row r="10022" spans="1:11" ht="20.399999999999999" x14ac:dyDescent="0.35">
      <c r="A10022" s="1"/>
      <c r="B10022" s="535" t="s">
        <v>2</v>
      </c>
      <c r="C10022" s="535"/>
      <c r="D10022" s="535"/>
      <c r="E10022" s="533"/>
      <c r="F10022" s="533"/>
      <c r="G10022" s="533"/>
      <c r="H10022" s="534"/>
    </row>
    <row r="10023" spans="1:11" x14ac:dyDescent="0.3">
      <c r="A10023" s="477" t="s">
        <v>3</v>
      </c>
      <c r="B10023" s="511"/>
      <c r="C10023" s="588" t="s">
        <v>4</v>
      </c>
      <c r="D10023" s="589"/>
      <c r="E10023" s="590" t="s">
        <v>5</v>
      </c>
      <c r="F10023" s="591"/>
      <c r="G10023" s="591"/>
      <c r="H10023" s="592"/>
    </row>
    <row r="10024" spans="1:11" ht="15.6" x14ac:dyDescent="0.3">
      <c r="A10024" s="4" t="s">
        <v>6</v>
      </c>
      <c r="B10024" s="5"/>
      <c r="C10024" s="536" t="s">
        <v>7</v>
      </c>
      <c r="D10024" s="516"/>
      <c r="E10024" s="489">
        <v>217</v>
      </c>
      <c r="F10024" s="491"/>
      <c r="G10024" s="7" t="s">
        <v>8</v>
      </c>
      <c r="H10024" s="250">
        <v>46115</v>
      </c>
    </row>
    <row r="10025" spans="1:11" ht="15.6" x14ac:dyDescent="0.3">
      <c r="A10025" s="551" t="s">
        <v>1710</v>
      </c>
      <c r="B10025" s="552"/>
      <c r="C10025" s="536" t="s">
        <v>10</v>
      </c>
      <c r="D10025" s="516"/>
      <c r="E10025" s="489"/>
      <c r="F10025" s="491"/>
      <c r="G10025" s="7" t="s">
        <v>8</v>
      </c>
      <c r="H10025" s="251"/>
    </row>
    <row r="10026" spans="1:11" ht="15" x14ac:dyDescent="0.3">
      <c r="A10026" s="560" t="s">
        <v>497</v>
      </c>
      <c r="B10026" s="561"/>
      <c r="C10026" s="483" t="s">
        <v>12</v>
      </c>
      <c r="D10026" s="484"/>
      <c r="E10026" s="564"/>
      <c r="F10026" s="593"/>
      <c r="G10026" s="10" t="s">
        <v>8</v>
      </c>
      <c r="H10026" s="252"/>
    </row>
    <row r="10027" spans="1:11" ht="15.6" x14ac:dyDescent="0.3">
      <c r="A10027" s="253" t="s">
        <v>1711</v>
      </c>
      <c r="B10027" s="254"/>
      <c r="C10027" s="536" t="s">
        <v>15</v>
      </c>
      <c r="D10027" s="516"/>
      <c r="E10027" s="489" t="s">
        <v>1712</v>
      </c>
      <c r="F10027" s="490"/>
      <c r="G10027" s="490"/>
      <c r="H10027" s="491"/>
    </row>
    <row r="10028" spans="1:11" ht="15.6" x14ac:dyDescent="0.3">
      <c r="A10028" s="255" t="s">
        <v>182</v>
      </c>
      <c r="B10028" s="256"/>
      <c r="C10028" s="489"/>
      <c r="D10028" s="490"/>
      <c r="E10028" s="490"/>
      <c r="F10028" s="490"/>
      <c r="G10028" s="490"/>
      <c r="H10028" s="491"/>
    </row>
    <row r="10029" spans="1:11" ht="15" x14ac:dyDescent="0.3">
      <c r="A10029" s="493" t="s">
        <v>17</v>
      </c>
      <c r="B10029" s="495" t="s">
        <v>18</v>
      </c>
      <c r="C10029" s="495" t="s">
        <v>19</v>
      </c>
      <c r="D10029" s="495" t="s">
        <v>20</v>
      </c>
      <c r="E10029" s="495" t="s">
        <v>21</v>
      </c>
      <c r="F10029" s="541" t="s">
        <v>22</v>
      </c>
      <c r="G10029" s="542"/>
      <c r="H10029" s="493" t="s">
        <v>23</v>
      </c>
    </row>
    <row r="10030" spans="1:11" ht="27.6" x14ac:dyDescent="0.3">
      <c r="A10030" s="527"/>
      <c r="B10030" s="505"/>
      <c r="C10030" s="505"/>
      <c r="D10030" s="505"/>
      <c r="E10030" s="505"/>
      <c r="F10030" s="53" t="s">
        <v>24</v>
      </c>
      <c r="G10030" s="53" t="s">
        <v>25</v>
      </c>
      <c r="H10030" s="527"/>
    </row>
    <row r="10031" spans="1:11" x14ac:dyDescent="0.3">
      <c r="A10031" s="55">
        <v>1</v>
      </c>
      <c r="B10031" s="427" t="s">
        <v>1728</v>
      </c>
      <c r="C10031" s="55">
        <v>1</v>
      </c>
      <c r="D10031" s="86">
        <v>8538</v>
      </c>
      <c r="E10031" s="55">
        <v>2500</v>
      </c>
      <c r="F10031" s="55">
        <f>E10031*C10031*9%</f>
        <v>225</v>
      </c>
      <c r="G10031" s="55">
        <f>F10031</f>
        <v>225</v>
      </c>
      <c r="H10031" s="55">
        <f>G10031+F10031+E10031*C10031</f>
        <v>2950</v>
      </c>
      <c r="I10031" s="362">
        <f>E10031*C10031</f>
        <v>2500</v>
      </c>
    </row>
    <row r="10032" spans="1:11" x14ac:dyDescent="0.3">
      <c r="A10032" s="55">
        <v>2</v>
      </c>
      <c r="B10032" s="427" t="s">
        <v>1735</v>
      </c>
      <c r="C10032" s="178">
        <v>1</v>
      </c>
      <c r="D10032" s="425">
        <v>85381010</v>
      </c>
      <c r="E10032" s="178">
        <v>5000</v>
      </c>
      <c r="F10032" s="55">
        <f t="shared" ref="F10032" si="274">E10032*C10032*9%</f>
        <v>450</v>
      </c>
      <c r="G10032" s="55">
        <f t="shared" ref="G10032" si="275">F10032</f>
        <v>450</v>
      </c>
      <c r="H10032" s="55">
        <f t="shared" ref="H10032" si="276">G10032+F10032+E10032*C10032</f>
        <v>5900</v>
      </c>
      <c r="I10032" s="362">
        <f t="shared" ref="I10032:I10033" si="277">E10032*C10032</f>
        <v>5000</v>
      </c>
      <c r="K10032" s="345"/>
    </row>
    <row r="10033" spans="1:10" x14ac:dyDescent="0.3">
      <c r="A10033" s="55">
        <v>3</v>
      </c>
      <c r="B10033" s="257" t="s">
        <v>1736</v>
      </c>
      <c r="C10033" s="55">
        <v>1</v>
      </c>
      <c r="D10033" s="86">
        <v>998719</v>
      </c>
      <c r="E10033" s="55">
        <v>1500</v>
      </c>
      <c r="F10033" s="55">
        <f t="shared" ref="F10033" si="278">E10033*C10033*9%</f>
        <v>135</v>
      </c>
      <c r="G10033" s="55">
        <f t="shared" ref="G10033" si="279">F10033</f>
        <v>135</v>
      </c>
      <c r="H10033" s="55">
        <f t="shared" ref="H10033" si="280">G10033+F10033+E10033*C10033</f>
        <v>1770</v>
      </c>
      <c r="I10033" s="362">
        <f t="shared" si="277"/>
        <v>1500</v>
      </c>
    </row>
    <row r="10034" spans="1:10" x14ac:dyDescent="0.3">
      <c r="A10034" s="55"/>
      <c r="B10034" s="257"/>
      <c r="C10034" s="20"/>
      <c r="D10034" s="86"/>
      <c r="E10034" s="55"/>
      <c r="F10034" s="55"/>
      <c r="G10034" s="55"/>
      <c r="H10034" s="55"/>
      <c r="J10034">
        <v>111</v>
      </c>
    </row>
    <row r="10035" spans="1:10" x14ac:dyDescent="0.3">
      <c r="A10035" s="55"/>
      <c r="B10035" s="257"/>
      <c r="C10035" s="20"/>
      <c r="D10035" s="86"/>
      <c r="E10035" s="55"/>
      <c r="F10035" s="55"/>
      <c r="G10035" s="55"/>
      <c r="H10035" s="55"/>
    </row>
    <row r="10036" spans="1:10" x14ac:dyDescent="0.3">
      <c r="A10036" s="55"/>
      <c r="B10036" s="257"/>
      <c r="C10036" s="20"/>
      <c r="D10036" s="86"/>
      <c r="E10036" s="55"/>
      <c r="F10036" s="55"/>
      <c r="G10036" s="55"/>
      <c r="H10036" s="55"/>
    </row>
    <row r="10037" spans="1:10" x14ac:dyDescent="0.3">
      <c r="A10037" s="55"/>
      <c r="B10037" s="424"/>
      <c r="C10037" s="20"/>
      <c r="D10037" s="86"/>
      <c r="E10037" s="55"/>
      <c r="F10037" s="55"/>
      <c r="G10037" s="55"/>
      <c r="H10037" s="55"/>
    </row>
    <row r="10038" spans="1:10" x14ac:dyDescent="0.3">
      <c r="A10038" s="55"/>
      <c r="B10038" s="426"/>
      <c r="C10038" s="178"/>
      <c r="D10038" s="425"/>
      <c r="E10038" s="178"/>
      <c r="F10038" s="55"/>
      <c r="G10038" s="55"/>
      <c r="H10038" s="55"/>
    </row>
    <row r="10039" spans="1:10" x14ac:dyDescent="0.3">
      <c r="A10039" s="55"/>
      <c r="B10039" s="257"/>
      <c r="C10039" s="258"/>
      <c r="D10039" s="86"/>
      <c r="E10039" s="55"/>
      <c r="F10039" s="259"/>
      <c r="G10039" s="259"/>
      <c r="H10039" s="258"/>
    </row>
    <row r="10040" spans="1:10" x14ac:dyDescent="0.3">
      <c r="A10040" s="55"/>
      <c r="B10040" s="84"/>
      <c r="C10040" s="55"/>
      <c r="D10040" s="55"/>
      <c r="E10040" s="55"/>
      <c r="F10040" s="55"/>
      <c r="G10040" s="55"/>
      <c r="H10040" s="55"/>
      <c r="I10040" s="362">
        <v>5900</v>
      </c>
    </row>
    <row r="10041" spans="1:10" x14ac:dyDescent="0.3">
      <c r="A10041" s="55"/>
      <c r="B10041" s="163"/>
      <c r="C10041" s="178"/>
      <c r="D10041" s="163"/>
      <c r="E10041" s="163"/>
      <c r="F10041" s="163"/>
      <c r="G10041" s="163"/>
      <c r="H10041" s="163"/>
    </row>
    <row r="10042" spans="1:10" x14ac:dyDescent="0.3">
      <c r="A10042" s="55"/>
      <c r="B10042" s="163"/>
      <c r="C10042" s="55"/>
      <c r="D10042" s="55"/>
      <c r="E10042" s="55"/>
      <c r="F10042" s="55"/>
      <c r="G10042" s="55"/>
      <c r="H10042" s="55"/>
    </row>
    <row r="10043" spans="1:10" x14ac:dyDescent="0.3">
      <c r="A10043" s="57"/>
      <c r="B10043" s="84"/>
      <c r="C10043" s="85"/>
      <c r="D10043" s="86"/>
      <c r="E10043" s="87"/>
      <c r="F10043" s="47"/>
      <c r="G10043" s="47"/>
      <c r="H10043" s="47"/>
    </row>
    <row r="10044" spans="1:10" x14ac:dyDescent="0.3">
      <c r="A10044" s="57"/>
      <c r="B10044" s="84"/>
      <c r="C10044" s="85"/>
      <c r="D10044" s="86"/>
      <c r="E10044" s="47"/>
      <c r="F10044" s="47"/>
      <c r="G10044" s="47"/>
      <c r="H10044" s="47"/>
    </row>
    <row r="10045" spans="1:10" x14ac:dyDescent="0.3">
      <c r="A10045" s="55"/>
      <c r="B10045" s="84"/>
      <c r="C10045" s="55"/>
      <c r="D10045" s="86"/>
      <c r="E10045" s="47"/>
      <c r="F10045" s="47"/>
      <c r="G10045" s="47"/>
      <c r="H10045" s="47"/>
    </row>
    <row r="10046" spans="1:10" x14ac:dyDescent="0.3">
      <c r="A10046" s="27"/>
      <c r="B10046" s="88"/>
      <c r="C10046" s="24"/>
      <c r="D10046" s="89"/>
      <c r="E10046" s="25"/>
      <c r="F10046" s="25"/>
      <c r="G10046" s="25"/>
      <c r="H10046" s="32"/>
    </row>
    <row r="10047" spans="1:10" x14ac:dyDescent="0.3">
      <c r="A10047" s="27"/>
      <c r="B10047" s="88"/>
      <c r="C10047" s="24"/>
      <c r="D10047" s="89"/>
      <c r="E10047" s="25"/>
      <c r="F10047" s="25"/>
      <c r="G10047" s="25"/>
      <c r="H10047" s="32"/>
    </row>
    <row r="10048" spans="1:10" x14ac:dyDescent="0.3">
      <c r="A10048" s="27"/>
      <c r="B10048" s="88"/>
      <c r="C10048" s="24"/>
      <c r="D10048" s="89"/>
      <c r="E10048" s="25"/>
      <c r="F10048" s="25"/>
      <c r="G10048" s="25"/>
      <c r="H10048" s="32"/>
    </row>
    <row r="10049" spans="1:8" x14ac:dyDescent="0.3">
      <c r="A10049" s="27"/>
      <c r="B10049" s="88"/>
      <c r="C10049" s="24"/>
      <c r="D10049" s="89"/>
      <c r="E10049" s="25"/>
      <c r="F10049" s="25"/>
      <c r="G10049" s="25"/>
      <c r="H10049" s="32"/>
    </row>
    <row r="10050" spans="1:8" x14ac:dyDescent="0.3">
      <c r="A10050" s="27"/>
      <c r="B10050" s="88"/>
      <c r="C10050" s="24"/>
      <c r="D10050" s="89"/>
      <c r="E10050" s="25"/>
      <c r="F10050" s="25"/>
      <c r="G10050" s="25"/>
      <c r="H10050" s="32"/>
    </row>
    <row r="10051" spans="1:8" x14ac:dyDescent="0.3">
      <c r="A10051" s="27"/>
      <c r="B10051" s="88"/>
      <c r="C10051" s="24"/>
      <c r="D10051" s="89"/>
      <c r="E10051" s="25"/>
      <c r="F10051" s="25"/>
      <c r="G10051" s="25"/>
      <c r="H10051" s="32"/>
    </row>
    <row r="10052" spans="1:8" x14ac:dyDescent="0.3">
      <c r="A10052" s="27"/>
      <c r="B10052" s="28"/>
      <c r="C10052" s="24"/>
      <c r="D10052" s="25"/>
      <c r="E10052" s="25"/>
      <c r="F10052" s="28"/>
      <c r="G10052" s="28"/>
      <c r="H10052" s="32"/>
    </row>
    <row r="10053" spans="1:8" ht="15.6" x14ac:dyDescent="0.3">
      <c r="A10053" s="448" t="s">
        <v>45</v>
      </c>
      <c r="B10053" s="449"/>
      <c r="C10053" s="24"/>
      <c r="D10053" s="25"/>
      <c r="E10053" s="25"/>
      <c r="F10053" s="447" t="s">
        <v>46</v>
      </c>
      <c r="G10053" s="447"/>
      <c r="H10053" s="66">
        <v>9000</v>
      </c>
    </row>
    <row r="10054" spans="1:8" ht="15.6" x14ac:dyDescent="0.3">
      <c r="A10054" s="497" t="s">
        <v>1737</v>
      </c>
      <c r="B10054" s="498"/>
      <c r="C10054" s="498"/>
      <c r="D10054" s="498"/>
      <c r="E10054" s="498"/>
      <c r="F10054" s="447" t="s">
        <v>47</v>
      </c>
      <c r="G10054" s="447"/>
      <c r="H10054" s="66">
        <f>H10053*9%</f>
        <v>810</v>
      </c>
    </row>
    <row r="10055" spans="1:8" ht="15.6" x14ac:dyDescent="0.3">
      <c r="A10055" s="27"/>
      <c r="B10055" s="28"/>
      <c r="C10055" s="24"/>
      <c r="D10055" s="25"/>
      <c r="E10055" s="25"/>
      <c r="F10055" s="447" t="s">
        <v>48</v>
      </c>
      <c r="G10055" s="447"/>
      <c r="H10055" s="66">
        <f>H10054</f>
        <v>810</v>
      </c>
    </row>
    <row r="10056" spans="1:8" ht="15.6" x14ac:dyDescent="0.3">
      <c r="A10056" s="64" t="s">
        <v>49</v>
      </c>
      <c r="B10056" s="65"/>
      <c r="C10056" s="24"/>
      <c r="D10056" s="25"/>
      <c r="E10056" s="25"/>
      <c r="F10056" s="447" t="s">
        <v>50</v>
      </c>
      <c r="G10056" s="447"/>
      <c r="H10056" s="66">
        <f>H10053+H10054+H10055</f>
        <v>10620</v>
      </c>
    </row>
    <row r="10057" spans="1:8" ht="27" x14ac:dyDescent="0.3">
      <c r="A10057" s="68" t="s">
        <v>22</v>
      </c>
      <c r="B10057" s="30" t="s">
        <v>51</v>
      </c>
      <c r="C10057" s="70" t="s">
        <v>24</v>
      </c>
      <c r="D10057" s="31" t="s">
        <v>25</v>
      </c>
      <c r="E10057" s="450" t="s">
        <v>52</v>
      </c>
      <c r="F10057" s="450"/>
      <c r="G10057" s="28"/>
      <c r="H10057" s="32"/>
    </row>
    <row r="10058" spans="1:8" x14ac:dyDescent="0.3">
      <c r="A10058" s="72">
        <v>0.18</v>
      </c>
      <c r="B10058" s="73">
        <f>H10053</f>
        <v>9000</v>
      </c>
      <c r="C10058" s="91">
        <f>H10054</f>
        <v>810</v>
      </c>
      <c r="D10058" s="91">
        <f>H10054</f>
        <v>810</v>
      </c>
      <c r="E10058" s="506">
        <f>C10058+D10058</f>
        <v>1620</v>
      </c>
      <c r="F10058" s="506"/>
      <c r="G10058" s="74"/>
      <c r="H10058" s="75"/>
    </row>
    <row r="10059" spans="1:8" x14ac:dyDescent="0.3">
      <c r="A10059" s="452" t="s">
        <v>1738</v>
      </c>
      <c r="B10059" s="453"/>
      <c r="C10059" s="453"/>
      <c r="D10059" s="453"/>
      <c r="E10059" s="453"/>
      <c r="F10059" s="453"/>
      <c r="G10059" s="453"/>
      <c r="H10059" s="454"/>
    </row>
    <row r="10060" spans="1:8" ht="15.6" x14ac:dyDescent="0.3">
      <c r="A10060" s="455" t="s">
        <v>53</v>
      </c>
      <c r="B10060" s="456"/>
      <c r="C10060" s="456"/>
      <c r="D10060" s="457"/>
      <c r="E10060" s="458" t="s">
        <v>54</v>
      </c>
      <c r="F10060" s="459"/>
      <c r="G10060" s="459"/>
      <c r="H10060" s="460"/>
    </row>
    <row r="10061" spans="1:8" x14ac:dyDescent="0.3">
      <c r="A10061" s="461" t="s">
        <v>55</v>
      </c>
      <c r="B10061" s="462"/>
      <c r="C10061" s="462"/>
      <c r="D10061" s="463"/>
      <c r="E10061" s="39"/>
      <c r="F10061" s="28"/>
      <c r="G10061" s="28"/>
      <c r="H10061" s="32"/>
    </row>
    <row r="10062" spans="1:8" x14ac:dyDescent="0.3">
      <c r="A10062" s="461" t="s">
        <v>56</v>
      </c>
      <c r="B10062" s="462"/>
      <c r="C10062" s="462"/>
      <c r="D10062" s="463"/>
      <c r="E10062" s="39"/>
      <c r="F10062" s="28"/>
      <c r="G10062" s="28"/>
      <c r="H10062" s="32"/>
    </row>
    <row r="10063" spans="1:8" x14ac:dyDescent="0.3">
      <c r="A10063" s="461" t="s">
        <v>57</v>
      </c>
      <c r="B10063" s="462"/>
      <c r="C10063" s="462"/>
      <c r="D10063" s="463"/>
      <c r="E10063" s="39"/>
      <c r="F10063" s="28"/>
      <c r="G10063" s="28"/>
      <c r="H10063" s="32"/>
    </row>
    <row r="10064" spans="1:8" ht="15.6" x14ac:dyDescent="0.3">
      <c r="A10064" s="464" t="s">
        <v>58</v>
      </c>
      <c r="B10064" s="465"/>
      <c r="C10064" s="465"/>
      <c r="D10064" s="510"/>
      <c r="E10064" s="466" t="s">
        <v>59</v>
      </c>
      <c r="F10064" s="467"/>
      <c r="G10064" s="467"/>
      <c r="H10064" s="468"/>
    </row>
    <row r="10069" spans="1:8" ht="44.4" x14ac:dyDescent="0.7">
      <c r="A10069" s="469" t="s">
        <v>0</v>
      </c>
      <c r="B10069" s="470"/>
      <c r="C10069" s="470"/>
      <c r="D10069" s="470"/>
      <c r="E10069" s="471" t="s">
        <v>1</v>
      </c>
      <c r="F10069" s="472"/>
      <c r="G10069" s="472"/>
      <c r="H10069" s="473"/>
    </row>
    <row r="10070" spans="1:8" ht="20.399999999999999" x14ac:dyDescent="0.35">
      <c r="A10070" s="1"/>
      <c r="B10070" s="476" t="s">
        <v>2</v>
      </c>
      <c r="C10070" s="476"/>
      <c r="D10070" s="476"/>
      <c r="E10070" s="474"/>
      <c r="F10070" s="474"/>
      <c r="G10070" s="474"/>
      <c r="H10070" s="475"/>
    </row>
    <row r="10071" spans="1:8" x14ac:dyDescent="0.3">
      <c r="A10071" s="477" t="s">
        <v>3</v>
      </c>
      <c r="B10071" s="478"/>
      <c r="C10071" s="479" t="s">
        <v>4</v>
      </c>
      <c r="D10071" s="479"/>
      <c r="E10071" s="548" t="s">
        <v>5</v>
      </c>
      <c r="F10071" s="549"/>
      <c r="G10071" s="549"/>
      <c r="H10071" s="550"/>
    </row>
    <row r="10072" spans="1:8" ht="15.6" x14ac:dyDescent="0.3">
      <c r="A10072" s="4" t="s">
        <v>6</v>
      </c>
      <c r="B10072" s="5"/>
      <c r="C10072" s="481" t="s">
        <v>7</v>
      </c>
      <c r="D10072" s="481"/>
      <c r="E10072" s="482">
        <v>218</v>
      </c>
      <c r="F10072" s="482"/>
      <c r="G10072" s="7" t="s">
        <v>8</v>
      </c>
      <c r="H10072" s="8">
        <v>46145</v>
      </c>
    </row>
    <row r="10073" spans="1:8" ht="15.6" x14ac:dyDescent="0.3">
      <c r="A10073" s="551" t="s">
        <v>287</v>
      </c>
      <c r="B10073" s="552"/>
      <c r="C10073" s="481" t="s">
        <v>10</v>
      </c>
      <c r="D10073" s="481"/>
      <c r="E10073" s="482">
        <v>201</v>
      </c>
      <c r="F10073" s="482"/>
      <c r="G10073" s="7" t="s">
        <v>8</v>
      </c>
      <c r="H10073" s="8">
        <v>46174</v>
      </c>
    </row>
    <row r="10074" spans="1:8" ht="26.25" customHeight="1" x14ac:dyDescent="0.3">
      <c r="A10074" s="517" t="s">
        <v>288</v>
      </c>
      <c r="B10074" s="553"/>
      <c r="C10074" s="483" t="s">
        <v>12</v>
      </c>
      <c r="D10074" s="484"/>
      <c r="E10074" s="554" t="s">
        <v>1705</v>
      </c>
      <c r="F10074" s="555"/>
      <c r="G10074" s="10" t="s">
        <v>8</v>
      </c>
      <c r="H10074" s="8" t="s">
        <v>1709</v>
      </c>
    </row>
    <row r="10075" spans="1:8" ht="15.6" x14ac:dyDescent="0.3">
      <c r="A10075" s="556"/>
      <c r="B10075" s="557"/>
      <c r="C10075" s="481" t="s">
        <v>15</v>
      </c>
      <c r="D10075" s="481"/>
      <c r="E10075" s="502" t="s">
        <v>289</v>
      </c>
      <c r="F10075" s="503"/>
      <c r="G10075" s="503"/>
      <c r="H10075" s="504"/>
    </row>
    <row r="10076" spans="1:8" ht="15.6" x14ac:dyDescent="0.3">
      <c r="A10076" s="558" t="s">
        <v>290</v>
      </c>
      <c r="B10076" s="559"/>
      <c r="C10076" s="489"/>
      <c r="D10076" s="490"/>
      <c r="E10076" s="490"/>
      <c r="F10076" s="490"/>
      <c r="G10076" s="490"/>
      <c r="H10076" s="491"/>
    </row>
    <row r="10077" spans="1:8" ht="15" x14ac:dyDescent="0.3">
      <c r="A10077" s="492" t="s">
        <v>17</v>
      </c>
      <c r="B10077" s="494" t="s">
        <v>18</v>
      </c>
      <c r="C10077" s="494" t="s">
        <v>19</v>
      </c>
      <c r="D10077" s="494" t="s">
        <v>20</v>
      </c>
      <c r="E10077" s="494" t="s">
        <v>21</v>
      </c>
      <c r="F10077" s="494" t="s">
        <v>22</v>
      </c>
      <c r="G10077" s="494"/>
      <c r="H10077" s="492" t="s">
        <v>23</v>
      </c>
    </row>
    <row r="10078" spans="1:8" ht="27.6" x14ac:dyDescent="0.3">
      <c r="A10078" s="492"/>
      <c r="B10078" s="494"/>
      <c r="C10078" s="494"/>
      <c r="D10078" s="494"/>
      <c r="E10078" s="494"/>
      <c r="F10078" s="53" t="s">
        <v>24</v>
      </c>
      <c r="G10078" s="53" t="s">
        <v>25</v>
      </c>
      <c r="H10078" s="492"/>
    </row>
    <row r="10079" spans="1:8" x14ac:dyDescent="0.3">
      <c r="A10079" s="57">
        <v>1</v>
      </c>
      <c r="B10079" s="60" t="s">
        <v>1706</v>
      </c>
      <c r="C10079" s="57">
        <v>1</v>
      </c>
      <c r="D10079" s="349">
        <v>85446020</v>
      </c>
      <c r="E10079" s="57">
        <v>69875</v>
      </c>
      <c r="F10079" s="57">
        <f>E10079*C10079*9%</f>
        <v>6288.75</v>
      </c>
      <c r="G10079" s="57">
        <f>F10079</f>
        <v>6288.75</v>
      </c>
      <c r="H10079" s="57">
        <f>G10079+F10079+E10079*C10079</f>
        <v>82452.5</v>
      </c>
    </row>
    <row r="10080" spans="1:8" x14ac:dyDescent="0.3">
      <c r="A10080" s="55"/>
      <c r="B10080" s="60"/>
      <c r="C10080" s="57"/>
      <c r="D10080" s="209"/>
      <c r="E10080" s="57"/>
      <c r="F10080" s="57"/>
      <c r="G10080" s="57"/>
      <c r="H10080" s="57"/>
    </row>
    <row r="10081" spans="1:8" x14ac:dyDescent="0.3">
      <c r="A10081" s="55"/>
      <c r="B10081" s="130"/>
      <c r="C10081" s="55"/>
      <c r="D10081" s="209"/>
      <c r="E10081" s="55"/>
      <c r="F10081" s="55"/>
      <c r="G10081" s="55"/>
      <c r="H10081" s="55"/>
    </row>
    <row r="10082" spans="1:8" x14ac:dyDescent="0.3">
      <c r="A10082" s="55"/>
      <c r="B10082" s="130"/>
      <c r="C10082" s="83"/>
      <c r="D10082" s="83"/>
      <c r="E10082" s="57"/>
      <c r="F10082" s="55"/>
      <c r="G10082" s="55"/>
      <c r="H10082" s="55"/>
    </row>
    <row r="10083" spans="1:8" x14ac:dyDescent="0.3">
      <c r="A10083" s="55"/>
      <c r="B10083" s="130"/>
      <c r="C10083" s="83"/>
      <c r="D10083" s="83"/>
      <c r="E10083" s="57"/>
      <c r="F10083" s="57"/>
      <c r="G10083" s="57"/>
      <c r="H10083" s="57"/>
    </row>
    <row r="10084" spans="1:8" x14ac:dyDescent="0.3">
      <c r="A10084" s="55"/>
      <c r="B10084" s="130"/>
      <c r="C10084" s="83"/>
      <c r="D10084" s="83"/>
      <c r="E10084" s="57"/>
      <c r="F10084" s="57"/>
      <c r="G10084" s="57"/>
      <c r="H10084" s="57"/>
    </row>
    <row r="10085" spans="1:8" x14ac:dyDescent="0.3">
      <c r="A10085" s="55"/>
      <c r="B10085" s="130"/>
      <c r="C10085" s="83"/>
      <c r="D10085" s="83"/>
      <c r="E10085" s="57"/>
      <c r="F10085" s="57"/>
      <c r="G10085" s="57"/>
      <c r="H10085" s="57"/>
    </row>
    <row r="10086" spans="1:8" x14ac:dyDescent="0.3">
      <c r="A10086" s="55"/>
      <c r="B10086" s="130"/>
      <c r="C10086" s="83"/>
      <c r="D10086" s="57"/>
      <c r="E10086" s="57"/>
      <c r="F10086" s="57"/>
      <c r="G10086" s="57"/>
      <c r="H10086" s="57"/>
    </row>
    <row r="10087" spans="1:8" x14ac:dyDescent="0.3">
      <c r="A10087" s="194"/>
      <c r="B10087" s="195"/>
      <c r="C10087" s="196"/>
      <c r="D10087" s="194"/>
      <c r="E10087" s="194"/>
      <c r="F10087" s="145"/>
      <c r="G10087" s="197"/>
      <c r="H10087" s="198"/>
    </row>
    <row r="10088" spans="1:8" x14ac:dyDescent="0.3">
      <c r="A10088" s="199"/>
      <c r="B10088" s="200"/>
      <c r="C10088" s="201"/>
      <c r="D10088" s="202"/>
      <c r="E10088" s="203"/>
      <c r="F10088" s="204"/>
      <c r="G10088" s="204"/>
      <c r="H10088" s="205"/>
    </row>
    <row r="10089" spans="1:8" x14ac:dyDescent="0.3">
      <c r="A10089" s="173"/>
      <c r="B10089" s="88"/>
      <c r="C10089" s="206"/>
      <c r="D10089" s="89"/>
      <c r="E10089" s="207"/>
      <c r="F10089" s="25"/>
      <c r="G10089" s="25"/>
      <c r="H10089" s="32"/>
    </row>
    <row r="10090" spans="1:8" x14ac:dyDescent="0.3">
      <c r="A10090" s="173"/>
      <c r="B10090" s="88"/>
      <c r="C10090" s="206"/>
      <c r="D10090" s="89"/>
      <c r="E10090" s="207"/>
      <c r="F10090" s="25"/>
      <c r="G10090" s="25"/>
      <c r="H10090" s="32"/>
    </row>
    <row r="10091" spans="1:8" x14ac:dyDescent="0.3">
      <c r="A10091" s="173"/>
      <c r="B10091" s="88"/>
      <c r="C10091" s="206"/>
      <c r="D10091" s="89"/>
      <c r="E10091" s="207"/>
      <c r="F10091" s="25"/>
      <c r="G10091" s="25"/>
      <c r="H10091" s="32"/>
    </row>
    <row r="10092" spans="1:8" x14ac:dyDescent="0.3">
      <c r="A10092" s="173"/>
      <c r="B10092" s="88"/>
      <c r="C10092" s="206"/>
      <c r="D10092" s="89"/>
      <c r="E10092" s="207"/>
      <c r="F10092" s="25"/>
      <c r="G10092" s="25"/>
      <c r="H10092" s="32"/>
    </row>
    <row r="10093" spans="1:8" x14ac:dyDescent="0.3">
      <c r="A10093" s="173"/>
      <c r="B10093" s="88"/>
      <c r="C10093" s="206"/>
      <c r="D10093" s="89"/>
      <c r="E10093" s="207"/>
      <c r="F10093" s="25"/>
      <c r="G10093" s="25"/>
      <c r="H10093" s="32"/>
    </row>
    <row r="10094" spans="1:8" x14ac:dyDescent="0.3">
      <c r="A10094" s="173"/>
      <c r="B10094" s="88"/>
      <c r="C10094" s="206"/>
      <c r="D10094" s="89"/>
      <c r="E10094" s="207"/>
      <c r="F10094" s="25"/>
      <c r="G10094" s="25"/>
      <c r="H10094" s="32"/>
    </row>
    <row r="10095" spans="1:8" x14ac:dyDescent="0.3">
      <c r="A10095" s="173"/>
      <c r="B10095" s="88"/>
      <c r="C10095" s="206"/>
      <c r="D10095" s="89"/>
      <c r="E10095" s="207"/>
      <c r="F10095" s="25"/>
      <c r="G10095" s="25"/>
      <c r="H10095" s="32"/>
    </row>
    <row r="10096" spans="1:8" x14ac:dyDescent="0.3">
      <c r="A10096" s="173"/>
      <c r="B10096" s="88"/>
      <c r="C10096" s="206"/>
      <c r="D10096" s="89"/>
      <c r="E10096" s="207"/>
      <c r="F10096" s="25"/>
      <c r="G10096" s="25"/>
      <c r="H10096" s="32"/>
    </row>
    <row r="10097" spans="1:8" x14ac:dyDescent="0.3">
      <c r="A10097" s="173"/>
      <c r="B10097" s="88"/>
      <c r="C10097" s="206"/>
      <c r="D10097" s="89"/>
      <c r="E10097" s="207"/>
      <c r="F10097" s="25"/>
      <c r="G10097" s="25"/>
      <c r="H10097" s="32"/>
    </row>
    <row r="10098" spans="1:8" x14ac:dyDescent="0.3">
      <c r="A10098" s="173"/>
      <c r="B10098" s="88"/>
      <c r="C10098" s="206"/>
      <c r="D10098" s="89"/>
      <c r="E10098" s="25"/>
      <c r="F10098" s="25"/>
      <c r="G10098" s="25"/>
      <c r="H10098" s="32"/>
    </row>
    <row r="10099" spans="1:8" x14ac:dyDescent="0.3">
      <c r="A10099" s="27"/>
      <c r="B10099" s="88"/>
      <c r="C10099" s="24"/>
      <c r="D10099" s="89"/>
      <c r="E10099" s="25"/>
      <c r="F10099" s="25"/>
      <c r="G10099" s="25"/>
      <c r="H10099" s="32"/>
    </row>
    <row r="10100" spans="1:8" x14ac:dyDescent="0.3">
      <c r="A10100" s="27"/>
      <c r="B10100" s="28"/>
      <c r="C10100" s="24"/>
      <c r="D10100" s="25"/>
      <c r="E10100" s="25"/>
      <c r="F10100" s="28"/>
      <c r="G10100" s="28"/>
      <c r="H10100" s="32"/>
    </row>
    <row r="10101" spans="1:8" ht="15.6" x14ac:dyDescent="0.3">
      <c r="A10101" s="448" t="s">
        <v>45</v>
      </c>
      <c r="B10101" s="449"/>
      <c r="C10101" s="24"/>
      <c r="D10101" s="25"/>
      <c r="E10101" s="25"/>
      <c r="F10101" s="447" t="s">
        <v>46</v>
      </c>
      <c r="G10101" s="447"/>
      <c r="H10101" s="66">
        <v>69875</v>
      </c>
    </row>
    <row r="10102" spans="1:8" ht="15.6" x14ac:dyDescent="0.3">
      <c r="A10102" s="497" t="s">
        <v>1707</v>
      </c>
      <c r="B10102" s="498"/>
      <c r="C10102" s="498"/>
      <c r="D10102" s="498"/>
      <c r="E10102" s="498"/>
      <c r="F10102" s="447" t="s">
        <v>47</v>
      </c>
      <c r="G10102" s="447"/>
      <c r="H10102" s="66">
        <f>H10101*9%</f>
        <v>6288.75</v>
      </c>
    </row>
    <row r="10103" spans="1:8" ht="15.6" x14ac:dyDescent="0.3">
      <c r="A10103" s="27"/>
      <c r="B10103" s="28"/>
      <c r="C10103" s="24"/>
      <c r="D10103" s="25"/>
      <c r="E10103" s="25"/>
      <c r="F10103" s="447" t="s">
        <v>48</v>
      </c>
      <c r="G10103" s="447"/>
      <c r="H10103" s="66">
        <f>H10102</f>
        <v>6288.75</v>
      </c>
    </row>
    <row r="10104" spans="1:8" ht="15.6" x14ac:dyDescent="0.3">
      <c r="A10104" s="448" t="s">
        <v>49</v>
      </c>
      <c r="B10104" s="449"/>
      <c r="C10104" s="24"/>
      <c r="D10104" s="25"/>
      <c r="E10104" s="25"/>
      <c r="F10104" s="447" t="s">
        <v>50</v>
      </c>
      <c r="G10104" s="447"/>
      <c r="H10104" s="66">
        <v>82452.5</v>
      </c>
    </row>
    <row r="10105" spans="1:8" ht="26.4" x14ac:dyDescent="0.3">
      <c r="A10105" s="68" t="s">
        <v>22</v>
      </c>
      <c r="B10105" s="30" t="s">
        <v>51</v>
      </c>
      <c r="C10105" s="70" t="s">
        <v>24</v>
      </c>
      <c r="D10105" s="70" t="s">
        <v>25</v>
      </c>
      <c r="E10105" s="543" t="s">
        <v>52</v>
      </c>
      <c r="F10105" s="543"/>
      <c r="G10105" s="28"/>
      <c r="H10105" s="66"/>
    </row>
    <row r="10106" spans="1:8" x14ac:dyDescent="0.3">
      <c r="A10106" s="72">
        <v>0.18</v>
      </c>
      <c r="B10106" s="73">
        <f>H10101</f>
        <v>69875</v>
      </c>
      <c r="C10106" s="91">
        <f>H10102</f>
        <v>6288.75</v>
      </c>
      <c r="D10106" s="91">
        <f>H10102</f>
        <v>6288.75</v>
      </c>
      <c r="E10106" s="506">
        <f>C10106+D10106</f>
        <v>12577.5</v>
      </c>
      <c r="F10106" s="507"/>
      <c r="G10106" s="74"/>
      <c r="H10106" s="75"/>
    </row>
    <row r="10107" spans="1:8" x14ac:dyDescent="0.3">
      <c r="A10107" s="508" t="s">
        <v>1708</v>
      </c>
      <c r="B10107" s="509"/>
      <c r="C10107" s="509"/>
      <c r="D10107" s="509"/>
      <c r="E10107" s="453"/>
      <c r="F10107" s="453"/>
      <c r="G10107" s="453"/>
      <c r="H10107" s="454"/>
    </row>
    <row r="10108" spans="1:8" ht="15.6" x14ac:dyDescent="0.3">
      <c r="A10108" s="455" t="s">
        <v>53</v>
      </c>
      <c r="B10108" s="456"/>
      <c r="C10108" s="456"/>
      <c r="D10108" s="457"/>
      <c r="E10108" s="458" t="s">
        <v>54</v>
      </c>
      <c r="F10108" s="459"/>
      <c r="G10108" s="459"/>
      <c r="H10108" s="460"/>
    </row>
    <row r="10109" spans="1:8" x14ac:dyDescent="0.3">
      <c r="A10109" s="461" t="s">
        <v>55</v>
      </c>
      <c r="B10109" s="462"/>
      <c r="C10109" s="462"/>
      <c r="D10109" s="463"/>
      <c r="E10109" s="39"/>
      <c r="F10109" s="28"/>
      <c r="G10109" s="28"/>
      <c r="H10109" s="32"/>
    </row>
    <row r="10110" spans="1:8" x14ac:dyDescent="0.3">
      <c r="A10110" s="461" t="s">
        <v>56</v>
      </c>
      <c r="B10110" s="462"/>
      <c r="C10110" s="462"/>
      <c r="D10110" s="463"/>
      <c r="E10110" s="39"/>
      <c r="F10110" s="28"/>
      <c r="G10110" s="28"/>
      <c r="H10110" s="32"/>
    </row>
    <row r="10111" spans="1:8" x14ac:dyDescent="0.3">
      <c r="A10111" s="461" t="s">
        <v>57</v>
      </c>
      <c r="B10111" s="462"/>
      <c r="C10111" s="462"/>
      <c r="D10111" s="463"/>
      <c r="E10111" s="39"/>
      <c r="F10111" s="28"/>
      <c r="G10111" s="28"/>
      <c r="H10111" s="32"/>
    </row>
    <row r="10112" spans="1:8" ht="15.6" x14ac:dyDescent="0.3">
      <c r="A10112" s="464" t="s">
        <v>58</v>
      </c>
      <c r="B10112" s="465"/>
      <c r="C10112" s="465"/>
      <c r="D10112" s="465"/>
      <c r="E10112" s="466" t="s">
        <v>59</v>
      </c>
      <c r="F10112" s="467"/>
      <c r="G10112" s="467"/>
      <c r="H10112" s="468"/>
    </row>
    <row r="10116" spans="1:8" ht="44.4" x14ac:dyDescent="0.7">
      <c r="A10116" s="469" t="s">
        <v>0</v>
      </c>
      <c r="B10116" s="470"/>
      <c r="C10116" s="470"/>
      <c r="D10116" s="470"/>
      <c r="E10116" s="531" t="s">
        <v>92</v>
      </c>
      <c r="F10116" s="544"/>
      <c r="G10116" s="544"/>
      <c r="H10116" s="545"/>
    </row>
    <row r="10117" spans="1:8" ht="20.399999999999999" x14ac:dyDescent="0.35">
      <c r="A10117" s="1"/>
      <c r="B10117" s="476" t="s">
        <v>2</v>
      </c>
      <c r="C10117" s="476"/>
      <c r="D10117" s="476"/>
      <c r="E10117" s="546"/>
      <c r="F10117" s="546"/>
      <c r="G10117" s="546"/>
      <c r="H10117" s="547"/>
    </row>
    <row r="10118" spans="1:8" x14ac:dyDescent="0.3">
      <c r="A10118" s="477" t="s">
        <v>3</v>
      </c>
      <c r="B10118" s="478"/>
      <c r="C10118" s="136"/>
      <c r="D10118" s="499" t="s">
        <v>4</v>
      </c>
      <c r="E10118" s="499"/>
      <c r="F10118" s="137"/>
      <c r="G10118" s="575" t="s">
        <v>134</v>
      </c>
      <c r="H10118" s="576"/>
    </row>
    <row r="10119" spans="1:8" ht="15.6" x14ac:dyDescent="0.3">
      <c r="A10119" s="138" t="s">
        <v>6</v>
      </c>
      <c r="B10119" s="5"/>
      <c r="C10119" s="481" t="s">
        <v>7</v>
      </c>
      <c r="D10119" s="481"/>
      <c r="E10119" s="482">
        <v>219</v>
      </c>
      <c r="F10119" s="482"/>
      <c r="G10119" s="7" t="s">
        <v>8</v>
      </c>
      <c r="H10119" s="8">
        <v>46237</v>
      </c>
    </row>
    <row r="10120" spans="1:8" ht="15.6" x14ac:dyDescent="0.3">
      <c r="A10120" s="556" t="s">
        <v>177</v>
      </c>
      <c r="B10120" s="557"/>
      <c r="C10120" s="481" t="s">
        <v>10</v>
      </c>
      <c r="D10120" s="481"/>
      <c r="E10120" s="482"/>
      <c r="F10120" s="482"/>
      <c r="G10120" s="7" t="s">
        <v>8</v>
      </c>
      <c r="H10120" s="6"/>
    </row>
    <row r="10121" spans="1:8" ht="15.6" x14ac:dyDescent="0.3">
      <c r="A10121" s="577" t="s">
        <v>178</v>
      </c>
      <c r="B10121" s="578"/>
      <c r="C10121" s="481" t="s">
        <v>12</v>
      </c>
      <c r="D10121" s="481"/>
      <c r="E10121" s="482">
        <v>1133</v>
      </c>
      <c r="F10121" s="482"/>
      <c r="G10121" s="7" t="s">
        <v>8</v>
      </c>
      <c r="H10121" s="8" t="s">
        <v>1713</v>
      </c>
    </row>
    <row r="10122" spans="1:8" ht="15.6" x14ac:dyDescent="0.3">
      <c r="A10122" s="556" t="s">
        <v>179</v>
      </c>
      <c r="B10122" s="557"/>
      <c r="C10122" s="481" t="s">
        <v>15</v>
      </c>
      <c r="D10122" s="481"/>
      <c r="E10122" s="566" t="s">
        <v>180</v>
      </c>
      <c r="F10122" s="567"/>
      <c r="G10122" s="567"/>
      <c r="H10122" s="568"/>
    </row>
    <row r="10123" spans="1:8" ht="15.6" x14ac:dyDescent="0.3">
      <c r="A10123" s="558" t="s">
        <v>1714</v>
      </c>
      <c r="B10123" s="559"/>
      <c r="C10123" s="569"/>
      <c r="D10123" s="570"/>
      <c r="E10123" s="570"/>
      <c r="F10123" s="570"/>
      <c r="G10123" s="570"/>
      <c r="H10123" s="571"/>
    </row>
    <row r="10124" spans="1:8" ht="15" x14ac:dyDescent="0.3">
      <c r="A10124" s="492" t="s">
        <v>17</v>
      </c>
      <c r="B10124" s="494" t="s">
        <v>18</v>
      </c>
      <c r="C10124" s="494" t="s">
        <v>19</v>
      </c>
      <c r="D10124" s="494" t="s">
        <v>20</v>
      </c>
      <c r="E10124" s="494" t="s">
        <v>21</v>
      </c>
      <c r="F10124" s="494" t="s">
        <v>22</v>
      </c>
      <c r="G10124" s="494"/>
      <c r="H10124" s="492" t="s">
        <v>23</v>
      </c>
    </row>
    <row r="10125" spans="1:8" ht="27.6" x14ac:dyDescent="0.3">
      <c r="A10125" s="492"/>
      <c r="B10125" s="494"/>
      <c r="C10125" s="494"/>
      <c r="D10125" s="494"/>
      <c r="E10125" s="494"/>
      <c r="F10125" s="53" t="s">
        <v>24</v>
      </c>
      <c r="G10125" s="53" t="s">
        <v>25</v>
      </c>
      <c r="H10125" s="492"/>
    </row>
    <row r="10126" spans="1:8" x14ac:dyDescent="0.3">
      <c r="A10126" s="57">
        <v>1</v>
      </c>
      <c r="B10126" s="113" t="s">
        <v>1715</v>
      </c>
      <c r="C10126" s="57">
        <v>1</v>
      </c>
      <c r="D10126" s="170">
        <v>998719</v>
      </c>
      <c r="E10126">
        <v>9500</v>
      </c>
      <c r="F10126" s="58">
        <v>855</v>
      </c>
      <c r="G10126" s="58">
        <v>855</v>
      </c>
      <c r="H10126" s="59">
        <f>E10126*C10126+F10126+G10126</f>
        <v>11210</v>
      </c>
    </row>
    <row r="10127" spans="1:8" x14ac:dyDescent="0.3">
      <c r="A10127" s="57"/>
      <c r="B10127" s="60"/>
      <c r="C10127" s="57"/>
      <c r="D10127" s="56"/>
      <c r="E10127" s="57"/>
      <c r="F10127" s="58"/>
      <c r="G10127" s="58"/>
      <c r="H10127" s="59"/>
    </row>
    <row r="10128" spans="1:8" x14ac:dyDescent="0.3">
      <c r="A10128" s="55"/>
      <c r="B10128" s="63"/>
      <c r="C10128" s="55"/>
      <c r="D10128" s="56"/>
      <c r="E10128" s="55"/>
      <c r="F10128" s="58"/>
      <c r="G10128" s="58"/>
      <c r="H10128" s="59"/>
    </row>
    <row r="10129" spans="1:8" x14ac:dyDescent="0.3">
      <c r="A10129" s="90"/>
      <c r="B10129" s="132"/>
      <c r="C10129" s="24"/>
      <c r="D10129" s="164"/>
      <c r="E10129" s="24"/>
      <c r="F10129" s="165"/>
      <c r="G10129" s="165"/>
      <c r="H10129" s="166"/>
    </row>
    <row r="10130" spans="1:8" x14ac:dyDescent="0.3">
      <c r="A10130" s="90"/>
      <c r="B10130" s="132"/>
      <c r="C10130" s="24"/>
      <c r="D10130" s="164"/>
      <c r="E10130" s="57"/>
      <c r="F10130" s="165"/>
      <c r="G10130" s="165"/>
      <c r="H10130" s="166"/>
    </row>
    <row r="10131" spans="1:8" x14ac:dyDescent="0.3">
      <c r="A10131" s="90"/>
      <c r="B10131" s="132"/>
      <c r="C10131" s="24"/>
      <c r="D10131" s="164"/>
      <c r="E10131" s="24"/>
      <c r="F10131" s="165"/>
      <c r="G10131" s="165"/>
      <c r="H10131" s="166"/>
    </row>
    <row r="10132" spans="1:8" x14ac:dyDescent="0.3">
      <c r="A10132" s="27"/>
      <c r="B10132" s="132"/>
      <c r="C10132" s="24"/>
      <c r="D10132" s="25"/>
      <c r="E10132" s="25"/>
      <c r="F10132" s="165"/>
      <c r="G10132" s="165"/>
      <c r="H10132" s="166"/>
    </row>
    <row r="10133" spans="1:8" x14ac:dyDescent="0.3">
      <c r="A10133" s="27"/>
      <c r="B10133" s="28"/>
      <c r="C10133" s="24"/>
      <c r="D10133" s="25"/>
      <c r="E10133" s="25"/>
      <c r="F10133" s="165"/>
      <c r="G10133" s="165"/>
      <c r="H10133" s="166"/>
    </row>
    <row r="10134" spans="1:8" x14ac:dyDescent="0.3">
      <c r="A10134" s="27"/>
      <c r="B10134" s="28"/>
      <c r="C10134" s="24"/>
      <c r="D10134" s="25"/>
      <c r="E10134" s="25"/>
      <c r="F10134" s="165"/>
      <c r="G10134" s="165"/>
      <c r="H10134" s="166"/>
    </row>
    <row r="10135" spans="1:8" x14ac:dyDescent="0.3">
      <c r="A10135" s="27"/>
      <c r="B10135" s="28"/>
      <c r="C10135" s="24"/>
      <c r="D10135" s="25"/>
      <c r="E10135" s="25"/>
      <c r="F10135" s="165"/>
      <c r="G10135" s="165"/>
      <c r="H10135" s="166"/>
    </row>
    <row r="10136" spans="1:8" x14ac:dyDescent="0.3">
      <c r="A10136" s="27"/>
      <c r="B10136" s="28"/>
      <c r="C10136" s="24"/>
      <c r="D10136" s="25"/>
      <c r="E10136" s="25"/>
      <c r="F10136" s="165"/>
      <c r="G10136" s="165"/>
      <c r="H10136" s="166"/>
    </row>
    <row r="10137" spans="1:8" x14ac:dyDescent="0.3">
      <c r="A10137" s="27"/>
      <c r="B10137" s="28"/>
      <c r="C10137" s="24"/>
      <c r="D10137" s="25"/>
      <c r="E10137" s="25"/>
      <c r="F10137" s="165"/>
      <c r="G10137" s="165"/>
      <c r="H10137" s="166"/>
    </row>
    <row r="10138" spans="1:8" x14ac:dyDescent="0.3">
      <c r="A10138" s="27"/>
      <c r="B10138" s="28"/>
      <c r="C10138" s="24"/>
      <c r="D10138" s="25"/>
      <c r="E10138" s="25"/>
      <c r="F10138" s="28"/>
      <c r="G10138" s="28"/>
      <c r="H10138" s="32"/>
    </row>
    <row r="10139" spans="1:8" x14ac:dyDescent="0.3">
      <c r="A10139" s="27"/>
      <c r="B10139" s="28"/>
      <c r="C10139" s="24"/>
      <c r="D10139" s="25"/>
      <c r="E10139" s="25"/>
      <c r="F10139" s="28"/>
      <c r="G10139" s="28"/>
      <c r="H10139" s="32"/>
    </row>
    <row r="10140" spans="1:8" x14ac:dyDescent="0.3">
      <c r="A10140" s="27"/>
      <c r="B10140" s="28"/>
      <c r="C10140" s="24"/>
      <c r="D10140" s="25"/>
      <c r="E10140" s="25"/>
      <c r="F10140" s="28"/>
      <c r="G10140" s="28"/>
      <c r="H10140" s="32"/>
    </row>
    <row r="10141" spans="1:8" x14ac:dyDescent="0.3">
      <c r="A10141" s="27"/>
      <c r="B10141" s="28"/>
      <c r="C10141" s="24"/>
      <c r="D10141" s="25"/>
      <c r="E10141" s="25"/>
      <c r="F10141" s="28"/>
      <c r="G10141" s="28"/>
      <c r="H10141" s="32"/>
    </row>
    <row r="10142" spans="1:8" x14ac:dyDescent="0.3">
      <c r="A10142" s="27"/>
      <c r="B10142" s="28"/>
      <c r="C10142" s="24"/>
      <c r="D10142" s="25"/>
      <c r="E10142" s="25"/>
      <c r="F10142" s="28"/>
      <c r="G10142" s="28"/>
      <c r="H10142" s="32"/>
    </row>
    <row r="10143" spans="1:8" x14ac:dyDescent="0.3">
      <c r="A10143" s="27"/>
      <c r="B10143" s="28"/>
      <c r="C10143" s="24"/>
      <c r="D10143" s="25"/>
      <c r="E10143" s="25"/>
      <c r="F10143" s="28"/>
      <c r="G10143" s="28"/>
      <c r="H10143" s="32"/>
    </row>
    <row r="10144" spans="1:8" x14ac:dyDescent="0.3">
      <c r="A10144" s="27"/>
      <c r="B10144" s="28"/>
      <c r="C10144" s="24"/>
      <c r="D10144" s="25"/>
      <c r="E10144" s="25"/>
      <c r="F10144" s="28"/>
      <c r="G10144" s="28"/>
      <c r="H10144" s="32"/>
    </row>
    <row r="10145" spans="1:8" x14ac:dyDescent="0.3">
      <c r="A10145" s="27"/>
      <c r="B10145" s="28"/>
      <c r="C10145" s="24"/>
      <c r="D10145" s="25"/>
      <c r="E10145" s="25"/>
      <c r="F10145" s="28"/>
      <c r="G10145" s="28"/>
      <c r="H10145" s="32"/>
    </row>
    <row r="10146" spans="1:8" x14ac:dyDescent="0.3">
      <c r="A10146" s="27"/>
      <c r="B10146" s="28"/>
      <c r="C10146" s="24"/>
      <c r="D10146" s="25"/>
      <c r="E10146" s="25"/>
      <c r="F10146" s="28"/>
      <c r="G10146" s="28"/>
      <c r="H10146" s="32"/>
    </row>
    <row r="10147" spans="1:8" x14ac:dyDescent="0.3">
      <c r="A10147" s="27"/>
      <c r="B10147" s="28"/>
      <c r="C10147" s="24"/>
      <c r="D10147" s="25"/>
      <c r="E10147" s="25"/>
      <c r="F10147" s="28"/>
      <c r="G10147" s="28"/>
      <c r="H10147" s="32"/>
    </row>
    <row r="10148" spans="1:8" x14ac:dyDescent="0.3">
      <c r="A10148" s="27"/>
      <c r="B10148" s="28"/>
      <c r="C10148" s="24"/>
      <c r="D10148" s="25"/>
      <c r="E10148" s="25"/>
      <c r="F10148" s="28"/>
      <c r="G10148" s="28"/>
      <c r="H10148" s="32"/>
    </row>
    <row r="10149" spans="1:8" ht="15.6" x14ac:dyDescent="0.3">
      <c r="A10149" s="448" t="s">
        <v>45</v>
      </c>
      <c r="B10149" s="449"/>
      <c r="C10149" s="449"/>
      <c r="D10149" s="25"/>
      <c r="E10149" s="25"/>
      <c r="F10149" s="447" t="s">
        <v>46</v>
      </c>
      <c r="G10149" s="447"/>
      <c r="H10149" s="66">
        <v>9500</v>
      </c>
    </row>
    <row r="10150" spans="1:8" ht="15.6" x14ac:dyDescent="0.3">
      <c r="A10150" s="497" t="s">
        <v>1717</v>
      </c>
      <c r="B10150" s="498"/>
      <c r="C10150" s="498"/>
      <c r="D10150" s="498"/>
      <c r="E10150" s="498"/>
      <c r="F10150" s="447" t="s">
        <v>47</v>
      </c>
      <c r="G10150" s="447"/>
      <c r="H10150" s="66">
        <f>H10149*9%</f>
        <v>855</v>
      </c>
    </row>
    <row r="10151" spans="1:8" ht="15.6" x14ac:dyDescent="0.3">
      <c r="A10151" s="27"/>
      <c r="B10151" s="28"/>
      <c r="C10151" s="24"/>
      <c r="D10151" s="25"/>
      <c r="E10151" s="25"/>
      <c r="F10151" s="447" t="s">
        <v>48</v>
      </c>
      <c r="G10151" s="447"/>
      <c r="H10151" s="66">
        <f>H10149*9%</f>
        <v>855</v>
      </c>
    </row>
    <row r="10152" spans="1:8" ht="15.6" x14ac:dyDescent="0.3">
      <c r="A10152" s="448" t="s">
        <v>49</v>
      </c>
      <c r="B10152" s="449"/>
      <c r="C10152" s="449"/>
      <c r="D10152" s="449"/>
      <c r="E10152" s="25"/>
      <c r="F10152" s="447" t="s">
        <v>50</v>
      </c>
      <c r="G10152" s="447"/>
      <c r="H10152" s="66">
        <v>11210</v>
      </c>
    </row>
    <row r="10153" spans="1:8" ht="27" x14ac:dyDescent="0.3">
      <c r="A10153" s="68" t="s">
        <v>22</v>
      </c>
      <c r="B10153" s="69" t="s">
        <v>51</v>
      </c>
      <c r="C10153" s="70" t="s">
        <v>24</v>
      </c>
      <c r="D10153" s="31" t="s">
        <v>25</v>
      </c>
      <c r="E10153" s="450" t="s">
        <v>52</v>
      </c>
      <c r="F10153" s="450"/>
      <c r="G10153" s="28"/>
      <c r="H10153" s="32"/>
    </row>
    <row r="10154" spans="1:8" x14ac:dyDescent="0.3">
      <c r="A10154" s="72">
        <v>0.18</v>
      </c>
      <c r="B10154" s="73">
        <f>H10149</f>
        <v>9500</v>
      </c>
      <c r="C10154" s="74">
        <f>H10150</f>
        <v>855</v>
      </c>
      <c r="D10154" s="74">
        <f>H10151</f>
        <v>855</v>
      </c>
      <c r="E10154" s="507">
        <f>C10154+D10154</f>
        <v>1710</v>
      </c>
      <c r="F10154" s="507"/>
      <c r="G10154" s="74"/>
      <c r="H10154" s="75"/>
    </row>
    <row r="10155" spans="1:8" x14ac:dyDescent="0.3">
      <c r="A10155" s="452" t="s">
        <v>1716</v>
      </c>
      <c r="B10155" s="453"/>
      <c r="C10155" s="453"/>
      <c r="D10155" s="453"/>
      <c r="E10155" s="453"/>
      <c r="F10155" s="453"/>
      <c r="G10155" s="453"/>
      <c r="H10155" s="454"/>
    </row>
    <row r="10156" spans="1:8" ht="15.6" x14ac:dyDescent="0.3">
      <c r="A10156" s="455" t="s">
        <v>53</v>
      </c>
      <c r="B10156" s="456"/>
      <c r="C10156" s="456"/>
      <c r="D10156" s="457"/>
      <c r="E10156" s="458" t="s">
        <v>54</v>
      </c>
      <c r="F10156" s="459"/>
      <c r="G10156" s="459"/>
      <c r="H10156" s="460"/>
    </row>
    <row r="10157" spans="1:8" x14ac:dyDescent="0.3">
      <c r="A10157" s="461" t="s">
        <v>55</v>
      </c>
      <c r="B10157" s="462"/>
      <c r="C10157" s="462"/>
      <c r="D10157" s="463"/>
      <c r="E10157" s="39"/>
      <c r="F10157" s="28"/>
      <c r="G10157" s="28"/>
      <c r="H10157" s="32"/>
    </row>
    <row r="10158" spans="1:8" x14ac:dyDescent="0.3">
      <c r="A10158" s="461" t="s">
        <v>56</v>
      </c>
      <c r="B10158" s="462"/>
      <c r="C10158" s="462"/>
      <c r="D10158" s="463"/>
      <c r="E10158" s="39"/>
      <c r="F10158" s="28"/>
      <c r="G10158" s="28"/>
      <c r="H10158" s="32"/>
    </row>
    <row r="10159" spans="1:8" x14ac:dyDescent="0.3">
      <c r="A10159" s="461" t="s">
        <v>57</v>
      </c>
      <c r="B10159" s="462"/>
      <c r="C10159" s="462"/>
      <c r="D10159" s="463"/>
      <c r="E10159" s="167"/>
      <c r="H10159" s="168"/>
    </row>
    <row r="10160" spans="1:8" ht="15.6" x14ac:dyDescent="0.3">
      <c r="A10160" s="464" t="s">
        <v>58</v>
      </c>
      <c r="B10160" s="465"/>
      <c r="C10160" s="465"/>
      <c r="D10160" s="510"/>
      <c r="E10160" s="466" t="s">
        <v>59</v>
      </c>
      <c r="F10160" s="467"/>
      <c r="G10160" s="467"/>
      <c r="H10160" s="468"/>
    </row>
    <row r="10164" spans="1:8" ht="44.4" x14ac:dyDescent="0.7">
      <c r="A10164" s="469" t="s">
        <v>0</v>
      </c>
      <c r="B10164" s="470"/>
      <c r="C10164" s="470"/>
      <c r="D10164" s="470"/>
      <c r="E10164" s="471" t="s">
        <v>1</v>
      </c>
      <c r="F10164" s="472"/>
      <c r="G10164" s="472"/>
      <c r="H10164" s="473"/>
    </row>
    <row r="10165" spans="1:8" ht="20.399999999999999" x14ac:dyDescent="0.35">
      <c r="A10165" s="1"/>
      <c r="B10165" s="476" t="s">
        <v>2</v>
      </c>
      <c r="C10165" s="476"/>
      <c r="D10165" s="476"/>
      <c r="E10165" s="474"/>
      <c r="F10165" s="474"/>
      <c r="G10165" s="474"/>
      <c r="H10165" s="475"/>
    </row>
    <row r="10166" spans="1:8" x14ac:dyDescent="0.3">
      <c r="A10166" s="477" t="s">
        <v>3</v>
      </c>
      <c r="B10166" s="478"/>
      <c r="C10166" s="479" t="s">
        <v>4</v>
      </c>
      <c r="D10166" s="479"/>
      <c r="E10166" s="548" t="s">
        <v>5</v>
      </c>
      <c r="F10166" s="549"/>
      <c r="G10166" s="549"/>
      <c r="H10166" s="550"/>
    </row>
    <row r="10167" spans="1:8" ht="15.6" x14ac:dyDescent="0.3">
      <c r="A10167" s="4" t="s">
        <v>6</v>
      </c>
      <c r="B10167" s="5"/>
      <c r="C10167" s="481" t="s">
        <v>7</v>
      </c>
      <c r="D10167" s="481"/>
      <c r="E10167" s="482">
        <v>220</v>
      </c>
      <c r="F10167" s="482"/>
      <c r="G10167" s="7" t="s">
        <v>8</v>
      </c>
      <c r="H10167" s="8">
        <v>46237</v>
      </c>
    </row>
    <row r="10168" spans="1:8" ht="15.6" x14ac:dyDescent="0.3">
      <c r="A10168" s="551" t="s">
        <v>1718</v>
      </c>
      <c r="B10168" s="552"/>
      <c r="C10168" s="481" t="s">
        <v>10</v>
      </c>
      <c r="D10168" s="481"/>
      <c r="E10168" s="482"/>
      <c r="F10168" s="482"/>
      <c r="G10168" s="7" t="s">
        <v>8</v>
      </c>
      <c r="H10168" s="8"/>
    </row>
    <row r="10169" spans="1:8" ht="15" x14ac:dyDescent="0.3">
      <c r="A10169" s="517" t="s">
        <v>1719</v>
      </c>
      <c r="B10169" s="553"/>
      <c r="C10169" s="483" t="s">
        <v>12</v>
      </c>
      <c r="D10169" s="484"/>
      <c r="E10169" s="554"/>
      <c r="F10169" s="555"/>
      <c r="G10169" s="10" t="s">
        <v>8</v>
      </c>
      <c r="H10169" s="8"/>
    </row>
    <row r="10170" spans="1:8" ht="15.6" x14ac:dyDescent="0.3">
      <c r="A10170" s="556"/>
      <c r="B10170" s="557"/>
      <c r="C10170" s="481" t="s">
        <v>15</v>
      </c>
      <c r="D10170" s="481"/>
      <c r="E10170" s="502" t="s">
        <v>1721</v>
      </c>
      <c r="F10170" s="503"/>
      <c r="G10170" s="503"/>
      <c r="H10170" s="504"/>
    </row>
    <row r="10171" spans="1:8" ht="15.6" x14ac:dyDescent="0.3">
      <c r="A10171" s="558" t="s">
        <v>1720</v>
      </c>
      <c r="B10171" s="559"/>
      <c r="C10171" s="489"/>
      <c r="D10171" s="490"/>
      <c r="E10171" s="490"/>
      <c r="F10171" s="490"/>
      <c r="G10171" s="490"/>
      <c r="H10171" s="491"/>
    </row>
    <row r="10172" spans="1:8" ht="15" x14ac:dyDescent="0.3">
      <c r="A10172" s="492" t="s">
        <v>17</v>
      </c>
      <c r="B10172" s="494" t="s">
        <v>18</v>
      </c>
      <c r="C10172" s="494" t="s">
        <v>19</v>
      </c>
      <c r="D10172" s="494" t="s">
        <v>20</v>
      </c>
      <c r="E10172" s="494" t="s">
        <v>21</v>
      </c>
      <c r="F10172" s="494" t="s">
        <v>22</v>
      </c>
      <c r="G10172" s="494"/>
      <c r="H10172" s="492" t="s">
        <v>23</v>
      </c>
    </row>
    <row r="10173" spans="1:8" ht="27.6" x14ac:dyDescent="0.3">
      <c r="A10173" s="492"/>
      <c r="B10173" s="494"/>
      <c r="C10173" s="494"/>
      <c r="D10173" s="494"/>
      <c r="E10173" s="494"/>
      <c r="F10173" s="53" t="s">
        <v>24</v>
      </c>
      <c r="G10173" s="53" t="s">
        <v>25</v>
      </c>
      <c r="H10173" s="492"/>
    </row>
    <row r="10174" spans="1:8" x14ac:dyDescent="0.3">
      <c r="A10174" s="57">
        <v>1</v>
      </c>
      <c r="B10174" s="60" t="s">
        <v>1722</v>
      </c>
      <c r="C10174" s="57">
        <v>1</v>
      </c>
      <c r="D10174" s="349">
        <v>998719</v>
      </c>
      <c r="E10174" s="15">
        <v>75000</v>
      </c>
      <c r="F10174" s="57">
        <f>E10174*C10174*9%</f>
        <v>6750</v>
      </c>
      <c r="G10174" s="57">
        <f>F10174</f>
        <v>6750</v>
      </c>
      <c r="H10174" s="57">
        <f>G10174+F10174+E10174*C10174</f>
        <v>88500</v>
      </c>
    </row>
    <row r="10175" spans="1:8" x14ac:dyDescent="0.3">
      <c r="A10175" s="55">
        <v>2</v>
      </c>
      <c r="B10175" s="60" t="s">
        <v>1829</v>
      </c>
      <c r="C10175" s="57">
        <v>1</v>
      </c>
      <c r="D10175" s="349">
        <v>85369090</v>
      </c>
      <c r="E10175" s="57">
        <v>12000</v>
      </c>
      <c r="F10175" s="57">
        <f t="shared" ref="F10175:F10176" si="281">E10175*C10175*9%</f>
        <v>1080</v>
      </c>
      <c r="G10175" s="57">
        <f t="shared" ref="G10175:G10176" si="282">F10175</f>
        <v>1080</v>
      </c>
      <c r="H10175" s="57">
        <f t="shared" ref="H10175:H10176" si="283">G10175+F10175+E10175*C10175</f>
        <v>14160</v>
      </c>
    </row>
    <row r="10176" spans="1:8" x14ac:dyDescent="0.3">
      <c r="A10176" s="55">
        <v>3</v>
      </c>
      <c r="B10176" s="130" t="s">
        <v>1830</v>
      </c>
      <c r="C10176" s="55">
        <v>1</v>
      </c>
      <c r="D10176" s="349">
        <v>85369090</v>
      </c>
      <c r="E10176" s="55">
        <v>3500</v>
      </c>
      <c r="F10176" s="57">
        <f t="shared" si="281"/>
        <v>315</v>
      </c>
      <c r="G10176" s="57">
        <f t="shared" si="282"/>
        <v>315</v>
      </c>
      <c r="H10176" s="57">
        <f t="shared" si="283"/>
        <v>4130</v>
      </c>
    </row>
    <row r="10177" spans="1:11" x14ac:dyDescent="0.3">
      <c r="A10177" s="55"/>
      <c r="B10177" s="130"/>
      <c r="C10177" s="83"/>
      <c r="D10177" s="83"/>
      <c r="E10177" s="57"/>
      <c r="F10177" s="55"/>
      <c r="G10177" s="55"/>
      <c r="H10177" s="55"/>
    </row>
    <row r="10178" spans="1:11" x14ac:dyDescent="0.3">
      <c r="A10178" s="55"/>
      <c r="B10178" s="130"/>
      <c r="C10178" s="83"/>
      <c r="D10178" s="83"/>
      <c r="E10178" s="57"/>
      <c r="F10178" s="57"/>
      <c r="G10178" s="57"/>
      <c r="H10178" s="57"/>
    </row>
    <row r="10179" spans="1:11" x14ac:dyDescent="0.3">
      <c r="A10179" s="55"/>
      <c r="B10179" s="130"/>
      <c r="C10179" s="83"/>
      <c r="D10179" s="83"/>
      <c r="E10179" s="57"/>
      <c r="F10179" s="57"/>
      <c r="G10179" s="57"/>
      <c r="H10179" s="57"/>
    </row>
    <row r="10180" spans="1:11" x14ac:dyDescent="0.3">
      <c r="A10180" s="55"/>
      <c r="B10180" s="130"/>
      <c r="C10180" s="83"/>
      <c r="D10180" s="83"/>
      <c r="E10180" s="57"/>
      <c r="F10180" s="57"/>
      <c r="G10180" s="57"/>
      <c r="H10180" s="57"/>
    </row>
    <row r="10181" spans="1:11" x14ac:dyDescent="0.3">
      <c r="A10181" s="55"/>
      <c r="B10181" s="130"/>
      <c r="C10181" s="83"/>
      <c r="D10181" s="57"/>
      <c r="E10181" s="57"/>
      <c r="F10181" s="57"/>
      <c r="G10181" s="57"/>
      <c r="H10181" s="57"/>
    </row>
    <row r="10182" spans="1:11" x14ac:dyDescent="0.3">
      <c r="A10182" s="194"/>
      <c r="B10182" s="195"/>
      <c r="C10182" s="196"/>
      <c r="D10182" s="194"/>
      <c r="E10182" s="194"/>
      <c r="F10182" s="145"/>
      <c r="G10182" s="197"/>
      <c r="H10182" s="198"/>
    </row>
    <row r="10183" spans="1:11" x14ac:dyDescent="0.3">
      <c r="A10183" s="199"/>
      <c r="B10183" s="200"/>
      <c r="C10183" s="201"/>
      <c r="D10183" s="202"/>
      <c r="E10183" s="203"/>
      <c r="F10183" s="204"/>
      <c r="G10183" s="204"/>
      <c r="H10183" s="205"/>
    </row>
    <row r="10184" spans="1:11" x14ac:dyDescent="0.3">
      <c r="A10184" s="173"/>
      <c r="B10184" s="88"/>
      <c r="C10184" s="206"/>
      <c r="D10184" s="89"/>
      <c r="E10184" s="207"/>
      <c r="F10184" s="25"/>
      <c r="G10184" s="25"/>
      <c r="H10184" s="32"/>
    </row>
    <row r="10185" spans="1:11" x14ac:dyDescent="0.3">
      <c r="A10185" s="173"/>
      <c r="B10185" s="88"/>
      <c r="C10185" s="206"/>
      <c r="D10185" s="89"/>
      <c r="E10185" s="207"/>
      <c r="F10185" s="25"/>
      <c r="G10185" s="25"/>
      <c r="H10185" s="32"/>
    </row>
    <row r="10186" spans="1:11" x14ac:dyDescent="0.3">
      <c r="A10186" s="173"/>
      <c r="B10186" s="88"/>
      <c r="C10186" s="206"/>
      <c r="D10186" s="89"/>
      <c r="E10186" s="207"/>
      <c r="F10186" s="25"/>
      <c r="G10186" s="25"/>
      <c r="H10186" s="32"/>
      <c r="K10186" s="66">
        <v>151500</v>
      </c>
    </row>
    <row r="10187" spans="1:11" x14ac:dyDescent="0.3">
      <c r="A10187" s="173"/>
      <c r="B10187" s="88"/>
      <c r="C10187" s="206"/>
      <c r="D10187" s="89"/>
      <c r="E10187" s="207"/>
      <c r="F10187" s="25"/>
      <c r="G10187" s="25"/>
      <c r="H10187" s="32"/>
      <c r="K10187">
        <v>61000</v>
      </c>
    </row>
    <row r="10188" spans="1:11" x14ac:dyDescent="0.3">
      <c r="A10188" s="173"/>
      <c r="B10188" s="88"/>
      <c r="C10188" s="206"/>
      <c r="D10188" s="89"/>
      <c r="E10188" s="207"/>
      <c r="F10188" s="25"/>
      <c r="G10188" s="25"/>
      <c r="H10188" s="32"/>
    </row>
    <row r="10189" spans="1:11" x14ac:dyDescent="0.3">
      <c r="A10189" s="173"/>
      <c r="B10189" s="88"/>
      <c r="C10189" s="206"/>
      <c r="D10189" s="89"/>
      <c r="E10189" s="207"/>
      <c r="F10189" s="25"/>
      <c r="G10189" s="25"/>
      <c r="H10189" s="32"/>
    </row>
    <row r="10190" spans="1:11" x14ac:dyDescent="0.3">
      <c r="A10190" s="173"/>
      <c r="B10190" s="88"/>
      <c r="C10190" s="206"/>
      <c r="D10190" s="89"/>
      <c r="E10190" s="207"/>
      <c r="F10190" s="25"/>
      <c r="G10190" s="25"/>
      <c r="H10190" s="32"/>
    </row>
    <row r="10191" spans="1:11" x14ac:dyDescent="0.3">
      <c r="A10191" s="173"/>
      <c r="B10191" s="88"/>
      <c r="C10191" s="206"/>
      <c r="D10191" s="89"/>
      <c r="E10191" s="207"/>
      <c r="F10191" s="25"/>
      <c r="G10191" s="25"/>
      <c r="H10191" s="32"/>
    </row>
    <row r="10192" spans="1:11" x14ac:dyDescent="0.3">
      <c r="A10192" s="173"/>
      <c r="B10192" s="88"/>
      <c r="C10192" s="206"/>
      <c r="D10192" s="89"/>
      <c r="E10192" s="207"/>
      <c r="F10192" s="25"/>
      <c r="G10192" s="25"/>
      <c r="H10192" s="32"/>
    </row>
    <row r="10193" spans="1:8" x14ac:dyDescent="0.3">
      <c r="A10193" s="173"/>
      <c r="B10193" s="88"/>
      <c r="C10193" s="206"/>
      <c r="D10193" s="89"/>
      <c r="E10193" s="25"/>
      <c r="F10193" s="25"/>
      <c r="G10193" s="25"/>
      <c r="H10193" s="32"/>
    </row>
    <row r="10194" spans="1:8" x14ac:dyDescent="0.3">
      <c r="A10194" s="27"/>
      <c r="B10194" s="88"/>
      <c r="C10194" s="24"/>
      <c r="D10194" s="89"/>
      <c r="E10194" s="25"/>
      <c r="F10194" s="25"/>
      <c r="G10194" s="25"/>
      <c r="H10194" s="32"/>
    </row>
    <row r="10195" spans="1:8" x14ac:dyDescent="0.3">
      <c r="A10195" s="27"/>
      <c r="B10195" s="28"/>
      <c r="C10195" s="24"/>
      <c r="D10195" s="25"/>
      <c r="E10195" s="25"/>
      <c r="F10195" s="28"/>
      <c r="G10195" s="28"/>
      <c r="H10195" s="32"/>
    </row>
    <row r="10196" spans="1:8" ht="15.6" x14ac:dyDescent="0.3">
      <c r="A10196" s="448" t="s">
        <v>45</v>
      </c>
      <c r="B10196" s="449"/>
      <c r="C10196" s="24"/>
      <c r="D10196" s="25"/>
      <c r="E10196" s="25"/>
      <c r="F10196" s="447" t="s">
        <v>46</v>
      </c>
      <c r="G10196" s="447"/>
      <c r="H10196" s="66">
        <v>90500</v>
      </c>
    </row>
    <row r="10197" spans="1:8" ht="15.6" x14ac:dyDescent="0.3">
      <c r="A10197" s="497" t="s">
        <v>1832</v>
      </c>
      <c r="B10197" s="498"/>
      <c r="C10197" s="498"/>
      <c r="D10197" s="498"/>
      <c r="E10197" s="498"/>
      <c r="F10197" s="447" t="s">
        <v>47</v>
      </c>
      <c r="G10197" s="447"/>
      <c r="H10197" s="66">
        <f>H10196*9%</f>
        <v>8145</v>
      </c>
    </row>
    <row r="10198" spans="1:8" ht="15.6" x14ac:dyDescent="0.3">
      <c r="A10198" s="27"/>
      <c r="B10198" s="28"/>
      <c r="C10198" s="24"/>
      <c r="D10198" s="25"/>
      <c r="E10198" s="25"/>
      <c r="F10198" s="447" t="s">
        <v>48</v>
      </c>
      <c r="G10198" s="447"/>
      <c r="H10198" s="66">
        <f>H10197</f>
        <v>8145</v>
      </c>
    </row>
    <row r="10199" spans="1:8" ht="15.6" x14ac:dyDescent="0.3">
      <c r="A10199" s="448" t="s">
        <v>49</v>
      </c>
      <c r="B10199" s="449"/>
      <c r="C10199" s="24"/>
      <c r="D10199" s="25"/>
      <c r="E10199" s="25"/>
      <c r="F10199" s="447" t="s">
        <v>50</v>
      </c>
      <c r="G10199" s="447"/>
      <c r="H10199" s="66">
        <v>106790</v>
      </c>
    </row>
    <row r="10200" spans="1:8" ht="26.4" x14ac:dyDescent="0.3">
      <c r="A10200" s="68" t="s">
        <v>22</v>
      </c>
      <c r="B10200" s="30" t="s">
        <v>51</v>
      </c>
      <c r="C10200" s="70" t="s">
        <v>24</v>
      </c>
      <c r="D10200" s="70" t="s">
        <v>25</v>
      </c>
      <c r="E10200" s="543" t="s">
        <v>52</v>
      </c>
      <c r="F10200" s="543"/>
      <c r="G10200" s="28"/>
      <c r="H10200" s="66"/>
    </row>
    <row r="10201" spans="1:8" x14ac:dyDescent="0.3">
      <c r="A10201" s="72">
        <v>0.18</v>
      </c>
      <c r="B10201" s="73">
        <f>H10196</f>
        <v>90500</v>
      </c>
      <c r="C10201" s="91">
        <f>H10197</f>
        <v>8145</v>
      </c>
      <c r="D10201" s="91">
        <f>H10197</f>
        <v>8145</v>
      </c>
      <c r="E10201" s="506">
        <f>C10201+D10201</f>
        <v>16290</v>
      </c>
      <c r="F10201" s="507"/>
      <c r="G10201" s="74"/>
      <c r="H10201" s="75"/>
    </row>
    <row r="10202" spans="1:8" x14ac:dyDescent="0.3">
      <c r="A10202" s="508" t="s">
        <v>1831</v>
      </c>
      <c r="B10202" s="509"/>
      <c r="C10202" s="509"/>
      <c r="D10202" s="509"/>
      <c r="E10202" s="453"/>
      <c r="F10202" s="453"/>
      <c r="G10202" s="453"/>
      <c r="H10202" s="454"/>
    </row>
    <row r="10203" spans="1:8" ht="15.6" x14ac:dyDescent="0.3">
      <c r="A10203" s="455" t="s">
        <v>53</v>
      </c>
      <c r="B10203" s="456"/>
      <c r="C10203" s="456"/>
      <c r="D10203" s="457"/>
      <c r="E10203" s="458" t="s">
        <v>54</v>
      </c>
      <c r="F10203" s="459"/>
      <c r="G10203" s="459"/>
      <c r="H10203" s="460"/>
    </row>
    <row r="10204" spans="1:8" x14ac:dyDescent="0.3">
      <c r="A10204" s="461" t="s">
        <v>55</v>
      </c>
      <c r="B10204" s="462"/>
      <c r="C10204" s="462"/>
      <c r="D10204" s="463"/>
      <c r="E10204" s="39"/>
      <c r="F10204" s="28"/>
      <c r="G10204" s="28"/>
      <c r="H10204" s="32"/>
    </row>
    <row r="10205" spans="1:8" x14ac:dyDescent="0.3">
      <c r="A10205" s="461" t="s">
        <v>56</v>
      </c>
      <c r="B10205" s="462"/>
      <c r="C10205" s="462"/>
      <c r="D10205" s="463"/>
      <c r="E10205" s="39"/>
      <c r="F10205" s="28"/>
      <c r="G10205" s="28"/>
      <c r="H10205" s="32"/>
    </row>
    <row r="10206" spans="1:8" x14ac:dyDescent="0.3">
      <c r="A10206" s="461" t="s">
        <v>57</v>
      </c>
      <c r="B10206" s="462"/>
      <c r="C10206" s="462"/>
      <c r="D10206" s="463"/>
      <c r="E10206" s="39"/>
      <c r="F10206" s="28"/>
      <c r="G10206" s="28"/>
      <c r="H10206" s="32"/>
    </row>
    <row r="10207" spans="1:8" ht="15.6" x14ac:dyDescent="0.3">
      <c r="A10207" s="464" t="s">
        <v>58</v>
      </c>
      <c r="B10207" s="465"/>
      <c r="C10207" s="465"/>
      <c r="D10207" s="465"/>
      <c r="E10207" s="466" t="s">
        <v>59</v>
      </c>
      <c r="F10207" s="467"/>
      <c r="G10207" s="467"/>
      <c r="H10207" s="468"/>
    </row>
    <row r="10211" spans="1:8" ht="44.4" x14ac:dyDescent="0.7">
      <c r="A10211" s="469" t="s">
        <v>0</v>
      </c>
      <c r="B10211" s="470"/>
      <c r="C10211" s="470"/>
      <c r="D10211" s="470"/>
      <c r="E10211" s="531" t="s">
        <v>1</v>
      </c>
      <c r="F10211" s="544"/>
      <c r="G10211" s="544"/>
      <c r="H10211" s="545"/>
    </row>
    <row r="10212" spans="1:8" ht="20.399999999999999" x14ac:dyDescent="0.35">
      <c r="A10212" s="1"/>
      <c r="B10212" s="476" t="s">
        <v>2</v>
      </c>
      <c r="C10212" s="476"/>
      <c r="D10212" s="476"/>
      <c r="E10212" s="546"/>
      <c r="F10212" s="546"/>
      <c r="G10212" s="546"/>
      <c r="H10212" s="547"/>
    </row>
    <row r="10213" spans="1:8" x14ac:dyDescent="0.3">
      <c r="A10213" s="477" t="s">
        <v>1150</v>
      </c>
      <c r="B10213" s="478"/>
      <c r="C10213" s="479" t="s">
        <v>4</v>
      </c>
      <c r="D10213" s="479"/>
      <c r="E10213" s="548" t="s">
        <v>5</v>
      </c>
      <c r="F10213" s="549"/>
      <c r="G10213" s="549"/>
      <c r="H10213" s="550"/>
    </row>
    <row r="10214" spans="1:8" ht="15.6" x14ac:dyDescent="0.3">
      <c r="A10214" s="138" t="s">
        <v>6</v>
      </c>
      <c r="B10214" s="5"/>
      <c r="C10214" s="512" t="s">
        <v>7</v>
      </c>
      <c r="D10214" s="513"/>
      <c r="E10214" s="594">
        <v>221</v>
      </c>
      <c r="F10214" s="594"/>
      <c r="G10214" s="179" t="s">
        <v>8</v>
      </c>
      <c r="H10214" s="8">
        <v>46237</v>
      </c>
    </row>
    <row r="10215" spans="1:8" ht="15.6" x14ac:dyDescent="0.3">
      <c r="A10215" s="514" t="s">
        <v>1169</v>
      </c>
      <c r="B10215" s="515"/>
      <c r="C10215" s="516" t="s">
        <v>10</v>
      </c>
      <c r="D10215" s="481"/>
      <c r="E10215" s="482"/>
      <c r="F10215" s="482"/>
      <c r="G10215" s="7" t="s">
        <v>8</v>
      </c>
      <c r="H10215" s="9"/>
    </row>
    <row r="10216" spans="1:8" ht="15" x14ac:dyDescent="0.3">
      <c r="A10216" s="517" t="s">
        <v>1170</v>
      </c>
      <c r="B10216" s="518"/>
      <c r="C10216" s="484" t="s">
        <v>12</v>
      </c>
      <c r="D10216" s="519"/>
      <c r="E10216" s="520"/>
      <c r="F10216" s="520"/>
      <c r="G10216" s="10" t="s">
        <v>8</v>
      </c>
      <c r="H10216" s="11"/>
    </row>
    <row r="10217" spans="1:8" ht="15.6" x14ac:dyDescent="0.3">
      <c r="A10217" s="595" t="s">
        <v>1171</v>
      </c>
      <c r="B10217" s="553"/>
      <c r="C10217" s="521" t="s">
        <v>15</v>
      </c>
      <c r="D10217" s="522"/>
      <c r="E10217" s="523" t="s">
        <v>1172</v>
      </c>
      <c r="F10217" s="524"/>
      <c r="G10217" s="524"/>
      <c r="H10217" s="6"/>
    </row>
    <row r="10218" spans="1:8" ht="15.6" x14ac:dyDescent="0.3">
      <c r="A10218" s="180" t="s">
        <v>13</v>
      </c>
      <c r="B10218" s="181" t="s">
        <v>14</v>
      </c>
      <c r="C10218" s="182"/>
      <c r="D10218" s="50"/>
      <c r="E10218" s="183"/>
      <c r="F10218" s="183"/>
      <c r="G10218" s="183"/>
      <c r="H10218" s="52"/>
    </row>
    <row r="10219" spans="1:8" ht="15" x14ac:dyDescent="0.3">
      <c r="A10219" s="527" t="s">
        <v>17</v>
      </c>
      <c r="B10219" s="505" t="s">
        <v>18</v>
      </c>
      <c r="C10219" s="505" t="s">
        <v>19</v>
      </c>
      <c r="D10219" s="505" t="s">
        <v>20</v>
      </c>
      <c r="E10219" s="505" t="s">
        <v>21</v>
      </c>
      <c r="F10219" s="505" t="s">
        <v>22</v>
      </c>
      <c r="G10219" s="505"/>
      <c r="H10219" s="527" t="s">
        <v>23</v>
      </c>
    </row>
    <row r="10220" spans="1:8" ht="27.6" x14ac:dyDescent="0.3">
      <c r="A10220" s="492"/>
      <c r="B10220" s="494"/>
      <c r="C10220" s="494"/>
      <c r="D10220" s="494"/>
      <c r="E10220" s="494"/>
      <c r="F10220" s="53" t="s">
        <v>24</v>
      </c>
      <c r="G10220" s="53" t="s">
        <v>25</v>
      </c>
      <c r="H10220" s="492"/>
    </row>
    <row r="10221" spans="1:8" x14ac:dyDescent="0.3">
      <c r="A10221" s="186">
        <v>1</v>
      </c>
      <c r="B10221" s="60" t="s">
        <v>1173</v>
      </c>
      <c r="C10221" s="188">
        <v>1</v>
      </c>
      <c r="D10221" s="56">
        <v>998719</v>
      </c>
      <c r="E10221" s="57">
        <v>2500</v>
      </c>
      <c r="F10221" s="58">
        <f>E10221*C10221*9%</f>
        <v>225</v>
      </c>
      <c r="G10221" s="58">
        <f>F10221</f>
        <v>225</v>
      </c>
      <c r="H10221" s="59">
        <f>E10221*C10221+F10221+G10221</f>
        <v>2950</v>
      </c>
    </row>
    <row r="10222" spans="1:8" x14ac:dyDescent="0.3">
      <c r="A10222" s="57"/>
      <c r="B10222" s="60"/>
      <c r="C10222" s="57"/>
      <c r="D10222" s="56"/>
      <c r="E10222" s="57"/>
      <c r="F10222" s="58"/>
      <c r="G10222" s="58"/>
      <c r="H10222" s="59"/>
    </row>
    <row r="10223" spans="1:8" x14ac:dyDescent="0.3">
      <c r="A10223" s="173"/>
      <c r="B10223" s="174"/>
      <c r="C10223" s="175"/>
      <c r="D10223" s="152"/>
      <c r="E10223" s="175"/>
      <c r="F10223" s="165"/>
      <c r="G10223" s="165"/>
      <c r="H10223" s="166"/>
    </row>
    <row r="10224" spans="1:8" x14ac:dyDescent="0.3">
      <c r="A10224" s="173"/>
      <c r="B10224" s="174"/>
      <c r="C10224" s="175"/>
      <c r="D10224" s="152"/>
      <c r="E10224" s="175"/>
      <c r="F10224" s="165"/>
      <c r="G10224" s="165"/>
      <c r="H10224" s="166"/>
    </row>
    <row r="10225" spans="1:8" x14ac:dyDescent="0.3">
      <c r="A10225" s="173"/>
      <c r="B10225" s="174"/>
      <c r="C10225" s="175"/>
      <c r="D10225" s="152"/>
      <c r="E10225" s="175"/>
      <c r="F10225" s="165"/>
      <c r="G10225" s="165"/>
      <c r="H10225" s="166"/>
    </row>
    <row r="10226" spans="1:8" x14ac:dyDescent="0.3">
      <c r="A10226" s="173"/>
      <c r="B10226" s="174"/>
      <c r="C10226" s="175"/>
      <c r="D10226" s="152"/>
      <c r="E10226" s="175"/>
      <c r="F10226" s="165"/>
      <c r="G10226" s="165"/>
      <c r="H10226" s="166"/>
    </row>
    <row r="10227" spans="1:8" x14ac:dyDescent="0.3">
      <c r="A10227" s="173"/>
      <c r="B10227" s="174"/>
      <c r="C10227" s="175"/>
      <c r="D10227" s="152"/>
      <c r="E10227" s="175"/>
      <c r="F10227" s="165"/>
      <c r="G10227" s="165"/>
      <c r="H10227" s="166"/>
    </row>
    <row r="10228" spans="1:8" x14ac:dyDescent="0.3">
      <c r="A10228" s="173"/>
      <c r="B10228" s="174"/>
      <c r="C10228" s="175"/>
      <c r="D10228" s="152"/>
      <c r="E10228" s="175"/>
      <c r="F10228" s="165"/>
      <c r="G10228" s="165"/>
      <c r="H10228" s="166"/>
    </row>
    <row r="10229" spans="1:8" x14ac:dyDescent="0.3">
      <c r="A10229" s="173"/>
      <c r="B10229" s="174"/>
      <c r="C10229" s="175"/>
      <c r="D10229" s="152"/>
      <c r="E10229" s="175"/>
      <c r="F10229" s="165"/>
      <c r="G10229" s="165"/>
      <c r="H10229" s="166"/>
    </row>
    <row r="10230" spans="1:8" x14ac:dyDescent="0.3">
      <c r="A10230" s="173"/>
      <c r="B10230" s="174"/>
      <c r="C10230" s="175"/>
      <c r="D10230" s="152"/>
      <c r="E10230" s="175"/>
      <c r="F10230" s="165"/>
      <c r="G10230" s="165"/>
      <c r="H10230" s="166"/>
    </row>
    <row r="10231" spans="1:8" x14ac:dyDescent="0.3">
      <c r="A10231" s="173"/>
      <c r="B10231" s="174"/>
      <c r="C10231" s="175"/>
      <c r="D10231" s="152"/>
      <c r="E10231" s="175"/>
      <c r="F10231" s="165"/>
      <c r="G10231" s="165"/>
      <c r="H10231" s="166"/>
    </row>
    <row r="10232" spans="1:8" x14ac:dyDescent="0.3">
      <c r="A10232" s="173"/>
      <c r="B10232" s="174"/>
      <c r="C10232" s="175"/>
      <c r="D10232" s="152"/>
      <c r="E10232" s="175"/>
      <c r="F10232" s="165"/>
      <c r="G10232" s="165"/>
      <c r="H10232" s="166"/>
    </row>
    <row r="10233" spans="1:8" x14ac:dyDescent="0.3">
      <c r="A10233" s="173"/>
      <c r="B10233" s="174"/>
      <c r="C10233" s="175"/>
      <c r="D10233" s="152"/>
      <c r="E10233" s="175"/>
      <c r="F10233" s="165"/>
      <c r="G10233" s="165"/>
      <c r="H10233" s="166"/>
    </row>
    <row r="10234" spans="1:8" x14ac:dyDescent="0.3">
      <c r="A10234" s="173"/>
      <c r="B10234" s="174"/>
      <c r="C10234" s="175"/>
      <c r="D10234" s="152"/>
      <c r="E10234" s="175"/>
      <c r="F10234" s="165"/>
      <c r="G10234" s="165"/>
      <c r="H10234" s="166"/>
    </row>
    <row r="10235" spans="1:8" x14ac:dyDescent="0.3">
      <c r="A10235" s="173"/>
      <c r="B10235" s="174"/>
      <c r="C10235" s="175"/>
      <c r="D10235" s="152"/>
      <c r="E10235" s="175"/>
      <c r="F10235" s="165"/>
      <c r="G10235" s="165"/>
      <c r="H10235" s="166"/>
    </row>
    <row r="10236" spans="1:8" x14ac:dyDescent="0.3">
      <c r="A10236" s="27"/>
      <c r="B10236" s="174"/>
      <c r="C10236" s="24"/>
      <c r="D10236" s="152"/>
      <c r="E10236" s="175"/>
      <c r="F10236" s="175"/>
      <c r="G10236" s="162"/>
      <c r="H10236" s="154"/>
    </row>
    <row r="10237" spans="1:8" x14ac:dyDescent="0.3">
      <c r="A10237" s="27"/>
      <c r="B10237" s="174"/>
      <c r="C10237" s="24"/>
      <c r="D10237" s="152"/>
      <c r="E10237" s="25"/>
      <c r="F10237" s="175"/>
      <c r="G10237" s="162"/>
      <c r="H10237" s="154"/>
    </row>
    <row r="10238" spans="1:8" x14ac:dyDescent="0.3">
      <c r="A10238" s="27"/>
      <c r="B10238" s="28"/>
      <c r="C10238" s="24"/>
      <c r="D10238" s="152"/>
      <c r="E10238" s="25"/>
      <c r="F10238" s="175"/>
      <c r="G10238" s="162"/>
      <c r="H10238" s="154"/>
    </row>
    <row r="10239" spans="1:8" x14ac:dyDescent="0.3">
      <c r="A10239" s="27"/>
      <c r="B10239" s="28"/>
      <c r="C10239" s="24"/>
      <c r="D10239" s="25"/>
      <c r="E10239" s="25"/>
      <c r="F10239" s="25"/>
      <c r="G10239" s="28"/>
      <c r="H10239" s="32"/>
    </row>
    <row r="10240" spans="1:8" ht="15.6" x14ac:dyDescent="0.3">
      <c r="A10240" s="448" t="s">
        <v>45</v>
      </c>
      <c r="B10240" s="449"/>
      <c r="C10240" s="24"/>
      <c r="D10240" s="25"/>
      <c r="E10240" s="25"/>
      <c r="F10240" s="447" t="s">
        <v>46</v>
      </c>
      <c r="G10240" s="447"/>
      <c r="H10240" s="66">
        <v>2500</v>
      </c>
    </row>
    <row r="10241" spans="1:8" ht="15.6" x14ac:dyDescent="0.3">
      <c r="A10241" s="497" t="s">
        <v>1723</v>
      </c>
      <c r="B10241" s="498"/>
      <c r="C10241" s="498"/>
      <c r="D10241" s="498"/>
      <c r="E10241" s="498"/>
      <c r="F10241" s="447" t="s">
        <v>47</v>
      </c>
      <c r="G10241" s="447"/>
      <c r="H10241" s="66">
        <f>H10240*9%</f>
        <v>225</v>
      </c>
    </row>
    <row r="10242" spans="1:8" ht="15.6" x14ac:dyDescent="0.3">
      <c r="A10242" s="27"/>
      <c r="B10242" s="28"/>
      <c r="C10242" s="24"/>
      <c r="D10242" s="25"/>
      <c r="E10242" s="25"/>
      <c r="F10242" s="447" t="s">
        <v>48</v>
      </c>
      <c r="G10242" s="447"/>
      <c r="H10242" s="66">
        <f>H10241</f>
        <v>225</v>
      </c>
    </row>
    <row r="10243" spans="1:8" ht="15.6" x14ac:dyDescent="0.3">
      <c r="A10243" s="448" t="s">
        <v>49</v>
      </c>
      <c r="B10243" s="449"/>
      <c r="C10243" s="24"/>
      <c r="D10243" s="25"/>
      <c r="E10243" s="25"/>
      <c r="F10243" s="447" t="s">
        <v>50</v>
      </c>
      <c r="G10243" s="447"/>
      <c r="H10243" s="66">
        <f>H10240+H10241+H10242</f>
        <v>2950</v>
      </c>
    </row>
    <row r="10244" spans="1:8" ht="15.6" x14ac:dyDescent="0.3">
      <c r="A10244" s="90"/>
      <c r="B10244" s="177"/>
      <c r="C10244" s="24"/>
      <c r="D10244" s="25"/>
      <c r="E10244" s="25"/>
      <c r="F10244" s="26"/>
      <c r="G10244" s="26"/>
      <c r="H10244" s="66"/>
    </row>
    <row r="10245" spans="1:8" ht="27" x14ac:dyDescent="0.3">
      <c r="A10245" s="29" t="s">
        <v>22</v>
      </c>
      <c r="B10245" s="30" t="s">
        <v>51</v>
      </c>
      <c r="C10245" s="31" t="s">
        <v>24</v>
      </c>
      <c r="D10245" s="31" t="s">
        <v>25</v>
      </c>
      <c r="E10245" s="528" t="s">
        <v>52</v>
      </c>
      <c r="F10245" s="528"/>
      <c r="G10245" s="28"/>
      <c r="H10245" s="32"/>
    </row>
    <row r="10246" spans="1:8" x14ac:dyDescent="0.3">
      <c r="A10246" s="33">
        <v>0.18</v>
      </c>
      <c r="B10246" s="34">
        <f>H10240</f>
        <v>2500</v>
      </c>
      <c r="C10246" s="35">
        <f>H10241</f>
        <v>225</v>
      </c>
      <c r="D10246" s="35">
        <f>H10242</f>
        <v>225</v>
      </c>
      <c r="E10246" s="529">
        <f>C10246+D10246</f>
        <v>450</v>
      </c>
      <c r="F10246" s="530"/>
      <c r="G10246" s="28"/>
      <c r="H10246" s="32"/>
    </row>
    <row r="10247" spans="1:8" x14ac:dyDescent="0.3">
      <c r="A10247" s="452" t="s">
        <v>1724</v>
      </c>
      <c r="B10247" s="453"/>
      <c r="C10247" s="453"/>
      <c r="D10247" s="453"/>
      <c r="E10247" s="453"/>
      <c r="F10247" s="453"/>
      <c r="G10247" s="453"/>
      <c r="H10247" s="454"/>
    </row>
    <row r="10248" spans="1:8" ht="15.6" x14ac:dyDescent="0.3">
      <c r="A10248" s="455" t="s">
        <v>53</v>
      </c>
      <c r="B10248" s="456"/>
      <c r="C10248" s="456"/>
      <c r="D10248" s="457"/>
      <c r="E10248" s="458" t="s">
        <v>54</v>
      </c>
      <c r="F10248" s="459"/>
      <c r="G10248" s="459"/>
      <c r="H10248" s="460"/>
    </row>
    <row r="10249" spans="1:8" x14ac:dyDescent="0.3">
      <c r="A10249" s="461" t="s">
        <v>55</v>
      </c>
      <c r="B10249" s="462"/>
      <c r="C10249" s="462"/>
      <c r="D10249" s="463"/>
      <c r="E10249" s="39"/>
      <c r="F10249" s="25"/>
      <c r="G10249" s="28"/>
      <c r="H10249" s="32"/>
    </row>
    <row r="10250" spans="1:8" x14ac:dyDescent="0.3">
      <c r="A10250" s="461" t="s">
        <v>56</v>
      </c>
      <c r="B10250" s="462"/>
      <c r="C10250" s="462"/>
      <c r="D10250" s="463"/>
      <c r="E10250" s="39"/>
      <c r="F10250" s="25"/>
      <c r="G10250" s="28"/>
      <c r="H10250" s="32"/>
    </row>
    <row r="10251" spans="1:8" x14ac:dyDescent="0.3">
      <c r="A10251" s="461" t="s">
        <v>57</v>
      </c>
      <c r="B10251" s="462"/>
      <c r="C10251" s="462"/>
      <c r="D10251" s="463"/>
      <c r="E10251" s="25"/>
      <c r="F10251" s="25"/>
      <c r="G10251" s="28"/>
      <c r="H10251" s="32"/>
    </row>
    <row r="10252" spans="1:8" ht="15.6" x14ac:dyDescent="0.3">
      <c r="A10252" s="464" t="s">
        <v>58</v>
      </c>
      <c r="B10252" s="465"/>
      <c r="C10252" s="465"/>
      <c r="D10252" s="510"/>
      <c r="E10252" s="466" t="s">
        <v>59</v>
      </c>
      <c r="F10252" s="467"/>
      <c r="G10252" s="467"/>
      <c r="H10252" s="468"/>
    </row>
    <row r="10256" spans="1:8" ht="44.4" x14ac:dyDescent="0.7">
      <c r="A10256" s="469" t="s">
        <v>0</v>
      </c>
      <c r="B10256" s="470"/>
      <c r="C10256" s="470"/>
      <c r="D10256" s="470"/>
      <c r="E10256" s="531" t="s">
        <v>1</v>
      </c>
      <c r="F10256" s="544"/>
      <c r="G10256" s="544"/>
      <c r="H10256" s="545"/>
    </row>
    <row r="10257" spans="1:8" ht="20.399999999999999" x14ac:dyDescent="0.35">
      <c r="A10257" s="156"/>
      <c r="B10257" s="476" t="s">
        <v>2</v>
      </c>
      <c r="C10257" s="476"/>
      <c r="D10257" s="476"/>
      <c r="E10257" s="546"/>
      <c r="F10257" s="546"/>
      <c r="G10257" s="546"/>
      <c r="H10257" s="547"/>
    </row>
    <row r="10258" spans="1:8" x14ac:dyDescent="0.3">
      <c r="A10258" s="477" t="s">
        <v>3</v>
      </c>
      <c r="B10258" s="478"/>
      <c r="C10258" s="479" t="s">
        <v>4</v>
      </c>
      <c r="D10258" s="479"/>
      <c r="E10258" s="480" t="s">
        <v>5</v>
      </c>
      <c r="F10258" s="480"/>
      <c r="G10258" s="480"/>
      <c r="H10258" s="480"/>
    </row>
    <row r="10259" spans="1:8" ht="15.6" x14ac:dyDescent="0.3">
      <c r="A10259" s="158" t="s">
        <v>6</v>
      </c>
      <c r="B10259" s="5"/>
      <c r="C10259" s="481" t="s">
        <v>7</v>
      </c>
      <c r="D10259" s="481"/>
      <c r="E10259" s="482">
        <v>222</v>
      </c>
      <c r="F10259" s="482"/>
      <c r="G10259" s="7" t="s">
        <v>8</v>
      </c>
      <c r="H10259" s="8">
        <v>46237</v>
      </c>
    </row>
    <row r="10260" spans="1:8" ht="15.6" x14ac:dyDescent="0.3">
      <c r="A10260" s="551" t="s">
        <v>1006</v>
      </c>
      <c r="B10260" s="552"/>
      <c r="C10260" s="481" t="s">
        <v>10</v>
      </c>
      <c r="D10260" s="481"/>
      <c r="E10260" s="482"/>
      <c r="F10260" s="482"/>
      <c r="G10260" s="7" t="s">
        <v>8</v>
      </c>
      <c r="H10260" s="9"/>
    </row>
    <row r="10261" spans="1:8" ht="15.6" x14ac:dyDescent="0.3">
      <c r="A10261" s="517" t="s">
        <v>1007</v>
      </c>
      <c r="B10261" s="553"/>
      <c r="C10261" s="483" t="s">
        <v>12</v>
      </c>
      <c r="D10261" s="484"/>
      <c r="E10261" s="482"/>
      <c r="F10261" s="482"/>
      <c r="G10261" s="10" t="s">
        <v>8</v>
      </c>
      <c r="H10261" s="82"/>
    </row>
    <row r="10262" spans="1:8" ht="15.6" x14ac:dyDescent="0.3">
      <c r="A10262" s="556" t="s">
        <v>1008</v>
      </c>
      <c r="B10262" s="557"/>
      <c r="C10262" s="481" t="s">
        <v>15</v>
      </c>
      <c r="D10262" s="481"/>
      <c r="E10262" s="502" t="s">
        <v>1009</v>
      </c>
      <c r="F10262" s="503"/>
      <c r="G10262" s="503"/>
      <c r="H10262" s="504"/>
    </row>
    <row r="10263" spans="1:8" ht="15.6" x14ac:dyDescent="0.3">
      <c r="A10263" s="558" t="s">
        <v>1010</v>
      </c>
      <c r="B10263" s="559"/>
      <c r="C10263" s="489"/>
      <c r="D10263" s="490"/>
      <c r="E10263" s="490"/>
      <c r="F10263" s="490"/>
      <c r="G10263" s="490"/>
      <c r="H10263" s="491"/>
    </row>
    <row r="10264" spans="1:8" ht="15" x14ac:dyDescent="0.3">
      <c r="A10264" s="492" t="s">
        <v>17</v>
      </c>
      <c r="B10264" s="494" t="s">
        <v>18</v>
      </c>
      <c r="C10264" s="494" t="s">
        <v>19</v>
      </c>
      <c r="D10264" s="494" t="s">
        <v>20</v>
      </c>
      <c r="E10264" s="494" t="s">
        <v>21</v>
      </c>
      <c r="F10264" s="494" t="s">
        <v>22</v>
      </c>
      <c r="G10264" s="494"/>
      <c r="H10264" s="493" t="s">
        <v>23</v>
      </c>
    </row>
    <row r="10265" spans="1:8" ht="27.6" x14ac:dyDescent="0.3">
      <c r="A10265" s="492"/>
      <c r="B10265" s="494"/>
      <c r="C10265" s="494"/>
      <c r="D10265" s="494"/>
      <c r="E10265" s="494"/>
      <c r="F10265" s="53" t="s">
        <v>24</v>
      </c>
      <c r="G10265" s="53" t="s">
        <v>25</v>
      </c>
      <c r="H10265" s="527"/>
    </row>
    <row r="10266" spans="1:8" x14ac:dyDescent="0.3">
      <c r="A10266" s="57">
        <v>1</v>
      </c>
      <c r="B10266" s="60" t="s">
        <v>1725</v>
      </c>
      <c r="C10266" s="57">
        <v>3</v>
      </c>
      <c r="D10266" s="83">
        <v>998719</v>
      </c>
      <c r="E10266" s="57">
        <v>2000</v>
      </c>
      <c r="F10266" s="58">
        <f t="shared" ref="F10266" si="284">E10266*C10266*9%</f>
        <v>540</v>
      </c>
      <c r="G10266" s="58">
        <f t="shared" ref="G10266" si="285">F10266</f>
        <v>540</v>
      </c>
      <c r="H10266" s="59">
        <f t="shared" ref="H10266" si="286">G10266+F10266+E10266*C10266</f>
        <v>7080</v>
      </c>
    </row>
    <row r="10267" spans="1:8" x14ac:dyDescent="0.3">
      <c r="A10267" s="57"/>
      <c r="B10267" s="60"/>
      <c r="C10267" s="57"/>
      <c r="D10267" s="83"/>
      <c r="E10267" s="57"/>
      <c r="F10267" s="58"/>
      <c r="G10267" s="58"/>
      <c r="H10267" s="59"/>
    </row>
    <row r="10268" spans="1:8" x14ac:dyDescent="0.3">
      <c r="A10268" s="57"/>
      <c r="B10268" s="60"/>
      <c r="C10268" s="57"/>
      <c r="D10268" s="83"/>
      <c r="E10268" s="57"/>
      <c r="F10268" s="58"/>
      <c r="G10268" s="58"/>
      <c r="H10268" s="59"/>
    </row>
    <row r="10269" spans="1:8" x14ac:dyDescent="0.3">
      <c r="A10269" s="57"/>
      <c r="B10269" s="60"/>
      <c r="C10269" s="57"/>
      <c r="D10269" s="83"/>
      <c r="E10269" s="57"/>
      <c r="F10269" s="58"/>
      <c r="G10269" s="58"/>
      <c r="H10269" s="59"/>
    </row>
    <row r="10270" spans="1:8" x14ac:dyDescent="0.3">
      <c r="A10270" s="57"/>
      <c r="B10270" s="60"/>
      <c r="C10270" s="55"/>
      <c r="D10270" s="83"/>
      <c r="E10270" s="55"/>
      <c r="F10270" s="58"/>
      <c r="G10270" s="58"/>
      <c r="H10270" s="59"/>
    </row>
    <row r="10271" spans="1:8" x14ac:dyDescent="0.3">
      <c r="A10271" s="57"/>
      <c r="B10271" s="84"/>
      <c r="C10271" s="55"/>
      <c r="D10271" s="83"/>
      <c r="E10271" s="55"/>
      <c r="F10271" s="93"/>
      <c r="G10271" s="93"/>
      <c r="H10271" s="62"/>
    </row>
    <row r="10272" spans="1:8" x14ac:dyDescent="0.3">
      <c r="A10272" s="57"/>
      <c r="B10272" s="84"/>
      <c r="C10272" s="55"/>
      <c r="D10272" s="83"/>
      <c r="E10272" s="55"/>
      <c r="F10272" s="93"/>
      <c r="G10272" s="93"/>
      <c r="H10272" s="62"/>
    </row>
    <row r="10273" spans="1:8" x14ac:dyDescent="0.3">
      <c r="A10273" s="57"/>
      <c r="B10273" s="60"/>
      <c r="C10273" s="55"/>
      <c r="D10273" s="83"/>
      <c r="E10273" s="55"/>
      <c r="F10273" s="93"/>
      <c r="G10273" s="93"/>
      <c r="H10273" s="62"/>
    </row>
    <row r="10274" spans="1:8" x14ac:dyDescent="0.3">
      <c r="A10274" s="57"/>
      <c r="B10274" s="84"/>
      <c r="C10274" s="55"/>
      <c r="D10274" s="83"/>
      <c r="E10274" s="55"/>
      <c r="F10274" s="93"/>
      <c r="G10274" s="93"/>
      <c r="H10274" s="62"/>
    </row>
    <row r="10275" spans="1:8" x14ac:dyDescent="0.3">
      <c r="A10275" s="57"/>
      <c r="B10275" s="94"/>
      <c r="C10275" s="55"/>
      <c r="D10275" s="83"/>
      <c r="E10275" s="47"/>
      <c r="F10275" s="47"/>
      <c r="G10275" s="47"/>
      <c r="H10275" s="47"/>
    </row>
    <row r="10276" spans="1:8" x14ac:dyDescent="0.3">
      <c r="A10276" s="57"/>
      <c r="B10276" s="94"/>
      <c r="C10276" s="55"/>
      <c r="D10276" s="83"/>
      <c r="E10276" s="47"/>
      <c r="F10276" s="47"/>
      <c r="G10276" s="47"/>
      <c r="H10276" s="47"/>
    </row>
    <row r="10277" spans="1:8" x14ac:dyDescent="0.3">
      <c r="A10277" s="57"/>
      <c r="B10277" s="94"/>
      <c r="C10277" s="55"/>
      <c r="D10277" s="86"/>
      <c r="E10277" s="47"/>
      <c r="F10277" s="47"/>
      <c r="G10277" s="47"/>
      <c r="H10277" s="47"/>
    </row>
    <row r="10278" spans="1:8" x14ac:dyDescent="0.3">
      <c r="A10278" s="27"/>
      <c r="B10278" s="28"/>
      <c r="C10278" s="24"/>
      <c r="D10278" s="89"/>
      <c r="E10278" s="25"/>
      <c r="F10278" s="25"/>
      <c r="G10278" s="25"/>
      <c r="H10278" s="32"/>
    </row>
    <row r="10279" spans="1:8" x14ac:dyDescent="0.3">
      <c r="A10279" s="27"/>
      <c r="B10279" s="28"/>
      <c r="C10279" s="24"/>
      <c r="D10279" s="89"/>
      <c r="E10279" s="25"/>
      <c r="F10279" s="25"/>
      <c r="G10279" s="25"/>
      <c r="H10279" s="32"/>
    </row>
    <row r="10280" spans="1:8" x14ac:dyDescent="0.3">
      <c r="A10280" s="27"/>
      <c r="B10280" s="28"/>
      <c r="C10280" s="24"/>
      <c r="D10280" s="89"/>
      <c r="E10280" s="25"/>
      <c r="F10280" s="25"/>
      <c r="G10280" s="25"/>
      <c r="H10280" s="32"/>
    </row>
    <row r="10281" spans="1:8" x14ac:dyDescent="0.3">
      <c r="A10281" s="27"/>
      <c r="B10281" s="28"/>
      <c r="C10281" s="24"/>
      <c r="D10281" s="89"/>
      <c r="E10281" s="25"/>
      <c r="F10281" s="25"/>
      <c r="G10281" s="25"/>
      <c r="H10281" s="32"/>
    </row>
    <row r="10282" spans="1:8" x14ac:dyDescent="0.3">
      <c r="A10282" s="27"/>
      <c r="B10282" s="28"/>
      <c r="C10282" s="24"/>
      <c r="D10282" s="89"/>
      <c r="E10282" s="25"/>
      <c r="F10282" s="25"/>
      <c r="G10282" s="25"/>
      <c r="H10282" s="32"/>
    </row>
    <row r="10283" spans="1:8" x14ac:dyDescent="0.3">
      <c r="A10283" s="27"/>
      <c r="B10283" s="28"/>
      <c r="C10283" s="24"/>
      <c r="D10283" s="89"/>
      <c r="E10283" s="25"/>
      <c r="F10283" s="25"/>
      <c r="G10283" s="25"/>
      <c r="H10283" s="32"/>
    </row>
    <row r="10284" spans="1:8" x14ac:dyDescent="0.3">
      <c r="A10284" s="159"/>
      <c r="B10284" s="28"/>
      <c r="C10284" s="24"/>
      <c r="D10284" s="25"/>
      <c r="E10284" s="25"/>
      <c r="F10284" s="28"/>
      <c r="G10284" s="28"/>
      <c r="H10284" s="32"/>
    </row>
    <row r="10285" spans="1:8" x14ac:dyDescent="0.3">
      <c r="A10285" s="159"/>
      <c r="B10285" s="28"/>
      <c r="C10285" s="24"/>
      <c r="D10285" s="25"/>
      <c r="E10285" s="25"/>
      <c r="F10285" s="28"/>
      <c r="G10285" s="28"/>
      <c r="H10285" s="32"/>
    </row>
    <row r="10286" spans="1:8" x14ac:dyDescent="0.3">
      <c r="A10286" s="159"/>
      <c r="B10286" s="28"/>
      <c r="C10286" s="24"/>
      <c r="D10286" s="25"/>
      <c r="E10286" s="25"/>
      <c r="F10286" s="28"/>
      <c r="G10286" s="28"/>
      <c r="H10286" s="32"/>
    </row>
    <row r="10287" spans="1:8" ht="15.6" x14ac:dyDescent="0.3">
      <c r="A10287" s="64" t="s">
        <v>45</v>
      </c>
      <c r="B10287" s="28"/>
      <c r="C10287" s="24"/>
      <c r="D10287" s="25"/>
      <c r="E10287" s="25"/>
      <c r="F10287" s="447" t="s">
        <v>46</v>
      </c>
      <c r="G10287" s="447"/>
      <c r="H10287" s="66">
        <v>6000</v>
      </c>
    </row>
    <row r="10288" spans="1:8" ht="15.6" x14ac:dyDescent="0.3">
      <c r="A10288" s="497" t="s">
        <v>1726</v>
      </c>
      <c r="B10288" s="498"/>
      <c r="C10288" s="498"/>
      <c r="D10288" s="498"/>
      <c r="E10288" s="498"/>
      <c r="F10288" s="447" t="s">
        <v>47</v>
      </c>
      <c r="G10288" s="447"/>
      <c r="H10288" s="66">
        <f>H10287*9%</f>
        <v>540</v>
      </c>
    </row>
    <row r="10289" spans="1:8" ht="15.6" x14ac:dyDescent="0.3">
      <c r="A10289" s="159"/>
      <c r="B10289" s="28"/>
      <c r="C10289" s="24"/>
      <c r="D10289" s="25"/>
      <c r="E10289" s="25"/>
      <c r="F10289" s="447" t="s">
        <v>48</v>
      </c>
      <c r="G10289" s="447"/>
      <c r="H10289" s="66">
        <f>H10287*9%</f>
        <v>540</v>
      </c>
    </row>
    <row r="10290" spans="1:8" ht="15.6" x14ac:dyDescent="0.3">
      <c r="A10290" s="64" t="s">
        <v>49</v>
      </c>
      <c r="B10290" s="28"/>
      <c r="C10290" s="24"/>
      <c r="D10290" s="25"/>
      <c r="E10290" s="25"/>
      <c r="F10290" s="447" t="s">
        <v>50</v>
      </c>
      <c r="G10290" s="447"/>
      <c r="H10290" s="66">
        <f>H10287+H10288+H10289</f>
        <v>7080</v>
      </c>
    </row>
    <row r="10291" spans="1:8" ht="26.4" x14ac:dyDescent="0.3">
      <c r="A10291" s="160" t="s">
        <v>22</v>
      </c>
      <c r="B10291" s="71" t="s">
        <v>51</v>
      </c>
      <c r="C10291" s="161" t="s">
        <v>24</v>
      </c>
      <c r="D10291" s="161" t="s">
        <v>25</v>
      </c>
      <c r="E10291" s="528" t="s">
        <v>52</v>
      </c>
      <c r="F10291" s="528"/>
      <c r="G10291" s="162"/>
      <c r="H10291" s="154"/>
    </row>
    <row r="10292" spans="1:8" x14ac:dyDescent="0.3">
      <c r="A10292" s="72">
        <v>0.18</v>
      </c>
      <c r="B10292" s="73">
        <f>H10287</f>
        <v>6000</v>
      </c>
      <c r="C10292" s="74">
        <f>H10288</f>
        <v>540</v>
      </c>
      <c r="D10292" s="74">
        <f>H10288</f>
        <v>540</v>
      </c>
      <c r="E10292" s="507">
        <f>C10292+D10292</f>
        <v>1080</v>
      </c>
      <c r="F10292" s="507"/>
      <c r="G10292" s="74"/>
      <c r="H10292" s="75"/>
    </row>
    <row r="10293" spans="1:8" x14ac:dyDescent="0.3">
      <c r="A10293" s="508" t="s">
        <v>1727</v>
      </c>
      <c r="B10293" s="509"/>
      <c r="C10293" s="509"/>
      <c r="D10293" s="509"/>
      <c r="E10293" s="453"/>
      <c r="F10293" s="453"/>
      <c r="G10293" s="453"/>
      <c r="H10293" s="454"/>
    </row>
    <row r="10294" spans="1:8" ht="15.6" x14ac:dyDescent="0.3">
      <c r="A10294" s="455" t="s">
        <v>53</v>
      </c>
      <c r="B10294" s="456"/>
      <c r="C10294" s="456"/>
      <c r="D10294" s="457"/>
      <c r="E10294" s="458" t="s">
        <v>54</v>
      </c>
      <c r="F10294" s="459"/>
      <c r="G10294" s="459"/>
      <c r="H10294" s="460"/>
    </row>
    <row r="10295" spans="1:8" x14ac:dyDescent="0.3">
      <c r="A10295" s="461" t="s">
        <v>55</v>
      </c>
      <c r="B10295" s="462"/>
      <c r="C10295" s="462"/>
      <c r="D10295" s="463"/>
      <c r="E10295" s="39"/>
      <c r="F10295" s="25"/>
      <c r="G10295" s="28"/>
      <c r="H10295" s="32"/>
    </row>
    <row r="10296" spans="1:8" x14ac:dyDescent="0.3">
      <c r="A10296" s="461" t="s">
        <v>56</v>
      </c>
      <c r="B10296" s="462"/>
      <c r="C10296" s="462"/>
      <c r="D10296" s="463"/>
      <c r="E10296" s="39"/>
      <c r="F10296" s="25"/>
      <c r="G10296" s="28"/>
      <c r="H10296" s="32"/>
    </row>
    <row r="10297" spans="1:8" x14ac:dyDescent="0.3">
      <c r="A10297" s="461" t="s">
        <v>57</v>
      </c>
      <c r="B10297" s="462"/>
      <c r="C10297" s="462"/>
      <c r="D10297" s="463"/>
      <c r="E10297" s="25"/>
      <c r="F10297" s="25"/>
      <c r="G10297" s="28"/>
      <c r="H10297" s="32"/>
    </row>
    <row r="10298" spans="1:8" ht="15.6" x14ac:dyDescent="0.3">
      <c r="A10298" s="464" t="s">
        <v>58</v>
      </c>
      <c r="B10298" s="465"/>
      <c r="C10298" s="465"/>
      <c r="D10298" s="510"/>
      <c r="E10298" s="466" t="s">
        <v>59</v>
      </c>
      <c r="F10298" s="467"/>
      <c r="G10298" s="467"/>
      <c r="H10298" s="468"/>
    </row>
    <row r="10302" spans="1:8" ht="44.4" x14ac:dyDescent="0.7">
      <c r="A10302" s="469" t="s">
        <v>0</v>
      </c>
      <c r="B10302" s="470"/>
      <c r="C10302" s="470"/>
      <c r="D10302" s="470"/>
      <c r="E10302" s="531" t="s">
        <v>1</v>
      </c>
      <c r="F10302" s="531"/>
      <c r="G10302" s="531"/>
      <c r="H10302" s="532"/>
    </row>
    <row r="10303" spans="1:8" ht="20.399999999999999" x14ac:dyDescent="0.35">
      <c r="A10303" s="1"/>
      <c r="B10303" s="535" t="s">
        <v>2</v>
      </c>
      <c r="C10303" s="535"/>
      <c r="D10303" s="535"/>
      <c r="E10303" s="533"/>
      <c r="F10303" s="533"/>
      <c r="G10303" s="533"/>
      <c r="H10303" s="534"/>
    </row>
    <row r="10304" spans="1:8" x14ac:dyDescent="0.3">
      <c r="A10304" s="477" t="s">
        <v>3</v>
      </c>
      <c r="B10304" s="511"/>
      <c r="C10304" s="588" t="s">
        <v>4</v>
      </c>
      <c r="D10304" s="589"/>
      <c r="E10304" s="590" t="s">
        <v>5</v>
      </c>
      <c r="F10304" s="591"/>
      <c r="G10304" s="591"/>
      <c r="H10304" s="592"/>
    </row>
    <row r="10305" spans="1:9" ht="15.6" x14ac:dyDescent="0.3">
      <c r="A10305" s="4" t="s">
        <v>6</v>
      </c>
      <c r="B10305" s="5"/>
      <c r="C10305" s="536" t="s">
        <v>7</v>
      </c>
      <c r="D10305" s="516"/>
      <c r="E10305" s="489">
        <v>223</v>
      </c>
      <c r="F10305" s="491"/>
      <c r="G10305" s="7" t="s">
        <v>8</v>
      </c>
      <c r="H10305" s="250">
        <v>46268</v>
      </c>
    </row>
    <row r="10306" spans="1:9" ht="15.6" x14ac:dyDescent="0.3">
      <c r="A10306" s="551" t="s">
        <v>1710</v>
      </c>
      <c r="B10306" s="552"/>
      <c r="C10306" s="536" t="s">
        <v>10</v>
      </c>
      <c r="D10306" s="516"/>
      <c r="E10306" s="489"/>
      <c r="F10306" s="491"/>
      <c r="G10306" s="7" t="s">
        <v>8</v>
      </c>
      <c r="H10306" s="251"/>
    </row>
    <row r="10307" spans="1:9" ht="15" x14ac:dyDescent="0.3">
      <c r="A10307" s="560" t="s">
        <v>497</v>
      </c>
      <c r="B10307" s="561"/>
      <c r="C10307" s="483" t="s">
        <v>12</v>
      </c>
      <c r="D10307" s="484"/>
      <c r="E10307" s="564"/>
      <c r="F10307" s="593"/>
      <c r="G10307" s="10" t="s">
        <v>8</v>
      </c>
      <c r="H10307" s="252"/>
    </row>
    <row r="10308" spans="1:9" ht="15.6" x14ac:dyDescent="0.3">
      <c r="A10308" s="253" t="s">
        <v>1711</v>
      </c>
      <c r="B10308" s="254"/>
      <c r="C10308" s="536" t="s">
        <v>15</v>
      </c>
      <c r="D10308" s="516"/>
      <c r="E10308" s="489" t="s">
        <v>1712</v>
      </c>
      <c r="F10308" s="490"/>
      <c r="G10308" s="490"/>
      <c r="H10308" s="491"/>
    </row>
    <row r="10309" spans="1:9" ht="15.6" x14ac:dyDescent="0.3">
      <c r="A10309" s="255" t="s">
        <v>182</v>
      </c>
      <c r="B10309" s="256"/>
      <c r="C10309" s="489"/>
      <c r="D10309" s="490"/>
      <c r="E10309" s="490"/>
      <c r="F10309" s="490"/>
      <c r="G10309" s="490"/>
      <c r="H10309" s="491"/>
    </row>
    <row r="10310" spans="1:9" ht="15" x14ac:dyDescent="0.3">
      <c r="A10310" s="493" t="s">
        <v>17</v>
      </c>
      <c r="B10310" s="495" t="s">
        <v>18</v>
      </c>
      <c r="C10310" s="495" t="s">
        <v>19</v>
      </c>
      <c r="D10310" s="495" t="s">
        <v>20</v>
      </c>
      <c r="E10310" s="495" t="s">
        <v>21</v>
      </c>
      <c r="F10310" s="541" t="s">
        <v>22</v>
      </c>
      <c r="G10310" s="542"/>
      <c r="H10310" s="493" t="s">
        <v>23</v>
      </c>
    </row>
    <row r="10311" spans="1:9" ht="27.6" x14ac:dyDescent="0.3">
      <c r="A10311" s="527"/>
      <c r="B10311" s="505"/>
      <c r="C10311" s="505"/>
      <c r="D10311" s="505"/>
      <c r="E10311" s="505"/>
      <c r="F10311" s="53" t="s">
        <v>24</v>
      </c>
      <c r="G10311" s="53" t="s">
        <v>25</v>
      </c>
      <c r="H10311" s="527"/>
    </row>
    <row r="10312" spans="1:9" x14ac:dyDescent="0.3">
      <c r="A10312" s="55">
        <v>1</v>
      </c>
      <c r="B10312" s="257" t="s">
        <v>1733</v>
      </c>
      <c r="C10312" s="258">
        <v>3</v>
      </c>
      <c r="D10312" s="86">
        <v>998719</v>
      </c>
      <c r="E10312" s="55">
        <v>4300</v>
      </c>
      <c r="F10312" s="259">
        <f>E10312*C10312*9%</f>
        <v>1161</v>
      </c>
      <c r="G10312" s="259">
        <f>F10312</f>
        <v>1161</v>
      </c>
      <c r="H10312" s="258">
        <f>G10312+F10312+E10312*C10312</f>
        <v>15222</v>
      </c>
      <c r="I10312" s="362">
        <f>E10312*C10312</f>
        <v>12900</v>
      </c>
    </row>
    <row r="10313" spans="1:9" x14ac:dyDescent="0.3">
      <c r="A10313" s="55"/>
      <c r="B10313" s="428"/>
      <c r="C10313" s="55"/>
      <c r="D10313" s="86"/>
      <c r="E10313" s="55"/>
      <c r="F10313" s="55"/>
      <c r="G10313" s="55"/>
      <c r="H10313" s="55"/>
    </row>
    <row r="10314" spans="1:9" x14ac:dyDescent="0.3">
      <c r="A10314" s="55"/>
      <c r="B10314" s="257"/>
      <c r="C10314" s="55"/>
      <c r="D10314" s="86"/>
      <c r="E10314" s="55"/>
      <c r="F10314" s="55"/>
      <c r="G10314" s="55"/>
      <c r="H10314" s="55"/>
    </row>
    <row r="10315" spans="1:9" x14ac:dyDescent="0.3">
      <c r="A10315" s="55"/>
      <c r="B10315" s="257"/>
      <c r="C10315" s="20"/>
      <c r="D10315" s="86"/>
      <c r="E10315" s="55"/>
      <c r="F10315" s="55"/>
      <c r="G10315" s="55"/>
      <c r="H10315" s="55"/>
    </row>
    <row r="10316" spans="1:9" x14ac:dyDescent="0.3">
      <c r="A10316" s="55"/>
      <c r="B10316" s="257"/>
      <c r="C10316" s="20"/>
      <c r="D10316" s="86"/>
      <c r="E10316" s="55"/>
      <c r="F10316" s="55"/>
      <c r="G10316" s="55"/>
      <c r="H10316" s="55"/>
    </row>
    <row r="10317" spans="1:9" x14ac:dyDescent="0.3">
      <c r="A10317" s="55"/>
      <c r="B10317" s="257"/>
      <c r="C10317" s="20"/>
      <c r="D10317" s="86"/>
      <c r="E10317" s="55"/>
      <c r="F10317" s="55"/>
      <c r="G10317" s="55"/>
      <c r="H10317" s="55"/>
    </row>
    <row r="10318" spans="1:9" x14ac:dyDescent="0.3">
      <c r="A10318" s="55"/>
      <c r="B10318" s="424"/>
      <c r="C10318" s="20"/>
      <c r="D10318" s="86"/>
      <c r="E10318" s="55"/>
      <c r="F10318" s="55"/>
      <c r="G10318" s="55"/>
      <c r="H10318" s="55"/>
    </row>
    <row r="10319" spans="1:9" x14ac:dyDescent="0.3">
      <c r="A10319" s="55"/>
      <c r="B10319" s="426"/>
      <c r="C10319" s="178"/>
      <c r="D10319" s="425"/>
      <c r="E10319" s="178"/>
      <c r="F10319" s="55"/>
      <c r="G10319" s="55"/>
      <c r="H10319" s="55"/>
    </row>
    <row r="10321" spans="1:8" x14ac:dyDescent="0.3">
      <c r="A10321" s="55"/>
      <c r="B10321" s="84"/>
      <c r="C10321" s="55"/>
      <c r="D10321" s="55"/>
      <c r="E10321" s="55"/>
      <c r="F10321" s="55"/>
      <c r="G10321" s="55"/>
      <c r="H10321" s="55"/>
    </row>
    <row r="10322" spans="1:8" x14ac:dyDescent="0.3">
      <c r="A10322" s="55"/>
      <c r="B10322" s="163"/>
      <c r="C10322" s="178"/>
      <c r="D10322" s="163"/>
      <c r="E10322" s="163"/>
      <c r="F10322" s="163"/>
      <c r="G10322" s="163"/>
      <c r="H10322" s="163"/>
    </row>
    <row r="10323" spans="1:8" x14ac:dyDescent="0.3">
      <c r="A10323" s="55"/>
      <c r="B10323" s="163"/>
      <c r="C10323" s="55"/>
      <c r="D10323" s="55"/>
      <c r="E10323" s="55"/>
      <c r="F10323" s="55"/>
      <c r="G10323" s="55"/>
      <c r="H10323" s="55"/>
    </row>
    <row r="10324" spans="1:8" x14ac:dyDescent="0.3">
      <c r="A10324" s="57"/>
      <c r="B10324" s="84"/>
      <c r="C10324" s="85"/>
      <c r="D10324" s="86"/>
      <c r="E10324" s="87"/>
      <c r="F10324" s="47"/>
      <c r="G10324" s="47"/>
      <c r="H10324" s="47"/>
    </row>
    <row r="10325" spans="1:8" x14ac:dyDescent="0.3">
      <c r="A10325" s="57"/>
      <c r="B10325" s="84"/>
      <c r="C10325" s="85"/>
      <c r="D10325" s="86"/>
      <c r="E10325" s="47"/>
      <c r="F10325" s="47"/>
      <c r="G10325" s="47"/>
      <c r="H10325" s="47"/>
    </row>
    <row r="10326" spans="1:8" x14ac:dyDescent="0.3">
      <c r="A10326" s="55"/>
      <c r="B10326" s="84"/>
      <c r="C10326" s="55"/>
      <c r="D10326" s="86"/>
      <c r="E10326" s="47"/>
      <c r="F10326" s="47"/>
      <c r="G10326" s="47"/>
      <c r="H10326" s="47"/>
    </row>
    <row r="10327" spans="1:8" x14ac:dyDescent="0.3">
      <c r="A10327" s="27"/>
      <c r="B10327" s="88"/>
      <c r="C10327" s="24"/>
      <c r="D10327" s="89"/>
      <c r="E10327" s="25"/>
      <c r="F10327" s="25"/>
      <c r="G10327" s="25"/>
      <c r="H10327" s="32"/>
    </row>
    <row r="10328" spans="1:8" x14ac:dyDescent="0.3">
      <c r="A10328" s="27"/>
      <c r="B10328" s="88"/>
      <c r="C10328" s="24"/>
      <c r="D10328" s="89"/>
      <c r="E10328" s="25"/>
      <c r="F10328" s="25"/>
      <c r="G10328" s="25"/>
      <c r="H10328" s="32"/>
    </row>
    <row r="10329" spans="1:8" x14ac:dyDescent="0.3">
      <c r="A10329" s="27"/>
      <c r="B10329" s="88"/>
      <c r="C10329" s="24"/>
      <c r="D10329" s="89"/>
      <c r="E10329" s="25"/>
      <c r="F10329" s="25"/>
      <c r="G10329" s="25"/>
      <c r="H10329" s="32"/>
    </row>
    <row r="10330" spans="1:8" x14ac:dyDescent="0.3">
      <c r="A10330" s="27"/>
      <c r="B10330" s="88"/>
      <c r="C10330" s="24"/>
      <c r="D10330" s="89"/>
      <c r="E10330" s="25"/>
      <c r="F10330" s="25"/>
      <c r="G10330" s="25"/>
      <c r="H10330" s="32"/>
    </row>
    <row r="10331" spans="1:8" x14ac:dyDescent="0.3">
      <c r="A10331" s="27"/>
      <c r="B10331" s="88"/>
      <c r="C10331" s="24"/>
      <c r="D10331" s="89"/>
      <c r="E10331" s="25"/>
      <c r="F10331" s="25"/>
      <c r="G10331" s="25"/>
      <c r="H10331" s="32"/>
    </row>
    <row r="10332" spans="1:8" x14ac:dyDescent="0.3">
      <c r="A10332" s="27"/>
      <c r="B10332" s="88"/>
      <c r="C10332" s="24"/>
      <c r="D10332" s="89"/>
      <c r="E10332" s="25"/>
      <c r="F10332" s="25"/>
      <c r="G10332" s="25"/>
      <c r="H10332" s="32"/>
    </row>
    <row r="10333" spans="1:8" x14ac:dyDescent="0.3">
      <c r="A10333" s="27"/>
      <c r="B10333" s="28"/>
      <c r="C10333" s="24"/>
      <c r="D10333" s="25"/>
      <c r="E10333" s="25"/>
      <c r="F10333" s="28"/>
      <c r="G10333" s="28"/>
      <c r="H10333" s="32"/>
    </row>
    <row r="10334" spans="1:8" ht="15.6" x14ac:dyDescent="0.3">
      <c r="A10334" s="448" t="s">
        <v>45</v>
      </c>
      <c r="B10334" s="449"/>
      <c r="C10334" s="24"/>
      <c r="D10334" s="25"/>
      <c r="E10334" s="25"/>
      <c r="F10334" s="447" t="s">
        <v>46</v>
      </c>
      <c r="G10334" s="447"/>
      <c r="H10334" s="66">
        <v>12900</v>
      </c>
    </row>
    <row r="10335" spans="1:8" ht="15.6" x14ac:dyDescent="0.3">
      <c r="A10335" s="497" t="s">
        <v>1739</v>
      </c>
      <c r="B10335" s="498"/>
      <c r="C10335" s="498"/>
      <c r="D10335" s="498"/>
      <c r="E10335" s="498"/>
      <c r="F10335" s="447" t="s">
        <v>47</v>
      </c>
      <c r="G10335" s="447"/>
      <c r="H10335" s="66">
        <f>H10334*9%</f>
        <v>1161</v>
      </c>
    </row>
    <row r="10336" spans="1:8" ht="15.6" x14ac:dyDescent="0.3">
      <c r="A10336" s="27"/>
      <c r="B10336" s="28"/>
      <c r="C10336" s="24"/>
      <c r="D10336" s="25"/>
      <c r="E10336" s="25"/>
      <c r="F10336" s="447" t="s">
        <v>48</v>
      </c>
      <c r="G10336" s="447"/>
      <c r="H10336" s="66">
        <f>H10335</f>
        <v>1161</v>
      </c>
    </row>
    <row r="10337" spans="1:8" ht="15.6" x14ac:dyDescent="0.3">
      <c r="A10337" s="64" t="s">
        <v>49</v>
      </c>
      <c r="B10337" s="65"/>
      <c r="C10337" s="24"/>
      <c r="D10337" s="25"/>
      <c r="E10337" s="25"/>
      <c r="F10337" s="447" t="s">
        <v>50</v>
      </c>
      <c r="G10337" s="447"/>
      <c r="H10337" s="66">
        <f>H10334+H10335+H10336</f>
        <v>15222</v>
      </c>
    </row>
    <row r="10338" spans="1:8" ht="27" x14ac:dyDescent="0.3">
      <c r="A10338" s="68" t="s">
        <v>22</v>
      </c>
      <c r="B10338" s="30" t="s">
        <v>51</v>
      </c>
      <c r="C10338" s="70" t="s">
        <v>24</v>
      </c>
      <c r="D10338" s="31" t="s">
        <v>25</v>
      </c>
      <c r="E10338" s="450" t="s">
        <v>52</v>
      </c>
      <c r="F10338" s="450"/>
      <c r="G10338" s="28"/>
      <c r="H10338" s="32"/>
    </row>
    <row r="10339" spans="1:8" x14ac:dyDescent="0.3">
      <c r="A10339" s="72">
        <v>0.18</v>
      </c>
      <c r="B10339" s="73">
        <f>H10334</f>
        <v>12900</v>
      </c>
      <c r="C10339" s="91">
        <f>H10335</f>
        <v>1161</v>
      </c>
      <c r="D10339" s="91">
        <f>H10335</f>
        <v>1161</v>
      </c>
      <c r="E10339" s="506">
        <f>C10339+D10339</f>
        <v>2322</v>
      </c>
      <c r="F10339" s="506"/>
      <c r="G10339" s="74"/>
      <c r="H10339" s="75"/>
    </row>
    <row r="10340" spans="1:8" x14ac:dyDescent="0.3">
      <c r="A10340" s="452" t="s">
        <v>1740</v>
      </c>
      <c r="B10340" s="453"/>
      <c r="C10340" s="453"/>
      <c r="D10340" s="453"/>
      <c r="E10340" s="453"/>
      <c r="F10340" s="453"/>
      <c r="G10340" s="453"/>
      <c r="H10340" s="454"/>
    </row>
    <row r="10341" spans="1:8" ht="15.6" x14ac:dyDescent="0.3">
      <c r="A10341" s="455" t="s">
        <v>53</v>
      </c>
      <c r="B10341" s="456"/>
      <c r="C10341" s="456"/>
      <c r="D10341" s="457"/>
      <c r="E10341" s="458" t="s">
        <v>54</v>
      </c>
      <c r="F10341" s="459"/>
      <c r="G10341" s="459"/>
      <c r="H10341" s="460"/>
    </row>
    <row r="10342" spans="1:8" x14ac:dyDescent="0.3">
      <c r="A10342" s="461" t="s">
        <v>55</v>
      </c>
      <c r="B10342" s="462"/>
      <c r="C10342" s="462"/>
      <c r="D10342" s="463"/>
      <c r="E10342" s="39"/>
      <c r="F10342" s="28"/>
      <c r="G10342" s="28"/>
      <c r="H10342" s="32"/>
    </row>
    <row r="10343" spans="1:8" x14ac:dyDescent="0.3">
      <c r="A10343" s="461" t="s">
        <v>56</v>
      </c>
      <c r="B10343" s="462"/>
      <c r="C10343" s="462"/>
      <c r="D10343" s="463"/>
      <c r="E10343" s="39"/>
      <c r="F10343" s="28"/>
      <c r="G10343" s="28"/>
      <c r="H10343" s="32"/>
    </row>
    <row r="10344" spans="1:8" x14ac:dyDescent="0.3">
      <c r="A10344" s="461" t="s">
        <v>57</v>
      </c>
      <c r="B10344" s="462"/>
      <c r="C10344" s="462"/>
      <c r="D10344" s="463"/>
      <c r="E10344" s="39"/>
      <c r="F10344" s="28"/>
      <c r="G10344" s="28"/>
      <c r="H10344" s="32"/>
    </row>
    <row r="10345" spans="1:8" ht="15.6" x14ac:dyDescent="0.3">
      <c r="A10345" s="464" t="s">
        <v>58</v>
      </c>
      <c r="B10345" s="465"/>
      <c r="C10345" s="465"/>
      <c r="D10345" s="510"/>
      <c r="E10345" s="466" t="s">
        <v>59</v>
      </c>
      <c r="F10345" s="467"/>
      <c r="G10345" s="467"/>
      <c r="H10345" s="468"/>
    </row>
    <row r="10349" spans="1:8" ht="44.4" x14ac:dyDescent="0.7">
      <c r="A10349" s="469" t="s">
        <v>0</v>
      </c>
      <c r="B10349" s="470"/>
      <c r="C10349" s="470"/>
      <c r="D10349" s="470"/>
      <c r="E10349" s="531" t="s">
        <v>1</v>
      </c>
      <c r="F10349" s="531"/>
      <c r="G10349" s="531"/>
      <c r="H10349" s="532"/>
    </row>
    <row r="10350" spans="1:8" ht="20.399999999999999" x14ac:dyDescent="0.35">
      <c r="A10350" s="1"/>
      <c r="B10350" s="535" t="s">
        <v>2</v>
      </c>
      <c r="C10350" s="535"/>
      <c r="D10350" s="535"/>
      <c r="E10350" s="533"/>
      <c r="F10350" s="533"/>
      <c r="G10350" s="533"/>
      <c r="H10350" s="534"/>
    </row>
    <row r="10351" spans="1:8" x14ac:dyDescent="0.3">
      <c r="A10351" s="477" t="s">
        <v>3</v>
      </c>
      <c r="B10351" s="511"/>
      <c r="C10351" s="588" t="s">
        <v>4</v>
      </c>
      <c r="D10351" s="589"/>
      <c r="E10351" s="590" t="s">
        <v>5</v>
      </c>
      <c r="F10351" s="591"/>
      <c r="G10351" s="591"/>
      <c r="H10351" s="592"/>
    </row>
    <row r="10352" spans="1:8" ht="15.6" x14ac:dyDescent="0.3">
      <c r="A10352" s="4" t="s">
        <v>6</v>
      </c>
      <c r="B10352" s="5"/>
      <c r="C10352" s="536" t="s">
        <v>7</v>
      </c>
      <c r="D10352" s="516"/>
      <c r="E10352" s="489">
        <v>224</v>
      </c>
      <c r="F10352" s="491"/>
      <c r="G10352" s="7" t="s">
        <v>8</v>
      </c>
      <c r="H10352" s="250">
        <v>46268</v>
      </c>
    </row>
    <row r="10353" spans="1:8" ht="15.6" x14ac:dyDescent="0.3">
      <c r="A10353" s="551" t="s">
        <v>1710</v>
      </c>
      <c r="B10353" s="552"/>
      <c r="C10353" s="536" t="s">
        <v>10</v>
      </c>
      <c r="D10353" s="516"/>
      <c r="E10353" s="489"/>
      <c r="F10353" s="491"/>
      <c r="G10353" s="7" t="s">
        <v>8</v>
      </c>
      <c r="H10353" s="251"/>
    </row>
    <row r="10354" spans="1:8" ht="15" x14ac:dyDescent="0.3">
      <c r="A10354" s="560" t="s">
        <v>497</v>
      </c>
      <c r="B10354" s="561"/>
      <c r="C10354" s="483" t="s">
        <v>12</v>
      </c>
      <c r="D10354" s="484"/>
      <c r="E10354" s="564"/>
      <c r="F10354" s="593"/>
      <c r="G10354" s="10" t="s">
        <v>8</v>
      </c>
      <c r="H10354" s="252"/>
    </row>
    <row r="10355" spans="1:8" ht="15.6" x14ac:dyDescent="0.3">
      <c r="A10355" s="253" t="s">
        <v>1711</v>
      </c>
      <c r="B10355" s="254"/>
      <c r="C10355" s="536" t="s">
        <v>15</v>
      </c>
      <c r="D10355" s="516"/>
      <c r="E10355" s="489" t="s">
        <v>1712</v>
      </c>
      <c r="F10355" s="490"/>
      <c r="G10355" s="490"/>
      <c r="H10355" s="491"/>
    </row>
    <row r="10356" spans="1:8" ht="15.6" x14ac:dyDescent="0.3">
      <c r="A10356" s="255" t="s">
        <v>182</v>
      </c>
      <c r="B10356" s="256"/>
      <c r="C10356" s="489"/>
      <c r="D10356" s="490"/>
      <c r="E10356" s="490"/>
      <c r="F10356" s="490"/>
      <c r="G10356" s="490"/>
      <c r="H10356" s="491"/>
    </row>
    <row r="10357" spans="1:8" ht="15" x14ac:dyDescent="0.3">
      <c r="A10357" s="493" t="s">
        <v>17</v>
      </c>
      <c r="B10357" s="495" t="s">
        <v>18</v>
      </c>
      <c r="C10357" s="495" t="s">
        <v>19</v>
      </c>
      <c r="D10357" s="495" t="s">
        <v>20</v>
      </c>
      <c r="E10357" s="495" t="s">
        <v>21</v>
      </c>
      <c r="F10357" s="541" t="s">
        <v>22</v>
      </c>
      <c r="G10357" s="542"/>
      <c r="H10357" s="493" t="s">
        <v>23</v>
      </c>
    </row>
    <row r="10358" spans="1:8" ht="27.6" x14ac:dyDescent="0.3">
      <c r="A10358" s="527"/>
      <c r="B10358" s="505"/>
      <c r="C10358" s="505"/>
      <c r="D10358" s="505"/>
      <c r="E10358" s="505"/>
      <c r="F10358" s="53" t="s">
        <v>24</v>
      </c>
      <c r="G10358" s="53" t="s">
        <v>25</v>
      </c>
      <c r="H10358" s="527"/>
    </row>
    <row r="10359" spans="1:8" x14ac:dyDescent="0.3">
      <c r="A10359" s="55">
        <v>1</v>
      </c>
      <c r="B10359" s="257" t="s">
        <v>1734</v>
      </c>
      <c r="C10359" s="55">
        <v>1</v>
      </c>
      <c r="D10359" s="86">
        <v>998719</v>
      </c>
      <c r="E10359" s="55">
        <v>1000</v>
      </c>
      <c r="F10359" s="55">
        <f>E10359*C10359*9%</f>
        <v>90</v>
      </c>
      <c r="G10359" s="55">
        <f>F10359</f>
        <v>90</v>
      </c>
      <c r="H10359" s="55">
        <f>G10359+F10359+E10359*C10359</f>
        <v>1180</v>
      </c>
    </row>
    <row r="10360" spans="1:8" x14ac:dyDescent="0.3">
      <c r="A10360" s="55">
        <v>2</v>
      </c>
      <c r="B10360" s="257" t="s">
        <v>1741</v>
      </c>
      <c r="C10360" s="55">
        <v>1</v>
      </c>
      <c r="D10360" s="86">
        <v>998719</v>
      </c>
      <c r="E10360" s="55">
        <v>7500</v>
      </c>
      <c r="F10360" s="55">
        <f t="shared" ref="F10360:F10361" si="287">E10360*C10360*9%</f>
        <v>675</v>
      </c>
      <c r="G10360" s="55">
        <f t="shared" ref="G10360:G10361" si="288">F10360</f>
        <v>675</v>
      </c>
      <c r="H10360" s="55">
        <f t="shared" ref="H10360:H10361" si="289">G10360+F10360+E10360*C10360</f>
        <v>8850</v>
      </c>
    </row>
    <row r="10361" spans="1:8" x14ac:dyDescent="0.3">
      <c r="A10361" s="55">
        <v>3</v>
      </c>
      <c r="B10361" s="257" t="s">
        <v>1742</v>
      </c>
      <c r="C10361" s="55">
        <v>1</v>
      </c>
      <c r="D10361" s="86">
        <v>998719</v>
      </c>
      <c r="E10361" s="55">
        <v>2500</v>
      </c>
      <c r="F10361" s="55">
        <f t="shared" si="287"/>
        <v>225</v>
      </c>
      <c r="G10361" s="55">
        <f t="shared" si="288"/>
        <v>225</v>
      </c>
      <c r="H10361" s="55">
        <f t="shared" si="289"/>
        <v>2950</v>
      </c>
    </row>
    <row r="10362" spans="1:8" x14ac:dyDescent="0.3">
      <c r="A10362" s="55"/>
      <c r="B10362" s="257"/>
      <c r="C10362" s="20"/>
      <c r="D10362" s="86"/>
      <c r="E10362" s="55"/>
      <c r="F10362" s="55"/>
      <c r="G10362" s="55"/>
      <c r="H10362" s="55"/>
    </row>
    <row r="10363" spans="1:8" x14ac:dyDescent="0.3">
      <c r="A10363" s="55"/>
      <c r="B10363" s="257"/>
      <c r="C10363" s="20"/>
      <c r="D10363" s="86"/>
      <c r="E10363" s="55"/>
      <c r="F10363" s="55"/>
      <c r="G10363" s="55"/>
      <c r="H10363" s="55"/>
    </row>
    <row r="10364" spans="1:8" x14ac:dyDescent="0.3">
      <c r="A10364" s="55"/>
      <c r="B10364" s="257"/>
      <c r="C10364" s="20"/>
      <c r="D10364" s="86"/>
      <c r="E10364" s="55"/>
      <c r="F10364" s="55"/>
      <c r="G10364" s="55"/>
      <c r="H10364" s="55"/>
    </row>
    <row r="10365" spans="1:8" x14ac:dyDescent="0.3">
      <c r="A10365" s="55"/>
      <c r="B10365" s="424"/>
      <c r="C10365" s="20"/>
      <c r="D10365" s="86"/>
      <c r="E10365" s="55"/>
      <c r="F10365" s="55"/>
      <c r="G10365" s="55"/>
      <c r="H10365" s="55"/>
    </row>
    <row r="10366" spans="1:8" x14ac:dyDescent="0.3">
      <c r="A10366" s="55"/>
      <c r="B10366" s="426"/>
      <c r="C10366" s="178"/>
      <c r="D10366" s="425"/>
      <c r="E10366" s="178"/>
      <c r="F10366" s="55"/>
      <c r="G10366" s="55"/>
      <c r="H10366" s="55"/>
    </row>
    <row r="10367" spans="1:8" x14ac:dyDescent="0.3">
      <c r="A10367" s="163"/>
      <c r="B10367" s="163"/>
      <c r="C10367" s="163"/>
      <c r="D10367" s="163"/>
      <c r="E10367" s="163"/>
      <c r="F10367" s="163"/>
      <c r="G10367" s="163"/>
      <c r="H10367" s="163"/>
    </row>
    <row r="10368" spans="1:8" x14ac:dyDescent="0.3">
      <c r="A10368" s="55"/>
      <c r="B10368" s="84"/>
      <c r="C10368" s="55"/>
      <c r="D10368" s="55"/>
      <c r="E10368" s="55"/>
      <c r="F10368" s="55"/>
      <c r="G10368" s="55"/>
      <c r="H10368" s="55"/>
    </row>
    <row r="10369" spans="1:8" x14ac:dyDescent="0.3">
      <c r="A10369" s="55"/>
      <c r="B10369" s="163"/>
      <c r="C10369" s="178"/>
      <c r="D10369" s="163"/>
      <c r="E10369" s="163"/>
      <c r="F10369" s="163"/>
      <c r="G10369" s="163"/>
      <c r="H10369" s="163"/>
    </row>
    <row r="10370" spans="1:8" x14ac:dyDescent="0.3">
      <c r="A10370" s="55"/>
      <c r="B10370" s="163"/>
      <c r="C10370" s="55"/>
      <c r="D10370" s="55"/>
      <c r="E10370" s="55"/>
      <c r="F10370" s="55"/>
      <c r="G10370" s="55"/>
      <c r="H10370" s="55"/>
    </row>
    <row r="10371" spans="1:8" x14ac:dyDescent="0.3">
      <c r="A10371" s="57"/>
      <c r="B10371" s="84"/>
      <c r="C10371" s="85"/>
      <c r="D10371" s="86"/>
      <c r="E10371" s="87"/>
      <c r="F10371" s="47"/>
      <c r="G10371" s="47"/>
      <c r="H10371" s="47"/>
    </row>
    <row r="10372" spans="1:8" x14ac:dyDescent="0.3">
      <c r="A10372" s="57"/>
      <c r="B10372" s="84"/>
      <c r="C10372" s="85"/>
      <c r="D10372" s="86"/>
      <c r="E10372" s="47"/>
      <c r="F10372" s="47"/>
      <c r="G10372" s="47"/>
      <c r="H10372" s="47"/>
    </row>
    <row r="10373" spans="1:8" x14ac:dyDescent="0.3">
      <c r="A10373" s="55"/>
      <c r="B10373" s="84"/>
      <c r="C10373" s="55"/>
      <c r="D10373" s="86"/>
      <c r="E10373" s="47"/>
      <c r="F10373" s="47"/>
      <c r="G10373" s="47"/>
      <c r="H10373" s="47"/>
    </row>
    <row r="10374" spans="1:8" x14ac:dyDescent="0.3">
      <c r="A10374" s="27"/>
      <c r="B10374" s="88"/>
      <c r="C10374" s="24"/>
      <c r="D10374" s="89"/>
      <c r="E10374" s="25"/>
      <c r="F10374" s="25"/>
      <c r="G10374" s="25"/>
      <c r="H10374" s="32"/>
    </row>
    <row r="10375" spans="1:8" x14ac:dyDescent="0.3">
      <c r="A10375" s="27"/>
      <c r="B10375" s="88"/>
      <c r="C10375" s="24"/>
      <c r="D10375" s="89"/>
      <c r="E10375" s="25"/>
      <c r="F10375" s="25"/>
      <c r="G10375" s="25"/>
      <c r="H10375" s="32"/>
    </row>
    <row r="10376" spans="1:8" x14ac:dyDescent="0.3">
      <c r="A10376" s="27"/>
      <c r="B10376" s="88"/>
      <c r="C10376" s="24"/>
      <c r="D10376" s="89"/>
      <c r="E10376" s="25"/>
      <c r="F10376" s="25"/>
      <c r="G10376" s="25"/>
      <c r="H10376" s="32"/>
    </row>
    <row r="10377" spans="1:8" x14ac:dyDescent="0.3">
      <c r="A10377" s="27"/>
      <c r="B10377" s="88"/>
      <c r="C10377" s="24"/>
      <c r="D10377" s="89"/>
      <c r="E10377" s="25"/>
      <c r="F10377" s="25"/>
      <c r="G10377" s="25"/>
      <c r="H10377" s="32"/>
    </row>
    <row r="10378" spans="1:8" x14ac:dyDescent="0.3">
      <c r="A10378" s="27"/>
      <c r="B10378" s="88"/>
      <c r="C10378" s="24"/>
      <c r="D10378" s="89"/>
      <c r="E10378" s="25"/>
      <c r="F10378" s="25"/>
      <c r="G10378" s="25"/>
      <c r="H10378" s="32"/>
    </row>
    <row r="10379" spans="1:8" x14ac:dyDescent="0.3">
      <c r="A10379" s="27"/>
      <c r="B10379" s="88"/>
      <c r="C10379" s="24"/>
      <c r="D10379" s="89"/>
      <c r="E10379" s="25"/>
      <c r="F10379" s="25"/>
      <c r="G10379" s="25"/>
      <c r="H10379" s="32"/>
    </row>
    <row r="10380" spans="1:8" x14ac:dyDescent="0.3">
      <c r="A10380" s="27"/>
      <c r="B10380" s="28"/>
      <c r="C10380" s="24"/>
      <c r="D10380" s="25"/>
      <c r="E10380" s="25"/>
      <c r="F10380" s="28"/>
      <c r="G10380" s="28"/>
      <c r="H10380" s="32"/>
    </row>
    <row r="10381" spans="1:8" ht="15.6" x14ac:dyDescent="0.3">
      <c r="A10381" s="448" t="s">
        <v>45</v>
      </c>
      <c r="B10381" s="449"/>
      <c r="C10381" s="24"/>
      <c r="D10381" s="25"/>
      <c r="E10381" s="25"/>
      <c r="F10381" s="447" t="s">
        <v>46</v>
      </c>
      <c r="G10381" s="447"/>
      <c r="H10381" s="66">
        <v>11000</v>
      </c>
    </row>
    <row r="10382" spans="1:8" ht="15.6" x14ac:dyDescent="0.3">
      <c r="A10382" s="497" t="s">
        <v>1743</v>
      </c>
      <c r="B10382" s="498"/>
      <c r="C10382" s="498"/>
      <c r="D10382" s="498"/>
      <c r="E10382" s="498"/>
      <c r="F10382" s="447" t="s">
        <v>47</v>
      </c>
      <c r="G10382" s="447"/>
      <c r="H10382" s="66">
        <f>H10381*9%</f>
        <v>990</v>
      </c>
    </row>
    <row r="10383" spans="1:8" ht="15.6" x14ac:dyDescent="0.3">
      <c r="A10383" s="27"/>
      <c r="B10383" s="28"/>
      <c r="C10383" s="24"/>
      <c r="D10383" s="25"/>
      <c r="E10383" s="25"/>
      <c r="F10383" s="447" t="s">
        <v>48</v>
      </c>
      <c r="G10383" s="447"/>
      <c r="H10383" s="66">
        <f>H10382</f>
        <v>990</v>
      </c>
    </row>
    <row r="10384" spans="1:8" ht="15.6" x14ac:dyDescent="0.3">
      <c r="A10384" s="64" t="s">
        <v>49</v>
      </c>
      <c r="B10384" s="65"/>
      <c r="C10384" s="24"/>
      <c r="D10384" s="25"/>
      <c r="E10384" s="25"/>
      <c r="F10384" s="447" t="s">
        <v>50</v>
      </c>
      <c r="G10384" s="447"/>
      <c r="H10384" s="66">
        <f>H10381+H10382+H10383</f>
        <v>12980</v>
      </c>
    </row>
    <row r="10385" spans="1:8" ht="27" x14ac:dyDescent="0.3">
      <c r="A10385" s="68" t="s">
        <v>22</v>
      </c>
      <c r="B10385" s="30" t="s">
        <v>51</v>
      </c>
      <c r="C10385" s="70" t="s">
        <v>24</v>
      </c>
      <c r="D10385" s="31" t="s">
        <v>25</v>
      </c>
      <c r="E10385" s="450" t="s">
        <v>52</v>
      </c>
      <c r="F10385" s="450"/>
      <c r="G10385" s="28"/>
      <c r="H10385" s="32"/>
    </row>
    <row r="10386" spans="1:8" x14ac:dyDescent="0.3">
      <c r="A10386" s="72">
        <v>0.18</v>
      </c>
      <c r="B10386" s="73">
        <f>H10381</f>
        <v>11000</v>
      </c>
      <c r="C10386" s="91">
        <f>H10382</f>
        <v>990</v>
      </c>
      <c r="D10386" s="91">
        <f>H10382</f>
        <v>990</v>
      </c>
      <c r="E10386" s="506">
        <f>C10386+D10386</f>
        <v>1980</v>
      </c>
      <c r="F10386" s="506"/>
      <c r="G10386" s="74"/>
      <c r="H10386" s="75"/>
    </row>
    <row r="10387" spans="1:8" x14ac:dyDescent="0.3">
      <c r="A10387" s="452" t="s">
        <v>1744</v>
      </c>
      <c r="B10387" s="453"/>
      <c r="C10387" s="453"/>
      <c r="D10387" s="453"/>
      <c r="E10387" s="453"/>
      <c r="F10387" s="453"/>
      <c r="G10387" s="453"/>
      <c r="H10387" s="454"/>
    </row>
    <row r="10388" spans="1:8" ht="15.6" x14ac:dyDescent="0.3">
      <c r="A10388" s="455" t="s">
        <v>53</v>
      </c>
      <c r="B10388" s="456"/>
      <c r="C10388" s="456"/>
      <c r="D10388" s="457"/>
      <c r="E10388" s="458" t="s">
        <v>54</v>
      </c>
      <c r="F10388" s="459"/>
      <c r="G10388" s="459"/>
      <c r="H10388" s="460"/>
    </row>
    <row r="10389" spans="1:8" x14ac:dyDescent="0.3">
      <c r="A10389" s="461" t="s">
        <v>55</v>
      </c>
      <c r="B10389" s="462"/>
      <c r="C10389" s="462"/>
      <c r="D10389" s="463"/>
      <c r="E10389" s="39"/>
      <c r="F10389" s="28"/>
      <c r="G10389" s="28"/>
      <c r="H10389" s="32"/>
    </row>
    <row r="10390" spans="1:8" x14ac:dyDescent="0.3">
      <c r="A10390" s="461" t="s">
        <v>56</v>
      </c>
      <c r="B10390" s="462"/>
      <c r="C10390" s="462"/>
      <c r="D10390" s="463"/>
      <c r="E10390" s="39"/>
      <c r="F10390" s="28"/>
      <c r="G10390" s="28"/>
      <c r="H10390" s="32"/>
    </row>
    <row r="10391" spans="1:8" x14ac:dyDescent="0.3">
      <c r="A10391" s="461" t="s">
        <v>57</v>
      </c>
      <c r="B10391" s="462"/>
      <c r="C10391" s="462"/>
      <c r="D10391" s="463"/>
      <c r="E10391" s="39"/>
      <c r="F10391" s="28"/>
      <c r="G10391" s="28"/>
      <c r="H10391" s="32"/>
    </row>
    <row r="10392" spans="1:8" ht="15.6" x14ac:dyDescent="0.3">
      <c r="A10392" s="464" t="s">
        <v>58</v>
      </c>
      <c r="B10392" s="465"/>
      <c r="C10392" s="465"/>
      <c r="D10392" s="510"/>
      <c r="E10392" s="466" t="s">
        <v>59</v>
      </c>
      <c r="F10392" s="467"/>
      <c r="G10392" s="467"/>
      <c r="H10392" s="468"/>
    </row>
    <row r="10397" spans="1:8" ht="44.4" x14ac:dyDescent="0.7">
      <c r="A10397" s="469" t="s">
        <v>0</v>
      </c>
      <c r="B10397" s="470"/>
      <c r="C10397" s="470"/>
      <c r="D10397" s="470"/>
      <c r="E10397" s="531" t="s">
        <v>1</v>
      </c>
      <c r="F10397" s="531"/>
      <c r="G10397" s="531"/>
      <c r="H10397" s="532"/>
    </row>
    <row r="10398" spans="1:8" ht="20.399999999999999" x14ac:dyDescent="0.35">
      <c r="A10398" s="1"/>
      <c r="B10398" s="535" t="s">
        <v>2</v>
      </c>
      <c r="C10398" s="535"/>
      <c r="D10398" s="535"/>
      <c r="E10398" s="533"/>
      <c r="F10398" s="533"/>
      <c r="G10398" s="533"/>
      <c r="H10398" s="534"/>
    </row>
    <row r="10399" spans="1:8" x14ac:dyDescent="0.3">
      <c r="A10399" s="477" t="s">
        <v>3</v>
      </c>
      <c r="B10399" s="511"/>
      <c r="C10399" s="588" t="s">
        <v>4</v>
      </c>
      <c r="D10399" s="589"/>
      <c r="E10399" s="590" t="s">
        <v>5</v>
      </c>
      <c r="F10399" s="591"/>
      <c r="G10399" s="591"/>
      <c r="H10399" s="592"/>
    </row>
    <row r="10400" spans="1:8" ht="15.6" x14ac:dyDescent="0.3">
      <c r="A10400" s="4" t="s">
        <v>6</v>
      </c>
      <c r="B10400" s="5"/>
      <c r="C10400" s="536" t="s">
        <v>7</v>
      </c>
      <c r="D10400" s="516"/>
      <c r="E10400" s="489">
        <v>225</v>
      </c>
      <c r="F10400" s="491"/>
      <c r="G10400" s="7" t="s">
        <v>8</v>
      </c>
      <c r="H10400" s="250">
        <v>46268</v>
      </c>
    </row>
    <row r="10401" spans="1:9" ht="15.6" x14ac:dyDescent="0.3">
      <c r="A10401" s="551" t="s">
        <v>1710</v>
      </c>
      <c r="B10401" s="552"/>
      <c r="C10401" s="536" t="s">
        <v>10</v>
      </c>
      <c r="D10401" s="516"/>
      <c r="E10401" s="489"/>
      <c r="F10401" s="491"/>
      <c r="G10401" s="7" t="s">
        <v>8</v>
      </c>
      <c r="H10401" s="251"/>
    </row>
    <row r="10402" spans="1:9" ht="15" x14ac:dyDescent="0.3">
      <c r="A10402" s="560" t="s">
        <v>497</v>
      </c>
      <c r="B10402" s="561"/>
      <c r="C10402" s="483" t="s">
        <v>12</v>
      </c>
      <c r="D10402" s="484"/>
      <c r="E10402" s="564"/>
      <c r="F10402" s="593"/>
      <c r="G10402" s="10" t="s">
        <v>8</v>
      </c>
      <c r="H10402" s="252"/>
    </row>
    <row r="10403" spans="1:9" ht="15.6" x14ac:dyDescent="0.3">
      <c r="A10403" s="253" t="s">
        <v>1711</v>
      </c>
      <c r="B10403" s="254"/>
      <c r="C10403" s="536" t="s">
        <v>15</v>
      </c>
      <c r="D10403" s="516"/>
      <c r="E10403" s="489" t="s">
        <v>1712</v>
      </c>
      <c r="F10403" s="490"/>
      <c r="G10403" s="490"/>
      <c r="H10403" s="491"/>
    </row>
    <row r="10404" spans="1:9" ht="15.6" x14ac:dyDescent="0.3">
      <c r="A10404" s="255" t="s">
        <v>182</v>
      </c>
      <c r="B10404" s="256"/>
      <c r="C10404" s="489"/>
      <c r="D10404" s="490"/>
      <c r="E10404" s="490"/>
      <c r="F10404" s="490"/>
      <c r="G10404" s="490"/>
      <c r="H10404" s="491"/>
    </row>
    <row r="10405" spans="1:9" ht="15" x14ac:dyDescent="0.3">
      <c r="A10405" s="493" t="s">
        <v>17</v>
      </c>
      <c r="B10405" s="495" t="s">
        <v>18</v>
      </c>
      <c r="C10405" s="495" t="s">
        <v>19</v>
      </c>
      <c r="D10405" s="495" t="s">
        <v>20</v>
      </c>
      <c r="E10405" s="495" t="s">
        <v>21</v>
      </c>
      <c r="F10405" s="541" t="s">
        <v>22</v>
      </c>
      <c r="G10405" s="542"/>
      <c r="H10405" s="493" t="s">
        <v>23</v>
      </c>
    </row>
    <row r="10406" spans="1:9" ht="27.6" x14ac:dyDescent="0.3">
      <c r="A10406" s="527"/>
      <c r="B10406" s="505"/>
      <c r="C10406" s="505"/>
      <c r="D10406" s="505"/>
      <c r="E10406" s="505"/>
      <c r="F10406" s="53" t="s">
        <v>24</v>
      </c>
      <c r="G10406" s="53" t="s">
        <v>25</v>
      </c>
      <c r="H10406" s="527"/>
    </row>
    <row r="10407" spans="1:9" x14ac:dyDescent="0.3">
      <c r="A10407" s="55">
        <v>1</v>
      </c>
      <c r="B10407" s="257" t="s">
        <v>1730</v>
      </c>
      <c r="C10407" s="20">
        <v>2</v>
      </c>
      <c r="D10407" s="86">
        <v>998719</v>
      </c>
      <c r="E10407" s="55">
        <v>4500</v>
      </c>
      <c r="F10407" s="55">
        <f t="shared" ref="F10407:F10409" si="290">E10407*C10407*9%</f>
        <v>810</v>
      </c>
      <c r="G10407" s="55">
        <f t="shared" ref="G10407:G10409" si="291">F10407</f>
        <v>810</v>
      </c>
      <c r="H10407" s="55">
        <f t="shared" ref="H10407:H10409" si="292">G10407+F10407+E10407*C10407</f>
        <v>10620</v>
      </c>
      <c r="I10407" s="362">
        <f>E10407*C10407</f>
        <v>9000</v>
      </c>
    </row>
    <row r="10408" spans="1:9" x14ac:dyDescent="0.3">
      <c r="A10408" s="55">
        <v>2</v>
      </c>
      <c r="B10408" s="257" t="s">
        <v>1731</v>
      </c>
      <c r="C10408" s="20">
        <v>1</v>
      </c>
      <c r="D10408" s="86">
        <v>854690</v>
      </c>
      <c r="E10408" s="55">
        <v>1400</v>
      </c>
      <c r="F10408" s="55">
        <f t="shared" si="290"/>
        <v>126</v>
      </c>
      <c r="G10408" s="55">
        <f t="shared" si="291"/>
        <v>126</v>
      </c>
      <c r="H10408" s="55">
        <f t="shared" si="292"/>
        <v>1652</v>
      </c>
      <c r="I10408" s="362">
        <f t="shared" ref="I10408:I10409" si="293">E10408*C10408</f>
        <v>1400</v>
      </c>
    </row>
    <row r="10409" spans="1:9" x14ac:dyDescent="0.3">
      <c r="A10409" s="55">
        <v>3</v>
      </c>
      <c r="B10409" s="424" t="s">
        <v>1732</v>
      </c>
      <c r="C10409" s="20">
        <v>1</v>
      </c>
      <c r="D10409" s="86">
        <v>998719</v>
      </c>
      <c r="E10409" s="55">
        <v>7600</v>
      </c>
      <c r="F10409" s="55">
        <f t="shared" si="290"/>
        <v>684</v>
      </c>
      <c r="G10409" s="55">
        <f t="shared" si="291"/>
        <v>684</v>
      </c>
      <c r="H10409" s="55">
        <f t="shared" si="292"/>
        <v>8968</v>
      </c>
      <c r="I10409" s="362">
        <f t="shared" si="293"/>
        <v>7600</v>
      </c>
    </row>
    <row r="10410" spans="1:9" x14ac:dyDescent="0.3">
      <c r="A10410" s="55"/>
      <c r="B10410" s="426"/>
      <c r="C10410" s="178"/>
      <c r="D10410" s="425"/>
      <c r="E10410" s="178"/>
      <c r="F10410" s="55"/>
      <c r="G10410" s="55"/>
      <c r="H10410" s="55"/>
    </row>
    <row r="10411" spans="1:9" x14ac:dyDescent="0.3">
      <c r="A10411" s="55"/>
      <c r="B10411" s="84"/>
      <c r="C10411" s="55"/>
      <c r="D10411" s="55"/>
      <c r="E10411" s="55"/>
      <c r="F10411" s="55"/>
      <c r="G10411" s="55"/>
      <c r="H10411" s="55"/>
    </row>
    <row r="10412" spans="1:9" x14ac:dyDescent="0.3">
      <c r="A10412" s="55"/>
      <c r="B10412" s="163"/>
      <c r="C10412" s="178"/>
      <c r="D10412" s="163"/>
      <c r="E10412" s="163"/>
      <c r="F10412" s="163"/>
      <c r="G10412" s="163"/>
      <c r="H10412" s="163"/>
    </row>
    <row r="10413" spans="1:9" x14ac:dyDescent="0.3">
      <c r="A10413" s="55"/>
      <c r="B10413" s="163"/>
      <c r="C10413" s="55"/>
      <c r="D10413" s="55"/>
      <c r="E10413" s="55"/>
      <c r="F10413" s="55"/>
      <c r="G10413" s="55"/>
      <c r="H10413" s="55"/>
    </row>
    <row r="10414" spans="1:9" x14ac:dyDescent="0.3">
      <c r="A10414" s="57"/>
      <c r="B10414" s="84"/>
      <c r="C10414" s="85"/>
      <c r="D10414" s="86"/>
      <c r="E10414" s="87"/>
      <c r="F10414" s="47"/>
      <c r="G10414" s="47"/>
      <c r="H10414" s="47"/>
    </row>
    <row r="10415" spans="1:9" x14ac:dyDescent="0.3">
      <c r="A10415" s="57"/>
      <c r="B10415" s="84"/>
      <c r="C10415" s="85"/>
      <c r="D10415" s="86"/>
      <c r="E10415" s="47"/>
      <c r="F10415" s="47"/>
      <c r="G10415" s="47"/>
      <c r="H10415" s="47"/>
    </row>
    <row r="10416" spans="1:9" x14ac:dyDescent="0.3">
      <c r="A10416" s="55"/>
      <c r="B10416" s="84"/>
      <c r="C10416" s="55"/>
      <c r="D10416" s="86"/>
      <c r="E10416" s="47"/>
      <c r="F10416" s="47"/>
      <c r="G10416" s="47"/>
      <c r="H10416" s="47"/>
    </row>
    <row r="10417" spans="1:8" x14ac:dyDescent="0.3">
      <c r="A10417" s="27"/>
      <c r="B10417" s="88"/>
      <c r="C10417" s="24"/>
      <c r="D10417" s="89"/>
      <c r="E10417" s="25"/>
      <c r="F10417" s="25"/>
      <c r="G10417" s="25"/>
      <c r="H10417" s="32"/>
    </row>
    <row r="10418" spans="1:8" x14ac:dyDescent="0.3">
      <c r="A10418" s="27"/>
      <c r="B10418" s="88"/>
      <c r="C10418" s="24"/>
      <c r="D10418" s="89"/>
      <c r="E10418" s="25"/>
      <c r="F10418" s="25"/>
      <c r="G10418" s="25"/>
      <c r="H10418" s="32"/>
    </row>
    <row r="10419" spans="1:8" x14ac:dyDescent="0.3">
      <c r="A10419" s="27"/>
      <c r="B10419" s="88"/>
      <c r="C10419" s="24"/>
      <c r="D10419" s="89"/>
      <c r="E10419" s="25"/>
      <c r="F10419" s="25"/>
      <c r="G10419" s="25"/>
      <c r="H10419" s="32"/>
    </row>
    <row r="10420" spans="1:8" x14ac:dyDescent="0.3">
      <c r="A10420" s="27"/>
      <c r="B10420" s="88"/>
      <c r="C10420" s="24"/>
      <c r="D10420" s="89"/>
      <c r="E10420" s="25"/>
      <c r="F10420" s="25"/>
      <c r="G10420" s="25"/>
      <c r="H10420" s="32"/>
    </row>
    <row r="10421" spans="1:8" x14ac:dyDescent="0.3">
      <c r="A10421" s="27"/>
      <c r="B10421" s="88"/>
      <c r="C10421" s="24"/>
      <c r="D10421" s="89"/>
      <c r="E10421" s="25"/>
      <c r="F10421" s="25"/>
      <c r="G10421" s="25"/>
      <c r="H10421" s="32"/>
    </row>
    <row r="10422" spans="1:8" x14ac:dyDescent="0.3">
      <c r="A10422" s="27"/>
      <c r="B10422" s="88"/>
      <c r="C10422" s="24"/>
      <c r="D10422" s="89"/>
      <c r="E10422" s="25"/>
      <c r="F10422" s="25"/>
      <c r="G10422" s="25"/>
      <c r="H10422" s="32"/>
    </row>
    <row r="10423" spans="1:8" x14ac:dyDescent="0.3">
      <c r="A10423" s="27"/>
      <c r="B10423" s="28"/>
      <c r="C10423" s="24"/>
      <c r="D10423" s="25"/>
      <c r="E10423" s="25"/>
      <c r="F10423" s="28"/>
      <c r="G10423" s="28"/>
      <c r="H10423" s="32"/>
    </row>
    <row r="10424" spans="1:8" ht="15.6" x14ac:dyDescent="0.3">
      <c r="A10424" s="448" t="s">
        <v>45</v>
      </c>
      <c r="B10424" s="449"/>
      <c r="C10424" s="24"/>
      <c r="D10424" s="25"/>
      <c r="E10424" s="25"/>
      <c r="F10424" s="447" t="s">
        <v>46</v>
      </c>
      <c r="G10424" s="447"/>
      <c r="H10424" s="66">
        <v>18000</v>
      </c>
    </row>
    <row r="10425" spans="1:8" ht="15.6" x14ac:dyDescent="0.3">
      <c r="A10425" s="497" t="s">
        <v>1745</v>
      </c>
      <c r="B10425" s="498"/>
      <c r="C10425" s="498"/>
      <c r="D10425" s="498"/>
      <c r="E10425" s="498"/>
      <c r="F10425" s="447" t="s">
        <v>47</v>
      </c>
      <c r="G10425" s="447"/>
      <c r="H10425" s="66">
        <f>H10424*9%</f>
        <v>1620</v>
      </c>
    </row>
    <row r="10426" spans="1:8" ht="15.6" x14ac:dyDescent="0.3">
      <c r="A10426" s="27"/>
      <c r="B10426" s="28"/>
      <c r="C10426" s="24"/>
      <c r="D10426" s="25"/>
      <c r="E10426" s="25"/>
      <c r="F10426" s="447" t="s">
        <v>48</v>
      </c>
      <c r="G10426" s="447"/>
      <c r="H10426" s="66">
        <f>H10425</f>
        <v>1620</v>
      </c>
    </row>
    <row r="10427" spans="1:8" ht="15.6" x14ac:dyDescent="0.3">
      <c r="A10427" s="64" t="s">
        <v>49</v>
      </c>
      <c r="B10427" s="65"/>
      <c r="C10427" s="24"/>
      <c r="D10427" s="25"/>
      <c r="E10427" s="25"/>
      <c r="F10427" s="447" t="s">
        <v>50</v>
      </c>
      <c r="G10427" s="447"/>
      <c r="H10427" s="66">
        <f>H10424+H10425+H10426</f>
        <v>21240</v>
      </c>
    </row>
    <row r="10428" spans="1:8" ht="27" x14ac:dyDescent="0.3">
      <c r="A10428" s="68" t="s">
        <v>22</v>
      </c>
      <c r="B10428" s="30" t="s">
        <v>51</v>
      </c>
      <c r="C10428" s="70" t="s">
        <v>24</v>
      </c>
      <c r="D10428" s="31" t="s">
        <v>25</v>
      </c>
      <c r="E10428" s="450" t="s">
        <v>52</v>
      </c>
      <c r="F10428" s="450"/>
      <c r="G10428" s="28"/>
      <c r="H10428" s="32"/>
    </row>
    <row r="10429" spans="1:8" x14ac:dyDescent="0.3">
      <c r="A10429" s="72">
        <v>0.18</v>
      </c>
      <c r="B10429" s="73">
        <f>H10424</f>
        <v>18000</v>
      </c>
      <c r="C10429" s="91">
        <f>H10425</f>
        <v>1620</v>
      </c>
      <c r="D10429" s="91">
        <f>H10425</f>
        <v>1620</v>
      </c>
      <c r="E10429" s="506">
        <f>C10429+D10429</f>
        <v>3240</v>
      </c>
      <c r="F10429" s="506"/>
      <c r="G10429" s="74"/>
      <c r="H10429" s="75"/>
    </row>
    <row r="10430" spans="1:8" x14ac:dyDescent="0.3">
      <c r="A10430" s="452" t="s">
        <v>1746</v>
      </c>
      <c r="B10430" s="453"/>
      <c r="C10430" s="453"/>
      <c r="D10430" s="453"/>
      <c r="E10430" s="453"/>
      <c r="F10430" s="453"/>
      <c r="G10430" s="453"/>
      <c r="H10430" s="454"/>
    </row>
    <row r="10431" spans="1:8" ht="15.6" x14ac:dyDescent="0.3">
      <c r="A10431" s="455" t="s">
        <v>53</v>
      </c>
      <c r="B10431" s="456"/>
      <c r="C10431" s="456"/>
      <c r="D10431" s="457"/>
      <c r="E10431" s="458" t="s">
        <v>54</v>
      </c>
      <c r="F10431" s="459"/>
      <c r="G10431" s="459"/>
      <c r="H10431" s="460"/>
    </row>
    <row r="10432" spans="1:8" x14ac:dyDescent="0.3">
      <c r="A10432" s="461" t="s">
        <v>55</v>
      </c>
      <c r="B10432" s="462"/>
      <c r="C10432" s="462"/>
      <c r="D10432" s="463"/>
      <c r="E10432" s="39"/>
      <c r="F10432" s="28"/>
      <c r="G10432" s="28"/>
      <c r="H10432" s="32"/>
    </row>
    <row r="10433" spans="1:8" x14ac:dyDescent="0.3">
      <c r="A10433" s="461" t="s">
        <v>56</v>
      </c>
      <c r="B10433" s="462"/>
      <c r="C10433" s="462"/>
      <c r="D10433" s="463"/>
      <c r="E10433" s="39"/>
      <c r="F10433" s="28"/>
      <c r="G10433" s="28"/>
      <c r="H10433" s="32"/>
    </row>
    <row r="10434" spans="1:8" x14ac:dyDescent="0.3">
      <c r="A10434" s="461" t="s">
        <v>57</v>
      </c>
      <c r="B10434" s="462"/>
      <c r="C10434" s="462"/>
      <c r="D10434" s="463"/>
      <c r="E10434" s="39"/>
      <c r="F10434" s="28"/>
      <c r="G10434" s="28"/>
      <c r="H10434" s="32"/>
    </row>
    <row r="10435" spans="1:8" ht="15.6" x14ac:dyDescent="0.3">
      <c r="A10435" s="464" t="s">
        <v>58</v>
      </c>
      <c r="B10435" s="465"/>
      <c r="C10435" s="465"/>
      <c r="D10435" s="510"/>
      <c r="E10435" s="466" t="s">
        <v>59</v>
      </c>
      <c r="F10435" s="467"/>
      <c r="G10435" s="467"/>
      <c r="H10435" s="468"/>
    </row>
    <row r="10441" spans="1:8" ht="44.4" x14ac:dyDescent="0.7">
      <c r="A10441" s="469" t="s">
        <v>0</v>
      </c>
      <c r="B10441" s="470"/>
      <c r="C10441" s="470"/>
      <c r="D10441" s="470"/>
      <c r="E10441" s="531" t="s">
        <v>1</v>
      </c>
      <c r="F10441" s="531"/>
      <c r="G10441" s="531"/>
      <c r="H10441" s="532"/>
    </row>
    <row r="10442" spans="1:8" ht="20.399999999999999" x14ac:dyDescent="0.35">
      <c r="A10442" s="1"/>
      <c r="B10442" s="535" t="s">
        <v>2</v>
      </c>
      <c r="C10442" s="535"/>
      <c r="D10442" s="535"/>
      <c r="E10442" s="533"/>
      <c r="F10442" s="533"/>
      <c r="G10442" s="533"/>
      <c r="H10442" s="534"/>
    </row>
    <row r="10443" spans="1:8" x14ac:dyDescent="0.3">
      <c r="A10443" s="477" t="s">
        <v>3</v>
      </c>
      <c r="B10443" s="511"/>
      <c r="C10443" s="588" t="s">
        <v>4</v>
      </c>
      <c r="D10443" s="589"/>
      <c r="E10443" s="590" t="s">
        <v>5</v>
      </c>
      <c r="F10443" s="591"/>
      <c r="G10443" s="591"/>
      <c r="H10443" s="592"/>
    </row>
    <row r="10444" spans="1:8" ht="15.6" x14ac:dyDescent="0.3">
      <c r="A10444" s="4" t="s">
        <v>6</v>
      </c>
      <c r="B10444" s="5"/>
      <c r="C10444" s="536" t="s">
        <v>7</v>
      </c>
      <c r="D10444" s="516"/>
      <c r="E10444" s="489">
        <v>226</v>
      </c>
      <c r="F10444" s="491"/>
      <c r="G10444" s="7" t="s">
        <v>8</v>
      </c>
      <c r="H10444" s="250">
        <v>46268</v>
      </c>
    </row>
    <row r="10445" spans="1:8" ht="15.6" x14ac:dyDescent="0.3">
      <c r="A10445" s="551" t="s">
        <v>1710</v>
      </c>
      <c r="B10445" s="552"/>
      <c r="C10445" s="536" t="s">
        <v>10</v>
      </c>
      <c r="D10445" s="516"/>
      <c r="E10445" s="489"/>
      <c r="F10445" s="491"/>
      <c r="G10445" s="7" t="s">
        <v>8</v>
      </c>
      <c r="H10445" s="251"/>
    </row>
    <row r="10446" spans="1:8" ht="15" x14ac:dyDescent="0.3">
      <c r="A10446" s="560" t="s">
        <v>497</v>
      </c>
      <c r="B10446" s="561"/>
      <c r="C10446" s="483" t="s">
        <v>12</v>
      </c>
      <c r="D10446" s="484"/>
      <c r="E10446" s="564"/>
      <c r="F10446" s="593"/>
      <c r="G10446" s="10" t="s">
        <v>8</v>
      </c>
      <c r="H10446" s="252"/>
    </row>
    <row r="10447" spans="1:8" ht="15.6" x14ac:dyDescent="0.3">
      <c r="A10447" s="253" t="s">
        <v>1711</v>
      </c>
      <c r="B10447" s="254"/>
      <c r="C10447" s="536" t="s">
        <v>15</v>
      </c>
      <c r="D10447" s="516"/>
      <c r="E10447" s="489" t="s">
        <v>1712</v>
      </c>
      <c r="F10447" s="490"/>
      <c r="G10447" s="490"/>
      <c r="H10447" s="491"/>
    </row>
    <row r="10448" spans="1:8" ht="15.6" x14ac:dyDescent="0.3">
      <c r="A10448" s="255" t="s">
        <v>182</v>
      </c>
      <c r="B10448" s="256"/>
      <c r="C10448" s="489"/>
      <c r="D10448" s="490"/>
      <c r="E10448" s="490"/>
      <c r="F10448" s="490"/>
      <c r="G10448" s="490"/>
      <c r="H10448" s="491"/>
    </row>
    <row r="10449" spans="1:8" ht="15" x14ac:dyDescent="0.3">
      <c r="A10449" s="493" t="s">
        <v>17</v>
      </c>
      <c r="B10449" s="495" t="s">
        <v>18</v>
      </c>
      <c r="C10449" s="495" t="s">
        <v>19</v>
      </c>
      <c r="D10449" s="495" t="s">
        <v>20</v>
      </c>
      <c r="E10449" s="495" t="s">
        <v>21</v>
      </c>
      <c r="F10449" s="541" t="s">
        <v>22</v>
      </c>
      <c r="G10449" s="542"/>
      <c r="H10449" s="493" t="s">
        <v>23</v>
      </c>
    </row>
    <row r="10450" spans="1:8" ht="27.6" x14ac:dyDescent="0.3">
      <c r="A10450" s="527"/>
      <c r="B10450" s="505"/>
      <c r="C10450" s="505"/>
      <c r="D10450" s="505"/>
      <c r="E10450" s="505"/>
      <c r="F10450" s="53" t="s">
        <v>24</v>
      </c>
      <c r="G10450" s="53" t="s">
        <v>25</v>
      </c>
      <c r="H10450" s="527"/>
    </row>
    <row r="10451" spans="1:8" x14ac:dyDescent="0.3">
      <c r="A10451" s="55">
        <v>1</v>
      </c>
      <c r="B10451" s="257" t="s">
        <v>1729</v>
      </c>
      <c r="C10451" s="20">
        <v>1</v>
      </c>
      <c r="D10451" s="86">
        <v>998719</v>
      </c>
      <c r="E10451" s="55">
        <v>1500</v>
      </c>
      <c r="F10451" s="55">
        <f t="shared" ref="F10451" si="294">E10451*C10451*9%</f>
        <v>135</v>
      </c>
      <c r="G10451" s="55">
        <f t="shared" ref="G10451" si="295">F10451</f>
        <v>135</v>
      </c>
      <c r="H10451" s="55">
        <f t="shared" ref="H10451" si="296">G10451+F10451+E10451*C10451</f>
        <v>1770</v>
      </c>
    </row>
    <row r="10452" spans="1:8" x14ac:dyDescent="0.3">
      <c r="A10452" s="55"/>
      <c r="B10452" s="257"/>
      <c r="C10452" s="20"/>
      <c r="D10452" s="86"/>
      <c r="E10452" s="55"/>
      <c r="F10452" s="55"/>
      <c r="G10452" s="55"/>
      <c r="H10452" s="55"/>
    </row>
    <row r="10453" spans="1:8" x14ac:dyDescent="0.3">
      <c r="A10453" s="55"/>
      <c r="B10453" s="257"/>
      <c r="C10453" s="20"/>
      <c r="D10453" s="86"/>
      <c r="E10453" s="55"/>
      <c r="F10453" s="55"/>
      <c r="G10453" s="55"/>
      <c r="H10453" s="55"/>
    </row>
    <row r="10454" spans="1:8" x14ac:dyDescent="0.3">
      <c r="A10454" s="55"/>
      <c r="B10454" s="424"/>
      <c r="C10454" s="20"/>
      <c r="D10454" s="86"/>
      <c r="E10454" s="55"/>
      <c r="F10454" s="55"/>
      <c r="G10454" s="55"/>
      <c r="H10454" s="55"/>
    </row>
    <row r="10455" spans="1:8" x14ac:dyDescent="0.3">
      <c r="A10455" s="55"/>
      <c r="B10455" s="426"/>
      <c r="C10455" s="178"/>
      <c r="D10455" s="425"/>
      <c r="E10455" s="178"/>
      <c r="F10455" s="55"/>
      <c r="G10455" s="55"/>
      <c r="H10455" s="55"/>
    </row>
    <row r="10456" spans="1:8" x14ac:dyDescent="0.3">
      <c r="A10456" s="55"/>
      <c r="B10456" s="84"/>
      <c r="C10456" s="55"/>
      <c r="D10456" s="55"/>
      <c r="E10456" s="55"/>
      <c r="F10456" s="55"/>
      <c r="G10456" s="55"/>
      <c r="H10456" s="55"/>
    </row>
    <row r="10457" spans="1:8" x14ac:dyDescent="0.3">
      <c r="A10457" s="55"/>
      <c r="B10457" s="163"/>
      <c r="C10457" s="178"/>
      <c r="D10457" s="163"/>
      <c r="E10457" s="163"/>
      <c r="F10457" s="163"/>
      <c r="G10457" s="163"/>
      <c r="H10457" s="163"/>
    </row>
    <row r="10458" spans="1:8" x14ac:dyDescent="0.3">
      <c r="A10458" s="55"/>
      <c r="B10458" s="163"/>
      <c r="C10458" s="55"/>
      <c r="D10458" s="55"/>
      <c r="E10458" s="55"/>
      <c r="F10458" s="55"/>
      <c r="G10458" s="55"/>
      <c r="H10458" s="55"/>
    </row>
    <row r="10459" spans="1:8" x14ac:dyDescent="0.3">
      <c r="A10459" s="57"/>
      <c r="B10459" s="84"/>
      <c r="C10459" s="85"/>
      <c r="D10459" s="86"/>
      <c r="E10459" s="87"/>
      <c r="F10459" s="47"/>
      <c r="G10459" s="47"/>
      <c r="H10459" s="47"/>
    </row>
    <row r="10460" spans="1:8" x14ac:dyDescent="0.3">
      <c r="A10460" s="57"/>
      <c r="B10460" s="84"/>
      <c r="C10460" s="85"/>
      <c r="D10460" s="86"/>
      <c r="E10460" s="47"/>
      <c r="F10460" s="47"/>
      <c r="G10460" s="47"/>
      <c r="H10460" s="47"/>
    </row>
    <row r="10461" spans="1:8" x14ac:dyDescent="0.3">
      <c r="A10461" s="55"/>
      <c r="B10461" s="84"/>
      <c r="C10461" s="55"/>
      <c r="D10461" s="86"/>
      <c r="E10461" s="47"/>
      <c r="F10461" s="47"/>
      <c r="G10461" s="47"/>
      <c r="H10461" s="47"/>
    </row>
    <row r="10462" spans="1:8" x14ac:dyDescent="0.3">
      <c r="A10462" s="27"/>
      <c r="B10462" s="88"/>
      <c r="C10462" s="24"/>
      <c r="D10462" s="89"/>
      <c r="E10462" s="25"/>
      <c r="F10462" s="25"/>
      <c r="G10462" s="25"/>
      <c r="H10462" s="32"/>
    </row>
    <row r="10463" spans="1:8" x14ac:dyDescent="0.3">
      <c r="A10463" s="27"/>
      <c r="B10463" s="88"/>
      <c r="C10463" s="24"/>
      <c r="D10463" s="89"/>
      <c r="E10463" s="25"/>
      <c r="F10463" s="25"/>
      <c r="G10463" s="25"/>
      <c r="H10463" s="32"/>
    </row>
    <row r="10464" spans="1:8" x14ac:dyDescent="0.3">
      <c r="A10464" s="27"/>
      <c r="B10464" s="88"/>
      <c r="C10464" s="24"/>
      <c r="D10464" s="89"/>
      <c r="E10464" s="25"/>
      <c r="F10464" s="25"/>
      <c r="G10464" s="25"/>
      <c r="H10464" s="32"/>
    </row>
    <row r="10465" spans="1:8" x14ac:dyDescent="0.3">
      <c r="A10465" s="27"/>
      <c r="B10465" s="88"/>
      <c r="C10465" s="24"/>
      <c r="D10465" s="89"/>
      <c r="E10465" s="25"/>
      <c r="F10465" s="25"/>
      <c r="G10465" s="25"/>
      <c r="H10465" s="32"/>
    </row>
    <row r="10466" spans="1:8" x14ac:dyDescent="0.3">
      <c r="A10466" s="27"/>
      <c r="B10466" s="88"/>
      <c r="C10466" s="24"/>
      <c r="D10466" s="89"/>
      <c r="E10466" s="25"/>
      <c r="F10466" s="25"/>
      <c r="G10466" s="25"/>
      <c r="H10466" s="32"/>
    </row>
    <row r="10467" spans="1:8" x14ac:dyDescent="0.3">
      <c r="A10467" s="27"/>
      <c r="B10467" s="88"/>
      <c r="C10467" s="24"/>
      <c r="D10467" s="89"/>
      <c r="E10467" s="25"/>
      <c r="F10467" s="25"/>
      <c r="G10467" s="25"/>
      <c r="H10467" s="32"/>
    </row>
    <row r="10468" spans="1:8" x14ac:dyDescent="0.3">
      <c r="A10468" s="27"/>
      <c r="B10468" s="28"/>
      <c r="C10468" s="24"/>
      <c r="D10468" s="25"/>
      <c r="E10468" s="25"/>
      <c r="F10468" s="28"/>
      <c r="G10468" s="28"/>
      <c r="H10468" s="32"/>
    </row>
    <row r="10469" spans="1:8" ht="15.6" x14ac:dyDescent="0.3">
      <c r="A10469" s="448" t="s">
        <v>45</v>
      </c>
      <c r="B10469" s="449"/>
      <c r="C10469" s="24"/>
      <c r="D10469" s="25"/>
      <c r="E10469" s="25"/>
      <c r="F10469" s="447" t="s">
        <v>46</v>
      </c>
      <c r="G10469" s="447"/>
      <c r="H10469" s="66">
        <v>1500</v>
      </c>
    </row>
    <row r="10470" spans="1:8" ht="15.6" x14ac:dyDescent="0.3">
      <c r="A10470" s="497" t="s">
        <v>1747</v>
      </c>
      <c r="B10470" s="498"/>
      <c r="C10470" s="498"/>
      <c r="D10470" s="498"/>
      <c r="E10470" s="498"/>
      <c r="F10470" s="447" t="s">
        <v>47</v>
      </c>
      <c r="G10470" s="447"/>
      <c r="H10470" s="66">
        <f>H10469*9%</f>
        <v>135</v>
      </c>
    </row>
    <row r="10471" spans="1:8" ht="15.6" x14ac:dyDescent="0.3">
      <c r="A10471" s="27"/>
      <c r="B10471" s="28"/>
      <c r="C10471" s="24"/>
      <c r="D10471" s="25"/>
      <c r="E10471" s="25"/>
      <c r="F10471" s="447" t="s">
        <v>48</v>
      </c>
      <c r="G10471" s="447"/>
      <c r="H10471" s="66">
        <f>H10470</f>
        <v>135</v>
      </c>
    </row>
    <row r="10472" spans="1:8" ht="15.6" x14ac:dyDescent="0.3">
      <c r="A10472" s="64" t="s">
        <v>49</v>
      </c>
      <c r="B10472" s="65"/>
      <c r="C10472" s="24"/>
      <c r="D10472" s="25"/>
      <c r="E10472" s="25"/>
      <c r="F10472" s="447" t="s">
        <v>50</v>
      </c>
      <c r="G10472" s="447"/>
      <c r="H10472" s="66">
        <f>H10469+H10470+H10471</f>
        <v>1770</v>
      </c>
    </row>
    <row r="10473" spans="1:8" ht="27" x14ac:dyDescent="0.3">
      <c r="A10473" s="68" t="s">
        <v>22</v>
      </c>
      <c r="B10473" s="30" t="s">
        <v>51</v>
      </c>
      <c r="C10473" s="70" t="s">
        <v>24</v>
      </c>
      <c r="D10473" s="31" t="s">
        <v>25</v>
      </c>
      <c r="E10473" s="450" t="s">
        <v>52</v>
      </c>
      <c r="F10473" s="450"/>
      <c r="G10473" s="28"/>
      <c r="H10473" s="32"/>
    </row>
    <row r="10474" spans="1:8" x14ac:dyDescent="0.3">
      <c r="A10474" s="72">
        <v>0.18</v>
      </c>
      <c r="B10474" s="73">
        <f>H10469</f>
        <v>1500</v>
      </c>
      <c r="C10474" s="91">
        <f>H10470</f>
        <v>135</v>
      </c>
      <c r="D10474" s="91">
        <f>H10470</f>
        <v>135</v>
      </c>
      <c r="E10474" s="506">
        <f>C10474+D10474</f>
        <v>270</v>
      </c>
      <c r="F10474" s="506"/>
      <c r="G10474" s="74"/>
      <c r="H10474" s="75"/>
    </row>
    <row r="10475" spans="1:8" x14ac:dyDescent="0.3">
      <c r="A10475" s="452" t="s">
        <v>1748</v>
      </c>
      <c r="B10475" s="453"/>
      <c r="C10475" s="453"/>
      <c r="D10475" s="453"/>
      <c r="E10475" s="453"/>
      <c r="F10475" s="453"/>
      <c r="G10475" s="453"/>
      <c r="H10475" s="454"/>
    </row>
    <row r="10476" spans="1:8" ht="15.6" x14ac:dyDescent="0.3">
      <c r="A10476" s="455" t="s">
        <v>53</v>
      </c>
      <c r="B10476" s="456"/>
      <c r="C10476" s="456"/>
      <c r="D10476" s="457"/>
      <c r="E10476" s="458" t="s">
        <v>54</v>
      </c>
      <c r="F10476" s="459"/>
      <c r="G10476" s="459"/>
      <c r="H10476" s="460"/>
    </row>
    <row r="10477" spans="1:8" x14ac:dyDescent="0.3">
      <c r="A10477" s="461" t="s">
        <v>55</v>
      </c>
      <c r="B10477" s="462"/>
      <c r="C10477" s="462"/>
      <c r="D10477" s="463"/>
      <c r="E10477" s="39"/>
      <c r="F10477" s="28"/>
      <c r="G10477" s="28"/>
      <c r="H10477" s="32"/>
    </row>
    <row r="10478" spans="1:8" x14ac:dyDescent="0.3">
      <c r="A10478" s="461" t="s">
        <v>56</v>
      </c>
      <c r="B10478" s="462"/>
      <c r="C10478" s="462"/>
      <c r="D10478" s="463"/>
      <c r="E10478" s="39"/>
      <c r="F10478" s="28"/>
      <c r="G10478" s="28"/>
      <c r="H10478" s="32"/>
    </row>
    <row r="10479" spans="1:8" x14ac:dyDescent="0.3">
      <c r="A10479" s="461" t="s">
        <v>57</v>
      </c>
      <c r="B10479" s="462"/>
      <c r="C10479" s="462"/>
      <c r="D10479" s="463"/>
      <c r="E10479" s="39"/>
      <c r="F10479" s="28"/>
      <c r="G10479" s="28"/>
      <c r="H10479" s="32"/>
    </row>
    <row r="10480" spans="1:8" ht="15.6" x14ac:dyDescent="0.3">
      <c r="A10480" s="464" t="s">
        <v>58</v>
      </c>
      <c r="B10480" s="465"/>
      <c r="C10480" s="465"/>
      <c r="D10480" s="510"/>
      <c r="E10480" s="466" t="s">
        <v>59</v>
      </c>
      <c r="F10480" s="467"/>
      <c r="G10480" s="467"/>
      <c r="H10480" s="468"/>
    </row>
    <row r="10484" spans="1:9" ht="44.4" x14ac:dyDescent="0.7">
      <c r="A10484" s="469" t="s">
        <v>0</v>
      </c>
      <c r="B10484" s="470"/>
      <c r="C10484" s="470"/>
      <c r="D10484" s="470"/>
      <c r="E10484" s="471" t="s">
        <v>1</v>
      </c>
      <c r="F10484" s="472"/>
      <c r="G10484" s="472"/>
      <c r="H10484" s="473"/>
    </row>
    <row r="10485" spans="1:9" ht="20.399999999999999" x14ac:dyDescent="0.35">
      <c r="A10485" s="156"/>
      <c r="B10485" s="476" t="s">
        <v>2</v>
      </c>
      <c r="C10485" s="476"/>
      <c r="D10485" s="476"/>
      <c r="E10485" s="474"/>
      <c r="F10485" s="474"/>
      <c r="G10485" s="474"/>
      <c r="H10485" s="475"/>
    </row>
    <row r="10486" spans="1:9" x14ac:dyDescent="0.3">
      <c r="A10486" s="157" t="s">
        <v>3</v>
      </c>
      <c r="B10486" s="137"/>
      <c r="C10486" s="136"/>
      <c r="D10486" s="499" t="s">
        <v>4</v>
      </c>
      <c r="E10486" s="499"/>
      <c r="F10486" s="137"/>
      <c r="G10486" s="137" t="s">
        <v>134</v>
      </c>
      <c r="H10486" s="120"/>
    </row>
    <row r="10487" spans="1:9" ht="15.6" x14ac:dyDescent="0.3">
      <c r="A10487" s="158" t="s">
        <v>6</v>
      </c>
      <c r="B10487" s="5"/>
      <c r="C10487" s="481" t="s">
        <v>7</v>
      </c>
      <c r="D10487" s="481"/>
      <c r="E10487" s="482">
        <v>227</v>
      </c>
      <c r="F10487" s="482"/>
      <c r="G10487" s="7" t="s">
        <v>8</v>
      </c>
      <c r="H10487" s="8">
        <v>46268</v>
      </c>
    </row>
    <row r="10488" spans="1:9" ht="15.6" x14ac:dyDescent="0.3">
      <c r="A10488" s="579" t="s">
        <v>1749</v>
      </c>
      <c r="B10488" s="579"/>
      <c r="C10488" s="481" t="s">
        <v>10</v>
      </c>
      <c r="D10488" s="481"/>
      <c r="E10488" s="580"/>
      <c r="F10488" s="581"/>
      <c r="G10488" s="7" t="s">
        <v>8</v>
      </c>
      <c r="H10488" s="250"/>
    </row>
    <row r="10489" spans="1:9" ht="15" x14ac:dyDescent="0.3">
      <c r="A10489" s="582" t="s">
        <v>1750</v>
      </c>
      <c r="B10489" s="583"/>
      <c r="C10489" s="483" t="s">
        <v>12</v>
      </c>
      <c r="D10489" s="484"/>
      <c r="E10489" s="584"/>
      <c r="F10489" s="585"/>
      <c r="G10489" s="10" t="s">
        <v>8</v>
      </c>
      <c r="H10489" s="109"/>
    </row>
    <row r="10490" spans="1:9" ht="15.6" x14ac:dyDescent="0.3">
      <c r="A10490" s="582" t="s">
        <v>1751</v>
      </c>
      <c r="B10490" s="583"/>
      <c r="C10490" s="481" t="s">
        <v>15</v>
      </c>
      <c r="D10490" s="481"/>
      <c r="E10490" s="489" t="s">
        <v>1752</v>
      </c>
      <c r="F10490" s="490"/>
      <c r="G10490" s="490"/>
      <c r="H10490" s="491"/>
    </row>
    <row r="10491" spans="1:9" ht="15.6" x14ac:dyDescent="0.3">
      <c r="A10491" s="586" t="s">
        <v>1753</v>
      </c>
      <c r="B10491" s="587"/>
      <c r="C10491" s="489"/>
      <c r="D10491" s="490"/>
      <c r="E10491" s="490"/>
      <c r="F10491" s="490"/>
      <c r="G10491" s="490"/>
      <c r="H10491" s="491"/>
    </row>
    <row r="10492" spans="1:9" ht="15" x14ac:dyDescent="0.3">
      <c r="A10492" s="492" t="s">
        <v>17</v>
      </c>
      <c r="B10492" s="494" t="s">
        <v>18</v>
      </c>
      <c r="C10492" s="494" t="s">
        <v>19</v>
      </c>
      <c r="D10492" s="494" t="s">
        <v>20</v>
      </c>
      <c r="E10492" s="494" t="s">
        <v>21</v>
      </c>
      <c r="F10492" s="494" t="s">
        <v>22</v>
      </c>
      <c r="G10492" s="494"/>
      <c r="H10492" s="492" t="s">
        <v>23</v>
      </c>
    </row>
    <row r="10493" spans="1:9" ht="27.6" x14ac:dyDescent="0.3">
      <c r="A10493" s="492"/>
      <c r="B10493" s="494"/>
      <c r="C10493" s="494"/>
      <c r="D10493" s="494"/>
      <c r="E10493" s="494"/>
      <c r="F10493" s="53" t="s">
        <v>24</v>
      </c>
      <c r="G10493" s="53" t="s">
        <v>25</v>
      </c>
      <c r="H10493" s="492"/>
    </row>
    <row r="10494" spans="1:9" x14ac:dyDescent="0.3">
      <c r="A10494" s="15">
        <v>1</v>
      </c>
      <c r="B10494" s="60" t="s">
        <v>1754</v>
      </c>
      <c r="C10494" s="57">
        <v>1</v>
      </c>
      <c r="D10494" s="85">
        <v>998719</v>
      </c>
      <c r="E10494" s="15">
        <v>29661</v>
      </c>
      <c r="F10494" s="58">
        <f>E10494*C10494*9%</f>
        <v>2669.49</v>
      </c>
      <c r="G10494" s="58">
        <f>F10494</f>
        <v>2669.49</v>
      </c>
      <c r="H10494" s="59">
        <f>G10494+F10494+E10494*C10494</f>
        <v>34999.979999999996</v>
      </c>
      <c r="I10494" s="362">
        <f>E10494*C10494</f>
        <v>29661</v>
      </c>
    </row>
    <row r="10495" spans="1:9" x14ac:dyDescent="0.3">
      <c r="A10495" s="20">
        <v>2</v>
      </c>
      <c r="B10495" s="60" t="s">
        <v>1755</v>
      </c>
      <c r="C10495" s="55">
        <v>5</v>
      </c>
      <c r="D10495" s="297">
        <v>998719</v>
      </c>
      <c r="E10495" s="55">
        <v>2471.75</v>
      </c>
      <c r="F10495" s="58">
        <f>E10495*C10495*9%</f>
        <v>1112.2874999999999</v>
      </c>
      <c r="G10495" s="58">
        <f>F10495</f>
        <v>1112.2874999999999</v>
      </c>
      <c r="H10495" s="59">
        <f>G10495+F10495+E10495*C10495</f>
        <v>14583.325000000001</v>
      </c>
      <c r="I10495" s="362">
        <f t="shared" ref="I10495:I10497" si="297">E10495*C10495</f>
        <v>12358.75</v>
      </c>
    </row>
    <row r="10496" spans="1:9" x14ac:dyDescent="0.3">
      <c r="A10496" s="20">
        <v>3</v>
      </c>
      <c r="B10496" s="130" t="s">
        <v>1167</v>
      </c>
      <c r="C10496" s="129">
        <v>155</v>
      </c>
      <c r="D10496" s="297">
        <v>998719</v>
      </c>
      <c r="E10496" s="55">
        <v>20</v>
      </c>
      <c r="F10496" s="58">
        <f>E10496*C10496*9%</f>
        <v>279</v>
      </c>
      <c r="G10496" s="58">
        <f>F10496</f>
        <v>279</v>
      </c>
      <c r="H10496" s="59">
        <f>G10496+F10496+E10496*C10496</f>
        <v>3658</v>
      </c>
      <c r="I10496" s="362">
        <f t="shared" si="297"/>
        <v>3100</v>
      </c>
    </row>
    <row r="10497" spans="1:9" x14ac:dyDescent="0.3">
      <c r="A10497" s="15">
        <v>4</v>
      </c>
      <c r="B10497" s="63" t="s">
        <v>1756</v>
      </c>
      <c r="C10497" s="55">
        <v>1</v>
      </c>
      <c r="D10497" s="297">
        <v>85361010</v>
      </c>
      <c r="E10497" s="55">
        <v>6500</v>
      </c>
      <c r="F10497" s="58">
        <f>E10497*C10497*9%</f>
        <v>585</v>
      </c>
      <c r="G10497" s="58">
        <f>F10497</f>
        <v>585</v>
      </c>
      <c r="H10497" s="59">
        <f>G10497+F10497+E10497*C10497</f>
        <v>7670</v>
      </c>
      <c r="I10497" s="362">
        <f t="shared" si="297"/>
        <v>6500</v>
      </c>
    </row>
    <row r="10498" spans="1:9" x14ac:dyDescent="0.3">
      <c r="A10498" s="20"/>
      <c r="B10498" s="94"/>
      <c r="C10498" s="55"/>
      <c r="D10498" s="20"/>
      <c r="E10498" s="47"/>
      <c r="F10498" s="58"/>
      <c r="G10498" s="58"/>
      <c r="H10498" s="59"/>
    </row>
    <row r="10499" spans="1:9" x14ac:dyDescent="0.3">
      <c r="A10499" s="20"/>
      <c r="B10499" s="94"/>
      <c r="C10499" s="55"/>
      <c r="D10499" s="20"/>
      <c r="E10499" s="47"/>
      <c r="F10499" s="58"/>
      <c r="G10499" s="58"/>
      <c r="H10499" s="59"/>
    </row>
    <row r="10500" spans="1:9" x14ac:dyDescent="0.3">
      <c r="A10500" s="15"/>
      <c r="B10500" s="94"/>
      <c r="C10500" s="55"/>
      <c r="D10500" s="20"/>
      <c r="E10500" s="47"/>
      <c r="F10500" s="58"/>
      <c r="G10500" s="58"/>
      <c r="H10500" s="59"/>
    </row>
    <row r="10501" spans="1:9" x14ac:dyDescent="0.3">
      <c r="A10501" s="159"/>
      <c r="B10501" s="28"/>
      <c r="C10501" s="24"/>
      <c r="D10501" s="25"/>
      <c r="E10501" s="25"/>
      <c r="F10501" s="28"/>
      <c r="G10501" s="28"/>
      <c r="H10501" s="32"/>
    </row>
    <row r="10502" spans="1:9" x14ac:dyDescent="0.3">
      <c r="A10502" s="159"/>
      <c r="B10502" s="28"/>
      <c r="C10502" s="24"/>
      <c r="D10502" s="25"/>
      <c r="E10502" s="25"/>
      <c r="F10502" s="28"/>
      <c r="G10502" s="28"/>
      <c r="H10502" s="32"/>
    </row>
    <row r="10503" spans="1:9" x14ac:dyDescent="0.3">
      <c r="A10503" s="159"/>
      <c r="B10503" s="28"/>
      <c r="C10503" s="24"/>
      <c r="D10503" s="25"/>
      <c r="E10503" s="25"/>
      <c r="F10503" s="28"/>
      <c r="G10503" s="28"/>
      <c r="H10503" s="32"/>
    </row>
    <row r="10504" spans="1:9" x14ac:dyDescent="0.3">
      <c r="A10504" s="159"/>
      <c r="B10504" s="28"/>
      <c r="C10504" s="24"/>
      <c r="D10504" s="25"/>
      <c r="E10504" s="25"/>
      <c r="F10504" s="28"/>
      <c r="G10504" s="28"/>
      <c r="H10504" s="32"/>
    </row>
    <row r="10505" spans="1:9" x14ac:dyDescent="0.3">
      <c r="A10505" s="159"/>
      <c r="B10505" s="28"/>
      <c r="C10505" s="24"/>
      <c r="D10505" s="25"/>
      <c r="E10505" s="25"/>
      <c r="F10505" s="28"/>
      <c r="G10505" s="28"/>
      <c r="H10505" s="32"/>
    </row>
    <row r="10506" spans="1:9" x14ac:dyDescent="0.3">
      <c r="A10506" s="159"/>
      <c r="B10506" s="28"/>
      <c r="C10506" s="24"/>
      <c r="D10506" s="25"/>
      <c r="E10506" s="25"/>
      <c r="F10506" s="28"/>
      <c r="G10506" s="28"/>
      <c r="H10506" s="32"/>
    </row>
    <row r="10507" spans="1:9" x14ac:dyDescent="0.3">
      <c r="A10507" s="159"/>
      <c r="B10507" s="28"/>
      <c r="C10507" s="24"/>
      <c r="D10507" s="25"/>
      <c r="E10507" s="25"/>
      <c r="F10507" s="28"/>
      <c r="G10507" s="28"/>
      <c r="H10507" s="32"/>
    </row>
    <row r="10508" spans="1:9" x14ac:dyDescent="0.3">
      <c r="A10508" s="159"/>
      <c r="B10508" s="28"/>
      <c r="C10508" s="24"/>
      <c r="D10508" s="25"/>
      <c r="E10508" s="25"/>
      <c r="F10508" s="28"/>
      <c r="G10508" s="28"/>
      <c r="H10508" s="32"/>
    </row>
    <row r="10509" spans="1:9" x14ac:dyDescent="0.3">
      <c r="A10509" s="159"/>
      <c r="B10509" s="28"/>
      <c r="C10509" s="24"/>
      <c r="D10509" s="25"/>
      <c r="E10509" s="25"/>
      <c r="F10509" s="28"/>
      <c r="G10509" s="28"/>
      <c r="H10509" s="32"/>
    </row>
    <row r="10510" spans="1:9" ht="15.6" x14ac:dyDescent="0.3">
      <c r="A10510" s="64" t="s">
        <v>45</v>
      </c>
      <c r="B10510" s="28"/>
      <c r="C10510" s="24"/>
      <c r="D10510" s="25"/>
      <c r="E10510" s="25"/>
      <c r="F10510" s="447" t="s">
        <v>46</v>
      </c>
      <c r="G10510" s="447"/>
      <c r="H10510" s="66">
        <v>51619.75</v>
      </c>
    </row>
    <row r="10511" spans="1:9" ht="15.6" x14ac:dyDescent="0.3">
      <c r="A10511" s="497" t="s">
        <v>1757</v>
      </c>
      <c r="B10511" s="498"/>
      <c r="C10511" s="498"/>
      <c r="D10511" s="498"/>
      <c r="E10511" s="498"/>
      <c r="F10511" s="447" t="s">
        <v>47</v>
      </c>
      <c r="G10511" s="447"/>
      <c r="H10511" s="66">
        <f>H10510*9%</f>
        <v>4645.7775000000001</v>
      </c>
    </row>
    <row r="10512" spans="1:9" ht="15.6" x14ac:dyDescent="0.3">
      <c r="A10512" s="159"/>
      <c r="B10512" s="28"/>
      <c r="C10512" s="24"/>
      <c r="D10512" s="25"/>
      <c r="E10512" s="25"/>
      <c r="F10512" s="447" t="s">
        <v>48</v>
      </c>
      <c r="G10512" s="447"/>
      <c r="H10512" s="66">
        <f>H10510*9%</f>
        <v>4645.7775000000001</v>
      </c>
    </row>
    <row r="10513" spans="1:8" ht="15.6" x14ac:dyDescent="0.3">
      <c r="A10513" s="64" t="s">
        <v>49</v>
      </c>
      <c r="B10513" s="28"/>
      <c r="C10513" s="24"/>
      <c r="D10513" s="25"/>
      <c r="E10513" s="25"/>
      <c r="F10513" s="447" t="s">
        <v>50</v>
      </c>
      <c r="G10513" s="447"/>
      <c r="H10513" s="66">
        <f>H10510+H10512+H10511</f>
        <v>60911.304999999993</v>
      </c>
    </row>
    <row r="10514" spans="1:8" ht="27" x14ac:dyDescent="0.3">
      <c r="A10514" s="68" t="s">
        <v>22</v>
      </c>
      <c r="B10514" s="30" t="s">
        <v>51</v>
      </c>
      <c r="C10514" s="70" t="s">
        <v>24</v>
      </c>
      <c r="D10514" s="31" t="s">
        <v>25</v>
      </c>
      <c r="E10514" s="543" t="s">
        <v>52</v>
      </c>
      <c r="F10514" s="543"/>
      <c r="G10514" s="28"/>
      <c r="H10514" s="32"/>
    </row>
    <row r="10515" spans="1:8" x14ac:dyDescent="0.3">
      <c r="A10515" s="72">
        <v>0.18</v>
      </c>
      <c r="B10515" s="73">
        <f>H10510</f>
        <v>51619.75</v>
      </c>
      <c r="C10515" s="91">
        <f>H10511</f>
        <v>4645.7775000000001</v>
      </c>
      <c r="D10515" s="91">
        <f>H10511</f>
        <v>4645.7775000000001</v>
      </c>
      <c r="E10515" s="506">
        <f>C10515+D10515</f>
        <v>9291.5550000000003</v>
      </c>
      <c r="F10515" s="507"/>
      <c r="G10515" s="74"/>
      <c r="H10515" s="75"/>
    </row>
    <row r="10516" spans="1:8" x14ac:dyDescent="0.3">
      <c r="A10516" s="508" t="s">
        <v>1758</v>
      </c>
      <c r="B10516" s="509"/>
      <c r="C10516" s="509"/>
      <c r="D10516" s="509"/>
      <c r="E10516" s="453"/>
      <c r="F10516" s="453"/>
      <c r="G10516" s="453"/>
      <c r="H10516" s="454"/>
    </row>
    <row r="10517" spans="1:8" ht="15.6" x14ac:dyDescent="0.3">
      <c r="A10517" s="455" t="s">
        <v>53</v>
      </c>
      <c r="B10517" s="456"/>
      <c r="C10517" s="456"/>
      <c r="D10517" s="457"/>
      <c r="E10517" s="458" t="s">
        <v>54</v>
      </c>
      <c r="F10517" s="459"/>
      <c r="G10517" s="459"/>
      <c r="H10517" s="460"/>
    </row>
    <row r="10518" spans="1:8" x14ac:dyDescent="0.3">
      <c r="A10518" s="461" t="s">
        <v>55</v>
      </c>
      <c r="B10518" s="462"/>
      <c r="C10518" s="462"/>
      <c r="D10518" s="463"/>
      <c r="E10518" s="39"/>
      <c r="F10518" s="28"/>
      <c r="G10518" s="28"/>
      <c r="H10518" s="32"/>
    </row>
    <row r="10519" spans="1:8" x14ac:dyDescent="0.3">
      <c r="A10519" s="461" t="s">
        <v>56</v>
      </c>
      <c r="B10519" s="462"/>
      <c r="C10519" s="462"/>
      <c r="D10519" s="463"/>
      <c r="E10519" s="39"/>
      <c r="F10519" s="28"/>
      <c r="G10519" s="28"/>
      <c r="H10519" s="32"/>
    </row>
    <row r="10520" spans="1:8" ht="15.6" x14ac:dyDescent="0.3">
      <c r="A10520" s="461" t="s">
        <v>57</v>
      </c>
      <c r="B10520" s="462"/>
      <c r="C10520" s="462"/>
      <c r="D10520" s="463"/>
      <c r="E10520" s="572"/>
      <c r="F10520" s="573"/>
      <c r="G10520" s="573"/>
      <c r="H10520" s="574"/>
    </row>
    <row r="10521" spans="1:8" ht="15.6" x14ac:dyDescent="0.3">
      <c r="A10521" s="464" t="s">
        <v>58</v>
      </c>
      <c r="B10521" s="465"/>
      <c r="C10521" s="465"/>
      <c r="D10521" s="465"/>
      <c r="E10521" s="466" t="s">
        <v>59</v>
      </c>
      <c r="F10521" s="467"/>
      <c r="G10521" s="467"/>
      <c r="H10521" s="468"/>
    </row>
    <row r="10522" spans="1:8" x14ac:dyDescent="0.3">
      <c r="A10522" s="319"/>
      <c r="C10522" s="319"/>
      <c r="D10522" s="319"/>
      <c r="E10522" s="319"/>
      <c r="H10522" s="319"/>
    </row>
    <row r="10525" spans="1:8" ht="44.4" x14ac:dyDescent="0.7">
      <c r="A10525" s="469" t="s">
        <v>0</v>
      </c>
      <c r="B10525" s="470"/>
      <c r="C10525" s="470"/>
      <c r="D10525" s="470"/>
      <c r="E10525" s="531" t="s">
        <v>92</v>
      </c>
      <c r="F10525" s="544"/>
      <c r="G10525" s="544"/>
      <c r="H10525" s="545"/>
    </row>
    <row r="10526" spans="1:8" ht="20.399999999999999" x14ac:dyDescent="0.35">
      <c r="A10526" s="1"/>
      <c r="B10526" s="476" t="s">
        <v>2</v>
      </c>
      <c r="C10526" s="476"/>
      <c r="D10526" s="476"/>
      <c r="E10526" s="546"/>
      <c r="F10526" s="546"/>
      <c r="G10526" s="546"/>
      <c r="H10526" s="547"/>
    </row>
    <row r="10527" spans="1:8" x14ac:dyDescent="0.3">
      <c r="A10527" s="477" t="s">
        <v>3</v>
      </c>
      <c r="B10527" s="478"/>
      <c r="C10527" s="136"/>
      <c r="D10527" s="499" t="s">
        <v>4</v>
      </c>
      <c r="E10527" s="499"/>
      <c r="F10527" s="137"/>
      <c r="G10527" s="575" t="s">
        <v>134</v>
      </c>
      <c r="H10527" s="576"/>
    </row>
    <row r="10528" spans="1:8" ht="15.6" x14ac:dyDescent="0.3">
      <c r="A10528" s="138" t="s">
        <v>6</v>
      </c>
      <c r="B10528" s="5"/>
      <c r="C10528" s="481" t="s">
        <v>7</v>
      </c>
      <c r="D10528" s="481"/>
      <c r="E10528" s="482">
        <v>228</v>
      </c>
      <c r="F10528" s="482"/>
      <c r="G10528" s="7" t="s">
        <v>8</v>
      </c>
      <c r="H10528" s="8">
        <v>46268</v>
      </c>
    </row>
    <row r="10529" spans="1:11" ht="15.6" x14ac:dyDescent="0.3">
      <c r="A10529" s="556" t="s">
        <v>1759</v>
      </c>
      <c r="B10529" s="557"/>
      <c r="C10529" s="481" t="s">
        <v>10</v>
      </c>
      <c r="D10529" s="481"/>
      <c r="E10529" s="482"/>
      <c r="F10529" s="482"/>
      <c r="G10529" s="7" t="s">
        <v>8</v>
      </c>
      <c r="H10529" s="6"/>
    </row>
    <row r="10530" spans="1:11" ht="15.6" x14ac:dyDescent="0.3">
      <c r="A10530" s="577" t="s">
        <v>1760</v>
      </c>
      <c r="B10530" s="578"/>
      <c r="C10530" s="481" t="s">
        <v>12</v>
      </c>
      <c r="D10530" s="481"/>
      <c r="E10530" s="482"/>
      <c r="F10530" s="482"/>
      <c r="G10530" s="7" t="s">
        <v>8</v>
      </c>
      <c r="H10530" s="8"/>
    </row>
    <row r="10531" spans="1:11" ht="15.6" x14ac:dyDescent="0.3">
      <c r="A10531" s="556" t="s">
        <v>153</v>
      </c>
      <c r="B10531" s="557"/>
      <c r="C10531" s="481" t="s">
        <v>15</v>
      </c>
      <c r="D10531" s="481"/>
      <c r="E10531" s="566" t="s">
        <v>1770</v>
      </c>
      <c r="F10531" s="567"/>
      <c r="G10531" s="567"/>
      <c r="H10531" s="568"/>
    </row>
    <row r="10532" spans="1:11" ht="15.6" x14ac:dyDescent="0.3">
      <c r="A10532" s="558" t="s">
        <v>1761</v>
      </c>
      <c r="B10532" s="559"/>
      <c r="C10532" s="569"/>
      <c r="D10532" s="570"/>
      <c r="E10532" s="570"/>
      <c r="F10532" s="570"/>
      <c r="G10532" s="570"/>
      <c r="H10532" s="571"/>
    </row>
    <row r="10533" spans="1:11" ht="15" x14ac:dyDescent="0.3">
      <c r="A10533" s="492" t="s">
        <v>17</v>
      </c>
      <c r="B10533" s="494" t="s">
        <v>18</v>
      </c>
      <c r="C10533" s="494" t="s">
        <v>19</v>
      </c>
      <c r="D10533" s="494" t="s">
        <v>20</v>
      </c>
      <c r="E10533" s="494" t="s">
        <v>21</v>
      </c>
      <c r="F10533" s="494" t="s">
        <v>22</v>
      </c>
      <c r="G10533" s="494"/>
      <c r="H10533" s="492" t="s">
        <v>23</v>
      </c>
    </row>
    <row r="10534" spans="1:11" ht="27.6" x14ac:dyDescent="0.3">
      <c r="A10534" s="492"/>
      <c r="B10534" s="494"/>
      <c r="C10534" s="494"/>
      <c r="D10534" s="494"/>
      <c r="E10534" s="494"/>
      <c r="F10534" s="53" t="s">
        <v>24</v>
      </c>
      <c r="G10534" s="53" t="s">
        <v>25</v>
      </c>
      <c r="H10534" s="492"/>
    </row>
    <row r="10535" spans="1:11" x14ac:dyDescent="0.3">
      <c r="A10535" s="57">
        <v>1</v>
      </c>
      <c r="B10535" s="113" t="s">
        <v>1762</v>
      </c>
      <c r="C10535" s="57">
        <v>7</v>
      </c>
      <c r="D10535" s="372">
        <v>998719</v>
      </c>
      <c r="E10535" s="57">
        <v>2472</v>
      </c>
      <c r="F10535" s="58">
        <f>C10535*E10535*9%</f>
        <v>1557.36</v>
      </c>
      <c r="G10535" s="58">
        <f>C10535*E10535*9%</f>
        <v>1557.36</v>
      </c>
      <c r="H10535" s="59">
        <f>C10535*E10535+F10535+G10535</f>
        <v>20418.72</v>
      </c>
      <c r="I10535" s="362">
        <f>E10535*C10535</f>
        <v>17304</v>
      </c>
    </row>
    <row r="10536" spans="1:11" x14ac:dyDescent="0.3">
      <c r="A10536" s="57">
        <v>2</v>
      </c>
      <c r="B10536" s="60" t="s">
        <v>1763</v>
      </c>
      <c r="C10536" s="57">
        <v>2</v>
      </c>
      <c r="D10536" s="150">
        <v>85365010</v>
      </c>
      <c r="E10536" s="57">
        <v>4128</v>
      </c>
      <c r="F10536" s="58">
        <f t="shared" ref="F10536:F10539" si="298">C10536*E10536*9%</f>
        <v>743.04</v>
      </c>
      <c r="G10536" s="58">
        <f t="shared" ref="G10536:G10539" si="299">C10536*E10536*9%</f>
        <v>743.04</v>
      </c>
      <c r="H10536" s="59">
        <f t="shared" ref="H10536:H10539" si="300">C10536*E10536+F10536+G10536</f>
        <v>9742.0800000000017</v>
      </c>
      <c r="I10536" s="362">
        <f t="shared" ref="I10536:I10539" si="301">E10536*C10536</f>
        <v>8256</v>
      </c>
    </row>
    <row r="10537" spans="1:11" x14ac:dyDescent="0.3">
      <c r="A10537" s="55">
        <v>3</v>
      </c>
      <c r="B10537" s="63" t="s">
        <v>1764</v>
      </c>
      <c r="C10537" s="55">
        <v>1</v>
      </c>
      <c r="D10537" s="150">
        <v>85321000</v>
      </c>
      <c r="E10537" s="55">
        <v>1807</v>
      </c>
      <c r="F10537" s="58">
        <f t="shared" si="298"/>
        <v>162.63</v>
      </c>
      <c r="G10537" s="58">
        <f t="shared" si="299"/>
        <v>162.63</v>
      </c>
      <c r="H10537" s="59">
        <f t="shared" si="300"/>
        <v>2132.2600000000002</v>
      </c>
      <c r="I10537" s="362">
        <f t="shared" si="301"/>
        <v>1807</v>
      </c>
      <c r="K10537" t="s">
        <v>1769</v>
      </c>
    </row>
    <row r="10538" spans="1:11" x14ac:dyDescent="0.3">
      <c r="A10538" s="57">
        <v>4</v>
      </c>
      <c r="B10538" s="63" t="s">
        <v>1765</v>
      </c>
      <c r="C10538" s="55">
        <v>1</v>
      </c>
      <c r="D10538" s="425">
        <v>85321000</v>
      </c>
      <c r="E10538" s="55">
        <v>2710</v>
      </c>
      <c r="F10538" s="58">
        <f t="shared" si="298"/>
        <v>243.89999999999998</v>
      </c>
      <c r="G10538" s="58">
        <f t="shared" si="299"/>
        <v>243.89999999999998</v>
      </c>
      <c r="H10538" s="59">
        <f t="shared" si="300"/>
        <v>3197.8</v>
      </c>
      <c r="I10538" s="362">
        <f t="shared" si="301"/>
        <v>2710</v>
      </c>
    </row>
    <row r="10539" spans="1:11" x14ac:dyDescent="0.3">
      <c r="A10539" s="57">
        <v>5</v>
      </c>
      <c r="B10539" s="63" t="s">
        <v>1766</v>
      </c>
      <c r="C10539" s="55">
        <v>1</v>
      </c>
      <c r="D10539" s="425">
        <v>85321000</v>
      </c>
      <c r="E10539" s="55">
        <v>4517</v>
      </c>
      <c r="F10539" s="58">
        <f t="shared" si="298"/>
        <v>406.53</v>
      </c>
      <c r="G10539" s="58">
        <f t="shared" si="299"/>
        <v>406.53</v>
      </c>
      <c r="H10539" s="59">
        <f t="shared" si="300"/>
        <v>5330.0599999999995</v>
      </c>
      <c r="I10539" s="362">
        <f t="shared" si="301"/>
        <v>4517</v>
      </c>
    </row>
    <row r="10540" spans="1:11" x14ac:dyDescent="0.3">
      <c r="A10540" s="90"/>
      <c r="B10540" s="132"/>
      <c r="C10540" s="24"/>
      <c r="D10540" s="164"/>
      <c r="E10540" s="24"/>
      <c r="F10540" s="165"/>
      <c r="G10540" s="165"/>
      <c r="H10540" s="166"/>
    </row>
    <row r="10541" spans="1:11" x14ac:dyDescent="0.3">
      <c r="A10541" s="27"/>
      <c r="B10541" s="132"/>
      <c r="C10541" s="24"/>
      <c r="D10541" s="25"/>
      <c r="E10541" s="25"/>
      <c r="F10541" s="165"/>
      <c r="G10541" s="165"/>
      <c r="H10541" s="166"/>
    </row>
    <row r="10542" spans="1:11" x14ac:dyDescent="0.3">
      <c r="A10542" s="27"/>
      <c r="B10542" s="28"/>
      <c r="C10542" s="24"/>
      <c r="D10542" s="25"/>
      <c r="E10542" s="25"/>
      <c r="F10542" s="165"/>
      <c r="G10542" s="165"/>
      <c r="H10542" s="166"/>
    </row>
    <row r="10543" spans="1:11" x14ac:dyDescent="0.3">
      <c r="A10543" s="27"/>
      <c r="B10543" s="28"/>
      <c r="C10543" s="24"/>
      <c r="D10543" s="25"/>
      <c r="E10543" s="25"/>
      <c r="F10543" s="165"/>
      <c r="G10543" s="165"/>
      <c r="H10543" s="166"/>
    </row>
    <row r="10544" spans="1:11" x14ac:dyDescent="0.3">
      <c r="A10544" s="27"/>
      <c r="B10544" s="28"/>
      <c r="C10544" s="24"/>
      <c r="D10544" s="25"/>
      <c r="E10544" s="25"/>
      <c r="F10544" s="165"/>
      <c r="G10544" s="165"/>
      <c r="H10544" s="166"/>
    </row>
    <row r="10545" spans="1:8" x14ac:dyDescent="0.3">
      <c r="A10545" s="27"/>
      <c r="B10545" s="28"/>
      <c r="C10545" s="24"/>
      <c r="D10545" s="25"/>
      <c r="E10545" s="25"/>
      <c r="F10545" s="165"/>
      <c r="G10545" s="165"/>
      <c r="H10545" s="166"/>
    </row>
    <row r="10546" spans="1:8" x14ac:dyDescent="0.3">
      <c r="A10546" s="27"/>
      <c r="B10546" s="28"/>
      <c r="C10546" s="24"/>
      <c r="D10546" s="25"/>
      <c r="E10546" s="25"/>
      <c r="F10546" s="165"/>
      <c r="G10546" s="165"/>
      <c r="H10546" s="166"/>
    </row>
    <row r="10547" spans="1:8" x14ac:dyDescent="0.3">
      <c r="A10547" s="27"/>
      <c r="B10547" s="28"/>
      <c r="C10547" s="24"/>
      <c r="D10547" s="25"/>
      <c r="E10547" s="25"/>
      <c r="F10547" s="28"/>
      <c r="G10547" s="28"/>
      <c r="H10547" s="32"/>
    </row>
    <row r="10548" spans="1:8" x14ac:dyDescent="0.3">
      <c r="A10548" s="27"/>
      <c r="B10548" s="28"/>
      <c r="C10548" s="24"/>
      <c r="D10548" s="25"/>
      <c r="E10548" s="25"/>
      <c r="F10548" s="28"/>
      <c r="G10548" s="28"/>
      <c r="H10548" s="32"/>
    </row>
    <row r="10549" spans="1:8" x14ac:dyDescent="0.3">
      <c r="A10549" s="27"/>
      <c r="B10549" s="28"/>
      <c r="C10549" s="24"/>
      <c r="D10549" s="25"/>
      <c r="E10549" s="25"/>
      <c r="F10549" s="28"/>
      <c r="G10549" s="28"/>
      <c r="H10549" s="32"/>
    </row>
    <row r="10550" spans="1:8" x14ac:dyDescent="0.3">
      <c r="A10550" s="27"/>
      <c r="B10550" s="28"/>
      <c r="C10550" s="24"/>
      <c r="D10550" s="25"/>
      <c r="E10550" s="25"/>
      <c r="F10550" s="28"/>
      <c r="G10550" s="28"/>
      <c r="H10550" s="32"/>
    </row>
    <row r="10551" spans="1:8" x14ac:dyDescent="0.3">
      <c r="A10551" s="27"/>
      <c r="B10551" s="28"/>
      <c r="C10551" s="24"/>
      <c r="D10551" s="25"/>
      <c r="E10551" s="25"/>
      <c r="F10551" s="28"/>
      <c r="G10551" s="28"/>
      <c r="H10551" s="32"/>
    </row>
    <row r="10552" spans="1:8" x14ac:dyDescent="0.3">
      <c r="A10552" s="27"/>
      <c r="B10552" s="28"/>
      <c r="C10552" s="24"/>
      <c r="D10552" s="25"/>
      <c r="E10552" s="25"/>
      <c r="F10552" s="28"/>
      <c r="G10552" s="28"/>
      <c r="H10552" s="32"/>
    </row>
    <row r="10553" spans="1:8" x14ac:dyDescent="0.3">
      <c r="A10553" s="27"/>
      <c r="B10553" s="28"/>
      <c r="C10553" s="24"/>
      <c r="D10553" s="25"/>
      <c r="E10553" s="25"/>
      <c r="F10553" s="28"/>
      <c r="G10553" s="28"/>
      <c r="H10553" s="32"/>
    </row>
    <row r="10554" spans="1:8" x14ac:dyDescent="0.3">
      <c r="A10554" s="27"/>
      <c r="B10554" s="28"/>
      <c r="C10554" s="24"/>
      <c r="D10554" s="25"/>
      <c r="E10554" s="25"/>
      <c r="F10554" s="28"/>
      <c r="G10554" s="28"/>
      <c r="H10554" s="32"/>
    </row>
    <row r="10555" spans="1:8" x14ac:dyDescent="0.3">
      <c r="A10555" s="27"/>
      <c r="B10555" s="28"/>
      <c r="C10555" s="24"/>
      <c r="D10555" s="25"/>
      <c r="E10555" s="25"/>
      <c r="F10555" s="28"/>
      <c r="G10555" s="28"/>
      <c r="H10555" s="32"/>
    </row>
    <row r="10556" spans="1:8" x14ac:dyDescent="0.3">
      <c r="A10556" s="27"/>
      <c r="B10556" s="28"/>
      <c r="C10556" s="24"/>
      <c r="D10556" s="25"/>
      <c r="E10556" s="25"/>
      <c r="F10556" s="28"/>
      <c r="G10556" s="28"/>
      <c r="H10556" s="32"/>
    </row>
    <row r="10557" spans="1:8" x14ac:dyDescent="0.3">
      <c r="A10557" s="27"/>
      <c r="B10557" s="28"/>
      <c r="C10557" s="24"/>
      <c r="D10557" s="25"/>
      <c r="E10557" s="25"/>
      <c r="F10557" s="28"/>
      <c r="G10557" s="28"/>
      <c r="H10557" s="32"/>
    </row>
    <row r="10558" spans="1:8" ht="15.6" x14ac:dyDescent="0.3">
      <c r="A10558" s="448" t="s">
        <v>45</v>
      </c>
      <c r="B10558" s="449"/>
      <c r="C10558" s="449"/>
      <c r="D10558" s="25"/>
      <c r="E10558" s="25"/>
      <c r="F10558" s="447" t="s">
        <v>46</v>
      </c>
      <c r="G10558" s="447"/>
      <c r="H10558" s="66">
        <f>(C10535*E10535)+(C10536*E10536)+(C10537*E10537)+(C10538*E10538)+(C10539*E10539)</f>
        <v>34594</v>
      </c>
    </row>
    <row r="10559" spans="1:8" ht="15.6" x14ac:dyDescent="0.3">
      <c r="A10559" s="497" t="s">
        <v>1767</v>
      </c>
      <c r="B10559" s="498"/>
      <c r="C10559" s="498"/>
      <c r="D10559" s="498"/>
      <c r="E10559" s="498"/>
      <c r="F10559" s="447" t="s">
        <v>47</v>
      </c>
      <c r="G10559" s="447"/>
      <c r="H10559" s="66">
        <f>H10558*9%</f>
        <v>3113.46</v>
      </c>
    </row>
    <row r="10560" spans="1:8" ht="15.6" x14ac:dyDescent="0.3">
      <c r="A10560" s="27"/>
      <c r="B10560" s="28"/>
      <c r="C10560" s="24"/>
      <c r="D10560" s="25"/>
      <c r="E10560" s="25"/>
      <c r="F10560" s="447" t="s">
        <v>48</v>
      </c>
      <c r="G10560" s="447"/>
      <c r="H10560" s="66">
        <f>H10558*9%</f>
        <v>3113.46</v>
      </c>
    </row>
    <row r="10561" spans="1:8" ht="15.6" x14ac:dyDescent="0.3">
      <c r="A10561" s="448" t="s">
        <v>49</v>
      </c>
      <c r="B10561" s="449"/>
      <c r="C10561" s="449"/>
      <c r="D10561" s="449"/>
      <c r="E10561" s="25"/>
      <c r="F10561" s="447" t="s">
        <v>50</v>
      </c>
      <c r="G10561" s="447"/>
      <c r="H10561" s="66">
        <f>H10558+H10559+H10560</f>
        <v>40820.92</v>
      </c>
    </row>
    <row r="10562" spans="1:8" ht="27" x14ac:dyDescent="0.3">
      <c r="A10562" s="68" t="s">
        <v>22</v>
      </c>
      <c r="B10562" s="69" t="s">
        <v>51</v>
      </c>
      <c r="C10562" s="70" t="s">
        <v>24</v>
      </c>
      <c r="D10562" s="31" t="s">
        <v>25</v>
      </c>
      <c r="E10562" s="450" t="s">
        <v>52</v>
      </c>
      <c r="F10562" s="450"/>
      <c r="G10562" s="28"/>
      <c r="H10562" s="32"/>
    </row>
    <row r="10563" spans="1:8" x14ac:dyDescent="0.3">
      <c r="A10563" s="72">
        <v>0.18</v>
      </c>
      <c r="B10563" s="73">
        <f>H10558</f>
        <v>34594</v>
      </c>
      <c r="C10563" s="74">
        <f>H10559</f>
        <v>3113.46</v>
      </c>
      <c r="D10563" s="74">
        <f>H10560</f>
        <v>3113.46</v>
      </c>
      <c r="E10563" s="507">
        <f>C10563+D10563</f>
        <v>6226.92</v>
      </c>
      <c r="F10563" s="507"/>
      <c r="G10563" s="74"/>
      <c r="H10563" s="75"/>
    </row>
    <row r="10564" spans="1:8" x14ac:dyDescent="0.3">
      <c r="A10564" s="452" t="s">
        <v>1768</v>
      </c>
      <c r="B10564" s="453"/>
      <c r="C10564" s="453"/>
      <c r="D10564" s="453"/>
      <c r="E10564" s="453"/>
      <c r="F10564" s="453"/>
      <c r="G10564" s="453"/>
      <c r="H10564" s="454"/>
    </row>
    <row r="10565" spans="1:8" ht="15.6" x14ac:dyDescent="0.3">
      <c r="A10565" s="455" t="s">
        <v>53</v>
      </c>
      <c r="B10565" s="456"/>
      <c r="C10565" s="456"/>
      <c r="D10565" s="457"/>
      <c r="E10565" s="458" t="s">
        <v>54</v>
      </c>
      <c r="F10565" s="459"/>
      <c r="G10565" s="459"/>
      <c r="H10565" s="460"/>
    </row>
    <row r="10566" spans="1:8" x14ac:dyDescent="0.3">
      <c r="A10566" s="461" t="s">
        <v>55</v>
      </c>
      <c r="B10566" s="462"/>
      <c r="C10566" s="462"/>
      <c r="D10566" s="463"/>
      <c r="E10566" s="39"/>
      <c r="F10566" s="28"/>
      <c r="G10566" s="28"/>
      <c r="H10566" s="32"/>
    </row>
    <row r="10567" spans="1:8" x14ac:dyDescent="0.3">
      <c r="A10567" s="461" t="s">
        <v>56</v>
      </c>
      <c r="B10567" s="462"/>
      <c r="C10567" s="462"/>
      <c r="D10567" s="463"/>
      <c r="E10567" s="39"/>
      <c r="F10567" s="28"/>
      <c r="G10567" s="28"/>
      <c r="H10567" s="32"/>
    </row>
    <row r="10568" spans="1:8" x14ac:dyDescent="0.3">
      <c r="A10568" s="461" t="s">
        <v>57</v>
      </c>
      <c r="B10568" s="462"/>
      <c r="C10568" s="462"/>
      <c r="D10568" s="463"/>
      <c r="E10568" s="167"/>
      <c r="H10568" s="168"/>
    </row>
    <row r="10569" spans="1:8" ht="15.6" x14ac:dyDescent="0.3">
      <c r="A10569" s="464" t="s">
        <v>58</v>
      </c>
      <c r="B10569" s="465"/>
      <c r="C10569" s="465"/>
      <c r="D10569" s="510"/>
      <c r="E10569" s="466" t="s">
        <v>59</v>
      </c>
      <c r="F10569" s="467"/>
      <c r="G10569" s="467"/>
      <c r="H10569" s="468"/>
    </row>
    <row r="10573" spans="1:8" ht="44.4" x14ac:dyDescent="0.7">
      <c r="A10573" s="469" t="s">
        <v>0</v>
      </c>
      <c r="B10573" s="470"/>
      <c r="C10573" s="470"/>
      <c r="D10573" s="470"/>
      <c r="E10573" s="471" t="s">
        <v>92</v>
      </c>
      <c r="F10573" s="472"/>
      <c r="G10573" s="472"/>
      <c r="H10573" s="473"/>
    </row>
    <row r="10574" spans="1:8" ht="20.399999999999999" x14ac:dyDescent="0.35">
      <c r="A10574" s="1"/>
      <c r="B10574" s="476" t="s">
        <v>2</v>
      </c>
      <c r="C10574" s="476"/>
      <c r="D10574" s="476"/>
      <c r="E10574" s="474"/>
      <c r="F10574" s="474"/>
      <c r="G10574" s="474"/>
      <c r="H10574" s="475"/>
    </row>
    <row r="10575" spans="1:8" x14ac:dyDescent="0.3">
      <c r="A10575" s="477" t="s">
        <v>3</v>
      </c>
      <c r="B10575" s="478"/>
      <c r="C10575" s="479" t="s">
        <v>4</v>
      </c>
      <c r="D10575" s="479"/>
      <c r="E10575" s="480" t="s">
        <v>5</v>
      </c>
      <c r="F10575" s="480"/>
      <c r="G10575" s="480"/>
      <c r="H10575" s="480"/>
    </row>
    <row r="10576" spans="1:8" ht="15.6" x14ac:dyDescent="0.3">
      <c r="A10576" s="138" t="s">
        <v>6</v>
      </c>
      <c r="B10576" s="5"/>
      <c r="C10576" s="481" t="s">
        <v>7</v>
      </c>
      <c r="D10576" s="481"/>
      <c r="E10576" s="482">
        <v>229</v>
      </c>
      <c r="F10576" s="482"/>
      <c r="G10576" s="7" t="s">
        <v>8</v>
      </c>
      <c r="H10576" s="8">
        <v>46268</v>
      </c>
    </row>
    <row r="10577" spans="1:9" ht="15.6" x14ac:dyDescent="0.3">
      <c r="A10577" s="514" t="s">
        <v>231</v>
      </c>
      <c r="B10577" s="515"/>
      <c r="C10577" s="481" t="s">
        <v>10</v>
      </c>
      <c r="D10577" s="481"/>
      <c r="E10577" s="482"/>
      <c r="F10577" s="482"/>
      <c r="G10577" s="7" t="s">
        <v>8</v>
      </c>
      <c r="H10577" s="6"/>
    </row>
    <row r="10578" spans="1:9" ht="30" customHeight="1" x14ac:dyDescent="0.3">
      <c r="A10578" s="517" t="s">
        <v>232</v>
      </c>
      <c r="B10578" s="518"/>
      <c r="C10578" s="519" t="s">
        <v>12</v>
      </c>
      <c r="D10578" s="519"/>
      <c r="E10578" s="564" t="s">
        <v>1771</v>
      </c>
      <c r="F10578" s="565"/>
      <c r="G10578" s="10" t="s">
        <v>8</v>
      </c>
      <c r="H10578" s="109">
        <v>46145</v>
      </c>
    </row>
    <row r="10579" spans="1:9" ht="15.6" x14ac:dyDescent="0.3">
      <c r="A10579" s="517" t="s">
        <v>233</v>
      </c>
      <c r="B10579" s="518"/>
      <c r="C10579" s="481" t="s">
        <v>15</v>
      </c>
      <c r="D10579" s="481"/>
      <c r="E10579" s="566" t="s">
        <v>234</v>
      </c>
      <c r="F10579" s="567"/>
      <c r="G10579" s="567"/>
      <c r="H10579" s="568"/>
    </row>
    <row r="10580" spans="1:9" ht="15.6" x14ac:dyDescent="0.3">
      <c r="A10580" s="12" t="s">
        <v>13</v>
      </c>
      <c r="B10580" s="13" t="s">
        <v>196</v>
      </c>
      <c r="C10580" s="569"/>
      <c r="D10580" s="570"/>
      <c r="E10580" s="570"/>
      <c r="F10580" s="570"/>
      <c r="G10580" s="570"/>
      <c r="H10580" s="571"/>
    </row>
    <row r="10581" spans="1:9" ht="15" x14ac:dyDescent="0.3">
      <c r="A10581" s="492" t="s">
        <v>17</v>
      </c>
      <c r="B10581" s="494" t="s">
        <v>18</v>
      </c>
      <c r="C10581" s="494" t="s">
        <v>19</v>
      </c>
      <c r="D10581" s="494" t="s">
        <v>20</v>
      </c>
      <c r="E10581" s="494" t="s">
        <v>21</v>
      </c>
      <c r="F10581" s="494" t="s">
        <v>22</v>
      </c>
      <c r="G10581" s="494"/>
      <c r="H10581" s="492" t="s">
        <v>23</v>
      </c>
    </row>
    <row r="10582" spans="1:9" ht="27.6" x14ac:dyDescent="0.3">
      <c r="A10582" s="492"/>
      <c r="B10582" s="494"/>
      <c r="C10582" s="494"/>
      <c r="D10582" s="494"/>
      <c r="E10582" s="494"/>
      <c r="F10582" s="53" t="s">
        <v>24</v>
      </c>
      <c r="G10582" s="53" t="s">
        <v>25</v>
      </c>
      <c r="H10582" s="492"/>
    </row>
    <row r="10583" spans="1:9" x14ac:dyDescent="0.3">
      <c r="A10583" s="57">
        <v>1</v>
      </c>
      <c r="B10583" s="113" t="s">
        <v>1772</v>
      </c>
      <c r="C10583" s="57">
        <v>2</v>
      </c>
      <c r="D10583" s="356">
        <v>85389000</v>
      </c>
      <c r="E10583" s="57">
        <v>8500</v>
      </c>
      <c r="F10583" s="58">
        <f>C10583*E10583*9%</f>
        <v>1530</v>
      </c>
      <c r="G10583" s="58">
        <f>C10583*E10583*9%</f>
        <v>1530</v>
      </c>
      <c r="H10583" s="59">
        <f>C10583*E10583+F10583+G10583</f>
        <v>20060</v>
      </c>
      <c r="I10583" s="362">
        <f>E10583*C10583</f>
        <v>17000</v>
      </c>
    </row>
    <row r="10584" spans="1:9" x14ac:dyDescent="0.3">
      <c r="A10584" s="57">
        <v>2</v>
      </c>
      <c r="B10584" s="60" t="s">
        <v>1773</v>
      </c>
      <c r="C10584" s="57">
        <v>15</v>
      </c>
      <c r="D10584" s="368">
        <v>730820</v>
      </c>
      <c r="E10584" s="57">
        <v>166.67</v>
      </c>
      <c r="F10584" s="58">
        <f t="shared" ref="F10584:F10585" si="302">C10584*E10584*9%</f>
        <v>225.00449999999998</v>
      </c>
      <c r="G10584" s="58">
        <f t="shared" ref="G10584:G10585" si="303">C10584*E10584*9%</f>
        <v>225.00449999999998</v>
      </c>
      <c r="H10584" s="59">
        <f t="shared" ref="H10584:H10585" si="304">C10584*E10584+F10584+G10584</f>
        <v>2950.0589999999997</v>
      </c>
      <c r="I10584" s="362">
        <f t="shared" ref="I10584:I10585" si="305">E10584*C10584</f>
        <v>2500.0499999999997</v>
      </c>
    </row>
    <row r="10585" spans="1:9" x14ac:dyDescent="0.3">
      <c r="A10585" s="55">
        <v>3</v>
      </c>
      <c r="B10585" s="63" t="s">
        <v>1774</v>
      </c>
      <c r="C10585" s="55">
        <v>1</v>
      </c>
      <c r="D10585" s="56">
        <v>998719</v>
      </c>
      <c r="E10585" s="55">
        <v>1500</v>
      </c>
      <c r="F10585" s="58">
        <f t="shared" si="302"/>
        <v>135</v>
      </c>
      <c r="G10585" s="58">
        <f t="shared" si="303"/>
        <v>135</v>
      </c>
      <c r="H10585" s="59">
        <f t="shared" si="304"/>
        <v>1770</v>
      </c>
      <c r="I10585" s="362">
        <f t="shared" si="305"/>
        <v>1500</v>
      </c>
    </row>
    <row r="10586" spans="1:9" x14ac:dyDescent="0.3">
      <c r="A10586" s="90"/>
      <c r="B10586" s="132"/>
      <c r="C10586" s="24"/>
      <c r="D10586" s="164"/>
      <c r="E10586" s="24"/>
      <c r="F10586" s="165"/>
      <c r="G10586" s="165"/>
      <c r="H10586" s="166"/>
    </row>
    <row r="10587" spans="1:9" x14ac:dyDescent="0.3">
      <c r="A10587" s="90"/>
      <c r="B10587" s="132"/>
      <c r="C10587" s="24"/>
      <c r="D10587" s="164"/>
      <c r="E10587" s="24"/>
      <c r="F10587" s="165"/>
      <c r="G10587" s="165"/>
      <c r="H10587" s="166"/>
    </row>
    <row r="10588" spans="1:9" x14ac:dyDescent="0.3">
      <c r="A10588" s="90"/>
      <c r="B10588" s="132"/>
      <c r="C10588" s="24"/>
      <c r="D10588" s="164"/>
      <c r="E10588" s="24"/>
      <c r="F10588" s="165"/>
      <c r="G10588" s="165"/>
      <c r="H10588" s="166"/>
    </row>
    <row r="10589" spans="1:9" x14ac:dyDescent="0.3">
      <c r="A10589" s="27"/>
      <c r="B10589" s="132"/>
      <c r="C10589" s="24"/>
      <c r="D10589" s="25"/>
      <c r="E10589" s="25"/>
      <c r="F10589" s="165"/>
      <c r="G10589" s="165"/>
      <c r="H10589" s="166"/>
    </row>
    <row r="10590" spans="1:9" x14ac:dyDescent="0.3">
      <c r="A10590" s="27"/>
      <c r="B10590" s="28"/>
      <c r="C10590" s="24"/>
      <c r="D10590" s="25"/>
      <c r="E10590" s="25"/>
      <c r="F10590" s="165"/>
      <c r="G10590" s="165"/>
      <c r="H10590" s="166"/>
    </row>
    <row r="10591" spans="1:9" x14ac:dyDescent="0.3">
      <c r="A10591" s="27"/>
      <c r="B10591" s="28"/>
      <c r="C10591" s="24"/>
      <c r="D10591" s="25"/>
      <c r="E10591" s="25"/>
      <c r="F10591" s="165"/>
      <c r="G10591" s="165"/>
      <c r="H10591" s="166"/>
    </row>
    <row r="10592" spans="1:9" x14ac:dyDescent="0.3">
      <c r="A10592" s="27"/>
      <c r="B10592" s="28"/>
      <c r="C10592" s="24"/>
      <c r="D10592" s="25"/>
      <c r="E10592" s="25"/>
      <c r="F10592" s="165"/>
      <c r="G10592" s="165"/>
      <c r="H10592" s="166"/>
    </row>
    <row r="10593" spans="1:8" x14ac:dyDescent="0.3">
      <c r="A10593" s="27"/>
      <c r="B10593" s="28"/>
      <c r="C10593" s="24"/>
      <c r="D10593" s="25"/>
      <c r="E10593" s="25"/>
      <c r="F10593" s="165"/>
      <c r="G10593" s="165"/>
      <c r="H10593" s="166"/>
    </row>
    <row r="10594" spans="1:8" x14ac:dyDescent="0.3">
      <c r="A10594" s="27"/>
      <c r="B10594" s="28"/>
      <c r="C10594" s="24"/>
      <c r="D10594" s="25"/>
      <c r="E10594" s="25"/>
      <c r="F10594" s="165"/>
      <c r="G10594" s="165"/>
      <c r="H10594" s="166"/>
    </row>
    <row r="10595" spans="1:8" x14ac:dyDescent="0.3">
      <c r="A10595" s="27"/>
      <c r="B10595" s="28"/>
      <c r="C10595" s="24"/>
      <c r="D10595" s="25"/>
      <c r="E10595" s="25"/>
      <c r="F10595" s="28"/>
      <c r="G10595" s="28"/>
      <c r="H10595" s="32"/>
    </row>
    <row r="10596" spans="1:8" x14ac:dyDescent="0.3">
      <c r="A10596" s="27"/>
      <c r="B10596" s="28"/>
      <c r="C10596" s="24"/>
      <c r="D10596" s="25"/>
      <c r="E10596" s="25"/>
      <c r="F10596" s="28"/>
      <c r="G10596" s="28"/>
      <c r="H10596" s="32"/>
    </row>
    <row r="10597" spans="1:8" x14ac:dyDescent="0.3">
      <c r="A10597" s="27"/>
      <c r="B10597" s="28"/>
      <c r="C10597" s="24"/>
      <c r="D10597" s="25"/>
      <c r="E10597" s="25"/>
      <c r="F10597" s="28"/>
      <c r="G10597" s="28"/>
      <c r="H10597" s="32"/>
    </row>
    <row r="10598" spans="1:8" x14ac:dyDescent="0.3">
      <c r="A10598" s="27"/>
      <c r="B10598" s="28"/>
      <c r="C10598" s="24"/>
      <c r="D10598" s="25"/>
      <c r="E10598" s="25"/>
      <c r="F10598" s="28"/>
      <c r="G10598" s="28"/>
      <c r="H10598" s="32"/>
    </row>
    <row r="10599" spans="1:8" x14ac:dyDescent="0.3">
      <c r="A10599" s="27"/>
      <c r="B10599" s="28"/>
      <c r="C10599" s="24"/>
      <c r="D10599" s="25"/>
      <c r="E10599" s="25"/>
      <c r="F10599" s="28"/>
      <c r="G10599" s="28"/>
      <c r="H10599" s="32"/>
    </row>
    <row r="10600" spans="1:8" x14ac:dyDescent="0.3">
      <c r="A10600" s="27"/>
      <c r="B10600" s="28"/>
      <c r="C10600" s="24"/>
      <c r="D10600" s="25"/>
      <c r="E10600" s="25"/>
      <c r="F10600" s="28"/>
      <c r="G10600" s="28"/>
      <c r="H10600" s="32"/>
    </row>
    <row r="10601" spans="1:8" x14ac:dyDescent="0.3">
      <c r="A10601" s="27"/>
      <c r="B10601" s="28"/>
      <c r="C10601" s="24"/>
      <c r="D10601" s="25"/>
      <c r="E10601" s="25"/>
      <c r="F10601" s="28"/>
      <c r="G10601" s="28"/>
      <c r="H10601" s="32"/>
    </row>
    <row r="10602" spans="1:8" x14ac:dyDescent="0.3">
      <c r="A10602" s="27"/>
      <c r="B10602" s="28"/>
      <c r="C10602" s="24"/>
      <c r="D10602" s="25"/>
      <c r="E10602" s="25"/>
      <c r="F10602" s="28"/>
      <c r="G10602" s="28"/>
      <c r="H10602" s="32"/>
    </row>
    <row r="10603" spans="1:8" x14ac:dyDescent="0.3">
      <c r="A10603" s="27"/>
      <c r="B10603" s="28"/>
      <c r="C10603" s="24"/>
      <c r="D10603" s="25"/>
      <c r="E10603" s="25"/>
      <c r="F10603" s="28"/>
      <c r="G10603" s="28"/>
      <c r="H10603" s="32"/>
    </row>
    <row r="10604" spans="1:8" x14ac:dyDescent="0.3">
      <c r="A10604" s="27"/>
      <c r="B10604" s="28"/>
      <c r="C10604" s="24"/>
      <c r="D10604" s="25"/>
      <c r="E10604" s="25"/>
      <c r="F10604" s="28"/>
      <c r="G10604" s="28"/>
      <c r="H10604" s="32"/>
    </row>
    <row r="10605" spans="1:8" x14ac:dyDescent="0.3">
      <c r="A10605" s="27"/>
      <c r="B10605" s="28"/>
      <c r="C10605" s="24"/>
      <c r="D10605" s="25"/>
      <c r="E10605" s="25"/>
      <c r="F10605" s="28"/>
      <c r="G10605" s="28"/>
      <c r="H10605" s="32"/>
    </row>
    <row r="10606" spans="1:8" ht="15.6" x14ac:dyDescent="0.3">
      <c r="A10606" s="448" t="s">
        <v>45</v>
      </c>
      <c r="B10606" s="449"/>
      <c r="C10606" s="449"/>
      <c r="D10606" s="25"/>
      <c r="E10606" s="25"/>
      <c r="F10606" s="447" t="s">
        <v>46</v>
      </c>
      <c r="G10606" s="447"/>
      <c r="H10606" s="66">
        <f>(C10583*E10583)+(C10584*E10584)+(C10585*E10585)</f>
        <v>21000.05</v>
      </c>
    </row>
    <row r="10607" spans="1:8" ht="15.6" x14ac:dyDescent="0.3">
      <c r="A10607" s="497" t="s">
        <v>1775</v>
      </c>
      <c r="B10607" s="498"/>
      <c r="C10607" s="498"/>
      <c r="D10607" s="498"/>
      <c r="E10607" s="498"/>
      <c r="F10607" s="447" t="s">
        <v>47</v>
      </c>
      <c r="G10607" s="447"/>
      <c r="H10607" s="66">
        <f>H10606*9%</f>
        <v>1890.0044999999998</v>
      </c>
    </row>
    <row r="10608" spans="1:8" ht="15.6" x14ac:dyDescent="0.3">
      <c r="A10608" s="27"/>
      <c r="B10608" s="28"/>
      <c r="C10608" s="24"/>
      <c r="D10608" s="25"/>
      <c r="E10608" s="25"/>
      <c r="F10608" s="447" t="s">
        <v>48</v>
      </c>
      <c r="G10608" s="447"/>
      <c r="H10608" s="66">
        <f>H10606*9%</f>
        <v>1890.0044999999998</v>
      </c>
    </row>
    <row r="10609" spans="1:8" ht="15.6" x14ac:dyDescent="0.3">
      <c r="A10609" s="448" t="s">
        <v>49</v>
      </c>
      <c r="B10609" s="449"/>
      <c r="C10609" s="449"/>
      <c r="D10609" s="449"/>
      <c r="E10609" s="25"/>
      <c r="F10609" s="447" t="s">
        <v>50</v>
      </c>
      <c r="G10609" s="447"/>
      <c r="H10609" s="66">
        <v>24780</v>
      </c>
    </row>
    <row r="10610" spans="1:8" ht="27" x14ac:dyDescent="0.3">
      <c r="A10610" s="68" t="s">
        <v>22</v>
      </c>
      <c r="B10610" s="69" t="s">
        <v>51</v>
      </c>
      <c r="C10610" s="70" t="s">
        <v>24</v>
      </c>
      <c r="D10610" s="31" t="s">
        <v>25</v>
      </c>
      <c r="E10610" s="450" t="s">
        <v>52</v>
      </c>
      <c r="F10610" s="450"/>
      <c r="G10610" s="28"/>
      <c r="H10610" s="32"/>
    </row>
    <row r="10611" spans="1:8" x14ac:dyDescent="0.3">
      <c r="A10611" s="72">
        <v>0.18</v>
      </c>
      <c r="B10611" s="73">
        <f>H10606</f>
        <v>21000.05</v>
      </c>
      <c r="C10611" s="74">
        <f>H10607</f>
        <v>1890.0044999999998</v>
      </c>
      <c r="D10611" s="74">
        <f>H10608</f>
        <v>1890.0044999999998</v>
      </c>
      <c r="E10611" s="507">
        <f>C10611+D10611</f>
        <v>3780.0089999999996</v>
      </c>
      <c r="F10611" s="507"/>
      <c r="G10611" s="74"/>
      <c r="H10611" s="75"/>
    </row>
    <row r="10612" spans="1:8" x14ac:dyDescent="0.3">
      <c r="A10612" s="452" t="s">
        <v>1776</v>
      </c>
      <c r="B10612" s="453"/>
      <c r="C10612" s="453"/>
      <c r="D10612" s="453"/>
      <c r="E10612" s="453"/>
      <c r="F10612" s="453"/>
      <c r="G10612" s="453"/>
      <c r="H10612" s="454"/>
    </row>
    <row r="10613" spans="1:8" ht="15.6" x14ac:dyDescent="0.3">
      <c r="A10613" s="455" t="s">
        <v>53</v>
      </c>
      <c r="B10613" s="456"/>
      <c r="C10613" s="456"/>
      <c r="D10613" s="457"/>
      <c r="E10613" s="458" t="s">
        <v>54</v>
      </c>
      <c r="F10613" s="459"/>
      <c r="G10613" s="459"/>
      <c r="H10613" s="460"/>
    </row>
    <row r="10614" spans="1:8" x14ac:dyDescent="0.3">
      <c r="A10614" s="461" t="s">
        <v>55</v>
      </c>
      <c r="B10614" s="462"/>
      <c r="C10614" s="462"/>
      <c r="D10614" s="463"/>
      <c r="E10614" s="39"/>
      <c r="F10614" s="28"/>
      <c r="G10614" s="28"/>
      <c r="H10614" s="32"/>
    </row>
    <row r="10615" spans="1:8" x14ac:dyDescent="0.3">
      <c r="A10615" s="461" t="s">
        <v>56</v>
      </c>
      <c r="B10615" s="462"/>
      <c r="C10615" s="462"/>
      <c r="D10615" s="463"/>
      <c r="E10615" s="39"/>
      <c r="F10615" s="28"/>
      <c r="G10615" s="28"/>
      <c r="H10615" s="32"/>
    </row>
    <row r="10616" spans="1:8" x14ac:dyDescent="0.3">
      <c r="A10616" s="461" t="s">
        <v>57</v>
      </c>
      <c r="B10616" s="462"/>
      <c r="C10616" s="462"/>
      <c r="D10616" s="463"/>
      <c r="E10616" s="167"/>
      <c r="H10616" s="168"/>
    </row>
    <row r="10617" spans="1:8" ht="15.6" x14ac:dyDescent="0.3">
      <c r="A10617" s="464" t="s">
        <v>58</v>
      </c>
      <c r="B10617" s="465"/>
      <c r="C10617" s="465"/>
      <c r="D10617" s="510"/>
      <c r="E10617" s="466" t="s">
        <v>59</v>
      </c>
      <c r="F10617" s="467"/>
      <c r="G10617" s="467"/>
      <c r="H10617" s="468"/>
    </row>
    <row r="10621" spans="1:8" ht="44.4" x14ac:dyDescent="0.7">
      <c r="A10621" s="469" t="s">
        <v>0</v>
      </c>
      <c r="B10621" s="470"/>
      <c r="C10621" s="470"/>
      <c r="D10621" s="470"/>
      <c r="E10621" s="471" t="s">
        <v>1</v>
      </c>
      <c r="F10621" s="472"/>
      <c r="G10621" s="472"/>
      <c r="H10621" s="473"/>
    </row>
    <row r="10622" spans="1:8" ht="20.399999999999999" x14ac:dyDescent="0.35">
      <c r="A10622" s="1"/>
      <c r="B10622" s="476" t="s">
        <v>2</v>
      </c>
      <c r="C10622" s="476"/>
      <c r="D10622" s="476"/>
      <c r="E10622" s="474"/>
      <c r="F10622" s="474"/>
      <c r="G10622" s="474"/>
      <c r="H10622" s="475"/>
    </row>
    <row r="10623" spans="1:8" x14ac:dyDescent="0.3">
      <c r="A10623" s="477" t="s">
        <v>3</v>
      </c>
      <c r="B10623" s="478"/>
      <c r="C10623" s="479" t="s">
        <v>4</v>
      </c>
      <c r="D10623" s="479"/>
      <c r="E10623" s="480" t="s">
        <v>5</v>
      </c>
      <c r="F10623" s="480"/>
      <c r="G10623" s="480"/>
      <c r="H10623" s="480"/>
    </row>
    <row r="10624" spans="1:8" ht="15.6" x14ac:dyDescent="0.3">
      <c r="A10624" s="4" t="s">
        <v>6</v>
      </c>
      <c r="B10624" s="5"/>
      <c r="C10624" s="481" t="s">
        <v>7</v>
      </c>
      <c r="D10624" s="481"/>
      <c r="E10624" s="482">
        <v>230</v>
      </c>
      <c r="F10624" s="482"/>
      <c r="G10624" s="7" t="s">
        <v>8</v>
      </c>
      <c r="H10624" s="401" t="s">
        <v>1778</v>
      </c>
    </row>
    <row r="10625" spans="1:9" ht="15.6" x14ac:dyDescent="0.3">
      <c r="A10625" s="551" t="s">
        <v>458</v>
      </c>
      <c r="B10625" s="552"/>
      <c r="C10625" s="481" t="s">
        <v>10</v>
      </c>
      <c r="D10625" s="481"/>
      <c r="E10625" s="482">
        <v>30</v>
      </c>
      <c r="F10625" s="482"/>
      <c r="G10625" s="7" t="s">
        <v>8</v>
      </c>
      <c r="H10625" s="401" t="s">
        <v>1777</v>
      </c>
    </row>
    <row r="10626" spans="1:9" ht="25.5" customHeight="1" x14ac:dyDescent="0.3">
      <c r="A10626" s="560" t="s">
        <v>459</v>
      </c>
      <c r="B10626" s="561"/>
      <c r="C10626" s="483" t="s">
        <v>12</v>
      </c>
      <c r="D10626" s="484"/>
      <c r="E10626" s="562" t="s">
        <v>1632</v>
      </c>
      <c r="F10626" s="563"/>
      <c r="G10626" s="400" t="s">
        <v>8</v>
      </c>
      <c r="H10626" s="401">
        <v>46123</v>
      </c>
    </row>
    <row r="10627" spans="1:9" ht="15.6" x14ac:dyDescent="0.3">
      <c r="A10627" s="253" t="s">
        <v>460</v>
      </c>
      <c r="B10627" s="254"/>
      <c r="C10627" s="481" t="s">
        <v>15</v>
      </c>
      <c r="D10627" s="481"/>
      <c r="E10627" s="489" t="s">
        <v>461</v>
      </c>
      <c r="F10627" s="490"/>
      <c r="G10627" s="490"/>
      <c r="H10627" s="491"/>
    </row>
    <row r="10628" spans="1:9" ht="15.6" x14ac:dyDescent="0.3">
      <c r="A10628" s="255" t="s">
        <v>1779</v>
      </c>
      <c r="B10628" s="256"/>
      <c r="C10628" s="489"/>
      <c r="D10628" s="490"/>
      <c r="E10628" s="490"/>
      <c r="F10628" s="490"/>
      <c r="G10628" s="490"/>
      <c r="H10628" s="491"/>
    </row>
    <row r="10629" spans="1:9" ht="15" x14ac:dyDescent="0.3">
      <c r="A10629" s="492" t="s">
        <v>17</v>
      </c>
      <c r="B10629" s="494" t="s">
        <v>18</v>
      </c>
      <c r="C10629" s="494" t="s">
        <v>19</v>
      </c>
      <c r="D10629" s="495" t="s">
        <v>20</v>
      </c>
      <c r="E10629" s="494" t="s">
        <v>21</v>
      </c>
      <c r="F10629" s="494" t="s">
        <v>22</v>
      </c>
      <c r="G10629" s="494"/>
      <c r="H10629" s="492" t="s">
        <v>23</v>
      </c>
    </row>
    <row r="10630" spans="1:9" ht="27.6" x14ac:dyDescent="0.3">
      <c r="A10630" s="492"/>
      <c r="B10630" s="494"/>
      <c r="C10630" s="494"/>
      <c r="D10630" s="505"/>
      <c r="E10630" s="494"/>
      <c r="F10630" s="53" t="s">
        <v>24</v>
      </c>
      <c r="G10630" s="53" t="s">
        <v>25</v>
      </c>
      <c r="H10630" s="492"/>
    </row>
    <row r="10631" spans="1:9" x14ac:dyDescent="0.3">
      <c r="A10631" s="55">
        <v>1</v>
      </c>
      <c r="B10631" s="84" t="s">
        <v>1604</v>
      </c>
      <c r="C10631" s="55">
        <v>4</v>
      </c>
      <c r="D10631" s="297">
        <v>85381010</v>
      </c>
      <c r="E10631" s="55">
        <v>24680</v>
      </c>
      <c r="F10631" s="55">
        <f>E10631*C10631*9%</f>
        <v>8884.7999999999993</v>
      </c>
      <c r="G10631" s="55">
        <f>F10631</f>
        <v>8884.7999999999993</v>
      </c>
      <c r="H10631" s="55">
        <f>G10631+F10631+E10631*C10631</f>
        <v>116489.60000000001</v>
      </c>
      <c r="I10631" s="362">
        <f t="shared" ref="I10631" si="306">E10631*C10631</f>
        <v>98720</v>
      </c>
    </row>
    <row r="10632" spans="1:9" x14ac:dyDescent="0.3">
      <c r="A10632" s="55">
        <v>2</v>
      </c>
      <c r="B10632" s="84" t="s">
        <v>1780</v>
      </c>
      <c r="C10632" s="55">
        <v>5</v>
      </c>
      <c r="D10632" s="297">
        <v>38249025</v>
      </c>
      <c r="E10632" s="55">
        <v>490</v>
      </c>
      <c r="F10632" s="55">
        <f>E10632*C10632*9%</f>
        <v>220.5</v>
      </c>
      <c r="G10632" s="55">
        <f>F10632</f>
        <v>220.5</v>
      </c>
      <c r="H10632" s="55">
        <f>G10632+F10632+E10632*C10632</f>
        <v>2891</v>
      </c>
      <c r="I10632" s="362">
        <f t="shared" ref="I10632" si="307">E10632*C10632</f>
        <v>2450</v>
      </c>
    </row>
    <row r="10633" spans="1:9" x14ac:dyDescent="0.3">
      <c r="A10633" s="55"/>
      <c r="B10633" s="84"/>
      <c r="C10633" s="55"/>
      <c r="D10633" s="86"/>
      <c r="E10633" s="55"/>
      <c r="F10633" s="55"/>
      <c r="G10633" s="55"/>
      <c r="H10633" s="55"/>
    </row>
    <row r="10634" spans="1:9" x14ac:dyDescent="0.3">
      <c r="A10634" s="55"/>
      <c r="B10634" s="84"/>
      <c r="C10634" s="55"/>
      <c r="D10634" s="86"/>
      <c r="E10634" s="55"/>
      <c r="F10634" s="55"/>
      <c r="G10634" s="55"/>
      <c r="H10634" s="55"/>
    </row>
    <row r="10635" spans="1:9" x14ac:dyDescent="0.3">
      <c r="A10635" s="55"/>
      <c r="B10635" s="84"/>
      <c r="C10635" s="55"/>
      <c r="D10635" s="86"/>
      <c r="E10635" s="55"/>
      <c r="F10635" s="55"/>
      <c r="G10635" s="55"/>
      <c r="H10635" s="55"/>
    </row>
    <row r="10636" spans="1:9" x14ac:dyDescent="0.3">
      <c r="A10636" s="55"/>
      <c r="B10636" s="84"/>
      <c r="C10636" s="55"/>
      <c r="D10636" s="86"/>
      <c r="E10636" s="55"/>
      <c r="F10636" s="55"/>
      <c r="G10636" s="55"/>
      <c r="H10636" s="55"/>
    </row>
    <row r="10637" spans="1:9" x14ac:dyDescent="0.3">
      <c r="A10637" s="55"/>
      <c r="B10637" s="84"/>
      <c r="C10637" s="55"/>
      <c r="D10637" s="86"/>
      <c r="E10637" s="55"/>
      <c r="F10637" s="55"/>
      <c r="G10637" s="55"/>
      <c r="H10637" s="55"/>
    </row>
    <row r="10638" spans="1:9" x14ac:dyDescent="0.3">
      <c r="A10638" s="55"/>
      <c r="B10638" s="84"/>
      <c r="C10638" s="55"/>
      <c r="D10638" s="86"/>
      <c r="E10638" s="55"/>
      <c r="F10638" s="55"/>
      <c r="G10638" s="55"/>
      <c r="H10638" s="55"/>
    </row>
    <row r="10639" spans="1:9" x14ac:dyDescent="0.3">
      <c r="A10639" s="55"/>
      <c r="B10639" s="84"/>
      <c r="C10639" s="55"/>
      <c r="D10639" s="86"/>
      <c r="E10639" s="55"/>
      <c r="F10639" s="55"/>
      <c r="G10639" s="55"/>
      <c r="H10639" s="55"/>
    </row>
    <row r="10640" spans="1:9" x14ac:dyDescent="0.3">
      <c r="A10640" s="55"/>
      <c r="B10640" s="399"/>
      <c r="C10640" s="55"/>
      <c r="D10640" s="86"/>
      <c r="E10640" s="55"/>
      <c r="F10640" s="55"/>
      <c r="G10640" s="55"/>
      <c r="H10640" s="55"/>
    </row>
    <row r="10641" spans="1:8" x14ac:dyDescent="0.3">
      <c r="A10641" s="163"/>
      <c r="B10641" s="163"/>
      <c r="C10641" s="163"/>
      <c r="D10641" s="163"/>
      <c r="E10641" s="163"/>
      <c r="F10641" s="163"/>
      <c r="G10641" s="163"/>
      <c r="H10641" s="163"/>
    </row>
    <row r="10642" spans="1:8" x14ac:dyDescent="0.3">
      <c r="A10642" s="163"/>
      <c r="B10642" s="163"/>
      <c r="C10642" s="163"/>
      <c r="D10642" s="163"/>
      <c r="E10642" s="163"/>
      <c r="F10642" s="163"/>
      <c r="G10642" s="163"/>
      <c r="H10642" s="163"/>
    </row>
    <row r="10643" spans="1:8" x14ac:dyDescent="0.3">
      <c r="A10643" s="163"/>
      <c r="B10643" s="163"/>
      <c r="C10643" s="163"/>
      <c r="D10643" s="163"/>
      <c r="E10643" s="163"/>
      <c r="F10643" s="163"/>
      <c r="G10643" s="163"/>
      <c r="H10643" s="163"/>
    </row>
    <row r="10644" spans="1:8" x14ac:dyDescent="0.3">
      <c r="A10644" s="163"/>
      <c r="B10644" s="163"/>
      <c r="C10644" s="163"/>
      <c r="D10644" s="163"/>
      <c r="E10644" s="163"/>
      <c r="F10644" s="163"/>
      <c r="G10644" s="163"/>
      <c r="H10644" s="163"/>
    </row>
    <row r="10645" spans="1:8" x14ac:dyDescent="0.3">
      <c r="A10645" s="163"/>
      <c r="B10645" s="163"/>
      <c r="C10645" s="163"/>
      <c r="D10645" s="163"/>
      <c r="E10645" s="163"/>
      <c r="F10645" s="163"/>
      <c r="G10645" s="163"/>
      <c r="H10645" s="163"/>
    </row>
    <row r="10646" spans="1:8" x14ac:dyDescent="0.3">
      <c r="A10646" s="258"/>
      <c r="B10646" s="257"/>
      <c r="C10646" s="258"/>
      <c r="D10646" s="86"/>
      <c r="E10646" s="55"/>
      <c r="F10646" s="259"/>
      <c r="G10646" s="259"/>
      <c r="H10646" s="258"/>
    </row>
    <row r="10647" spans="1:8" x14ac:dyDescent="0.3">
      <c r="A10647" s="55"/>
      <c r="B10647" s="84"/>
      <c r="C10647" s="55"/>
      <c r="D10647" s="55"/>
      <c r="E10647" s="55"/>
      <c r="F10647" s="55"/>
      <c r="G10647" s="55"/>
      <c r="H10647" s="55"/>
    </row>
    <row r="10648" spans="1:8" x14ac:dyDescent="0.3">
      <c r="A10648" s="163"/>
      <c r="B10648" s="163"/>
      <c r="C10648" s="163"/>
      <c r="D10648" s="163"/>
      <c r="E10648" s="163"/>
      <c r="F10648" s="163"/>
      <c r="G10648" s="163"/>
      <c r="H10648" s="163"/>
    </row>
    <row r="10649" spans="1:8" x14ac:dyDescent="0.3">
      <c r="A10649" s="55"/>
      <c r="B10649" s="257"/>
      <c r="C10649" s="55"/>
      <c r="D10649" s="55"/>
      <c r="E10649" s="55"/>
      <c r="F10649" s="55"/>
      <c r="G10649" s="55"/>
      <c r="H10649" s="55"/>
    </row>
    <row r="10650" spans="1:8" x14ac:dyDescent="0.3">
      <c r="A10650" s="57"/>
      <c r="B10650" s="84"/>
      <c r="C10650" s="85"/>
      <c r="D10650" s="86"/>
      <c r="E10650" s="87"/>
      <c r="F10650" s="47"/>
      <c r="G10650" s="47"/>
      <c r="H10650" s="47"/>
    </row>
    <row r="10651" spans="1:8" x14ac:dyDescent="0.3">
      <c r="A10651" s="57"/>
      <c r="B10651" s="84"/>
      <c r="C10651" s="85"/>
      <c r="D10651" s="86"/>
      <c r="E10651" s="47"/>
      <c r="F10651" s="47"/>
      <c r="G10651" s="47"/>
      <c r="H10651" s="47"/>
    </row>
    <row r="10652" spans="1:8" x14ac:dyDescent="0.3">
      <c r="A10652" s="55"/>
      <c r="B10652" s="84"/>
      <c r="C10652" s="55"/>
      <c r="D10652" s="86"/>
      <c r="E10652" s="47"/>
      <c r="F10652" s="47"/>
      <c r="G10652" s="47"/>
      <c r="H10652" s="47"/>
    </row>
    <row r="10653" spans="1:8" x14ac:dyDescent="0.3">
      <c r="A10653" s="27"/>
      <c r="B10653" s="28"/>
      <c r="C10653" s="24"/>
      <c r="D10653" s="25"/>
      <c r="E10653" s="25"/>
      <c r="F10653" s="28"/>
      <c r="G10653" s="28"/>
      <c r="H10653" s="32"/>
    </row>
    <row r="10654" spans="1:8" ht="15.6" x14ac:dyDescent="0.3">
      <c r="A10654" s="448" t="s">
        <v>45</v>
      </c>
      <c r="B10654" s="449"/>
      <c r="C10654" s="24"/>
      <c r="D10654" s="25"/>
      <c r="E10654" s="25"/>
      <c r="F10654" s="447" t="s">
        <v>46</v>
      </c>
      <c r="G10654" s="447"/>
      <c r="H10654" s="66">
        <v>101170</v>
      </c>
    </row>
    <row r="10655" spans="1:8" ht="15.6" x14ac:dyDescent="0.3">
      <c r="A10655" s="497" t="s">
        <v>1781</v>
      </c>
      <c r="B10655" s="498"/>
      <c r="C10655" s="498"/>
      <c r="D10655" s="498"/>
      <c r="E10655" s="498"/>
      <c r="F10655" s="447" t="s">
        <v>47</v>
      </c>
      <c r="G10655" s="447"/>
      <c r="H10655" s="66">
        <f>H10654*9%</f>
        <v>9105.2999999999993</v>
      </c>
    </row>
    <row r="10656" spans="1:8" ht="15.6" x14ac:dyDescent="0.3">
      <c r="A10656" s="27"/>
      <c r="B10656" s="28"/>
      <c r="C10656" s="24"/>
      <c r="D10656" s="25"/>
      <c r="E10656" s="25"/>
      <c r="F10656" s="447" t="s">
        <v>48</v>
      </c>
      <c r="G10656" s="447"/>
      <c r="H10656" s="66">
        <f>H10655</f>
        <v>9105.2999999999993</v>
      </c>
    </row>
    <row r="10657" spans="1:8" ht="15.6" x14ac:dyDescent="0.3">
      <c r="A10657" s="64" t="s">
        <v>49</v>
      </c>
      <c r="B10657" s="65"/>
      <c r="C10657" s="24"/>
      <c r="D10657" s="25"/>
      <c r="E10657" s="25"/>
      <c r="F10657" s="447" t="s">
        <v>50</v>
      </c>
      <c r="G10657" s="447"/>
      <c r="H10657" s="66">
        <v>119381</v>
      </c>
    </row>
    <row r="10658" spans="1:8" ht="27" x14ac:dyDescent="0.3">
      <c r="A10658" s="68" t="s">
        <v>22</v>
      </c>
      <c r="B10658" s="30" t="s">
        <v>51</v>
      </c>
      <c r="C10658" s="70" t="s">
        <v>24</v>
      </c>
      <c r="D10658" s="31" t="s">
        <v>25</v>
      </c>
      <c r="E10658" s="450" t="s">
        <v>52</v>
      </c>
      <c r="F10658" s="450"/>
      <c r="G10658" s="28"/>
      <c r="H10658" s="32"/>
    </row>
    <row r="10659" spans="1:8" x14ac:dyDescent="0.3">
      <c r="A10659" s="72">
        <v>0.18</v>
      </c>
      <c r="B10659" s="73">
        <f>H10654</f>
        <v>101170</v>
      </c>
      <c r="C10659" s="91">
        <f>H10655</f>
        <v>9105.2999999999993</v>
      </c>
      <c r="D10659" s="91">
        <f>H10655</f>
        <v>9105.2999999999993</v>
      </c>
      <c r="E10659" s="506">
        <f>C10659+D10659</f>
        <v>18210.599999999999</v>
      </c>
      <c r="F10659" s="507"/>
      <c r="G10659" s="74"/>
      <c r="H10659" s="75"/>
    </row>
    <row r="10660" spans="1:8" x14ac:dyDescent="0.3">
      <c r="A10660" s="508" t="s">
        <v>1782</v>
      </c>
      <c r="B10660" s="509"/>
      <c r="C10660" s="509"/>
      <c r="D10660" s="509"/>
      <c r="E10660" s="453"/>
      <c r="F10660" s="453"/>
      <c r="G10660" s="453"/>
      <c r="H10660" s="454"/>
    </row>
    <row r="10661" spans="1:8" ht="15.6" x14ac:dyDescent="0.3">
      <c r="A10661" s="455" t="s">
        <v>53</v>
      </c>
      <c r="B10661" s="456"/>
      <c r="C10661" s="456"/>
      <c r="D10661" s="457"/>
      <c r="E10661" s="458" t="s">
        <v>54</v>
      </c>
      <c r="F10661" s="459"/>
      <c r="G10661" s="459"/>
      <c r="H10661" s="460"/>
    </row>
    <row r="10662" spans="1:8" x14ac:dyDescent="0.3">
      <c r="A10662" s="461" t="s">
        <v>55</v>
      </c>
      <c r="B10662" s="462"/>
      <c r="C10662" s="462"/>
      <c r="D10662" s="463"/>
      <c r="E10662" s="39"/>
      <c r="F10662" s="28"/>
      <c r="G10662" s="28"/>
      <c r="H10662" s="32"/>
    </row>
    <row r="10663" spans="1:8" x14ac:dyDescent="0.3">
      <c r="A10663" s="461" t="s">
        <v>56</v>
      </c>
      <c r="B10663" s="462"/>
      <c r="C10663" s="462"/>
      <c r="D10663" s="463"/>
      <c r="E10663" s="39"/>
      <c r="F10663" s="28"/>
      <c r="G10663" s="28"/>
      <c r="H10663" s="32"/>
    </row>
    <row r="10664" spans="1:8" x14ac:dyDescent="0.3">
      <c r="A10664" s="461" t="s">
        <v>57</v>
      </c>
      <c r="B10664" s="462"/>
      <c r="C10664" s="462"/>
      <c r="D10664" s="463"/>
      <c r="E10664" s="39"/>
      <c r="F10664" s="28"/>
      <c r="G10664" s="28"/>
      <c r="H10664" s="32"/>
    </row>
    <row r="10665" spans="1:8" ht="15.6" x14ac:dyDescent="0.3">
      <c r="A10665" s="464" t="s">
        <v>58</v>
      </c>
      <c r="B10665" s="465"/>
      <c r="C10665" s="465"/>
      <c r="D10665" s="465"/>
      <c r="E10665" s="466" t="s">
        <v>59</v>
      </c>
      <c r="F10665" s="467"/>
      <c r="G10665" s="467"/>
      <c r="H10665" s="468"/>
    </row>
    <row r="10668" spans="1:8" ht="44.4" x14ac:dyDescent="0.7">
      <c r="A10668" s="469" t="s">
        <v>0</v>
      </c>
      <c r="B10668" s="470"/>
      <c r="C10668" s="470"/>
      <c r="D10668" s="470"/>
      <c r="E10668" s="471" t="s">
        <v>1</v>
      </c>
      <c r="F10668" s="472"/>
      <c r="G10668" s="472"/>
      <c r="H10668" s="473"/>
    </row>
    <row r="10669" spans="1:8" ht="20.399999999999999" x14ac:dyDescent="0.35">
      <c r="A10669" s="1"/>
      <c r="B10669" s="476" t="s">
        <v>2</v>
      </c>
      <c r="C10669" s="476"/>
      <c r="D10669" s="476"/>
      <c r="E10669" s="474"/>
      <c r="F10669" s="474"/>
      <c r="G10669" s="474"/>
      <c r="H10669" s="475"/>
    </row>
    <row r="10670" spans="1:8" x14ac:dyDescent="0.3">
      <c r="A10670" s="477" t="s">
        <v>3</v>
      </c>
      <c r="B10670" s="478"/>
      <c r="C10670" s="479" t="s">
        <v>4</v>
      </c>
      <c r="D10670" s="479"/>
      <c r="E10670" s="480" t="s">
        <v>5</v>
      </c>
      <c r="F10670" s="480"/>
      <c r="G10670" s="480"/>
      <c r="H10670" s="480"/>
    </row>
    <row r="10671" spans="1:8" ht="15.6" x14ac:dyDescent="0.3">
      <c r="A10671" s="4" t="s">
        <v>6</v>
      </c>
      <c r="B10671" s="5"/>
      <c r="C10671" s="481" t="s">
        <v>7</v>
      </c>
      <c r="D10671" s="481"/>
      <c r="E10671" s="482">
        <v>231</v>
      </c>
      <c r="F10671" s="482"/>
      <c r="G10671" s="7" t="s">
        <v>8</v>
      </c>
      <c r="H10671" s="401" t="s">
        <v>1778</v>
      </c>
    </row>
    <row r="10672" spans="1:8" ht="15.6" x14ac:dyDescent="0.3">
      <c r="A10672" s="551" t="s">
        <v>458</v>
      </c>
      <c r="B10672" s="552"/>
      <c r="C10672" s="481" t="s">
        <v>10</v>
      </c>
      <c r="D10672" s="481"/>
      <c r="E10672" s="482">
        <v>28</v>
      </c>
      <c r="F10672" s="482"/>
      <c r="G10672" s="7" t="s">
        <v>8</v>
      </c>
      <c r="H10672" s="401" t="s">
        <v>1785</v>
      </c>
    </row>
    <row r="10673" spans="1:8" ht="27" customHeight="1" x14ac:dyDescent="0.3">
      <c r="A10673" s="560" t="s">
        <v>459</v>
      </c>
      <c r="B10673" s="561"/>
      <c r="C10673" s="483" t="s">
        <v>12</v>
      </c>
      <c r="D10673" s="484"/>
      <c r="E10673" s="562" t="s">
        <v>1783</v>
      </c>
      <c r="F10673" s="563"/>
      <c r="G10673" s="400" t="s">
        <v>8</v>
      </c>
      <c r="H10673" s="401" t="s">
        <v>1784</v>
      </c>
    </row>
    <row r="10674" spans="1:8" ht="15.6" x14ac:dyDescent="0.3">
      <c r="A10674" s="253" t="s">
        <v>460</v>
      </c>
      <c r="B10674" s="254"/>
      <c r="C10674" s="481" t="s">
        <v>15</v>
      </c>
      <c r="D10674" s="481"/>
      <c r="E10674" s="489" t="s">
        <v>461</v>
      </c>
      <c r="F10674" s="490"/>
      <c r="G10674" s="490"/>
      <c r="H10674" s="491"/>
    </row>
    <row r="10675" spans="1:8" ht="15.6" x14ac:dyDescent="0.3">
      <c r="A10675" s="255" t="s">
        <v>1786</v>
      </c>
      <c r="B10675" s="256"/>
      <c r="C10675" s="489"/>
      <c r="D10675" s="490"/>
      <c r="E10675" s="490"/>
      <c r="F10675" s="490"/>
      <c r="G10675" s="490"/>
      <c r="H10675" s="491"/>
    </row>
    <row r="10676" spans="1:8" ht="15" x14ac:dyDescent="0.3">
      <c r="A10676" s="492" t="s">
        <v>17</v>
      </c>
      <c r="B10676" s="494" t="s">
        <v>18</v>
      </c>
      <c r="C10676" s="494" t="s">
        <v>19</v>
      </c>
      <c r="D10676" s="495" t="s">
        <v>20</v>
      </c>
      <c r="E10676" s="494" t="s">
        <v>21</v>
      </c>
      <c r="F10676" s="494" t="s">
        <v>22</v>
      </c>
      <c r="G10676" s="494"/>
      <c r="H10676" s="492" t="s">
        <v>23</v>
      </c>
    </row>
    <row r="10677" spans="1:8" ht="27.6" x14ac:dyDescent="0.3">
      <c r="A10677" s="492"/>
      <c r="B10677" s="494"/>
      <c r="C10677" s="494"/>
      <c r="D10677" s="505"/>
      <c r="E10677" s="494"/>
      <c r="F10677" s="53" t="s">
        <v>24</v>
      </c>
      <c r="G10677" s="53" t="s">
        <v>25</v>
      </c>
      <c r="H10677" s="492"/>
    </row>
    <row r="10678" spans="1:8" x14ac:dyDescent="0.3">
      <c r="A10678" s="55">
        <v>1</v>
      </c>
      <c r="B10678" s="84" t="s">
        <v>1787</v>
      </c>
      <c r="C10678" s="55">
        <v>1</v>
      </c>
      <c r="D10678" s="297">
        <v>85389000</v>
      </c>
      <c r="E10678" s="55">
        <v>5150</v>
      </c>
      <c r="F10678" s="55">
        <f>E10678*C10678*9%</f>
        <v>463.5</v>
      </c>
      <c r="G10678" s="55">
        <f>F10678</f>
        <v>463.5</v>
      </c>
      <c r="H10678" s="55">
        <f>G10678+F10678+E10678*C10678</f>
        <v>6077</v>
      </c>
    </row>
    <row r="10679" spans="1:8" x14ac:dyDescent="0.3">
      <c r="A10679" s="55">
        <v>2</v>
      </c>
      <c r="B10679" s="84" t="s">
        <v>1788</v>
      </c>
      <c r="C10679" s="55">
        <v>1</v>
      </c>
      <c r="D10679" s="297">
        <v>85389000</v>
      </c>
      <c r="E10679" s="55">
        <v>2988</v>
      </c>
      <c r="F10679" s="55">
        <f>E10679*C10679*9%</f>
        <v>268.92</v>
      </c>
      <c r="G10679" s="55">
        <f>F10679</f>
        <v>268.92</v>
      </c>
      <c r="H10679" s="55">
        <f>G10679+F10679+E10679*C10679</f>
        <v>3525.84</v>
      </c>
    </row>
    <row r="10680" spans="1:8" x14ac:dyDescent="0.3">
      <c r="A10680" s="55"/>
      <c r="B10680" s="84"/>
      <c r="C10680" s="55"/>
      <c r="D10680" s="86"/>
      <c r="E10680" s="55"/>
      <c r="F10680" s="55"/>
      <c r="G10680" s="55"/>
      <c r="H10680" s="55"/>
    </row>
    <row r="10681" spans="1:8" x14ac:dyDescent="0.3">
      <c r="A10681" s="55"/>
      <c r="B10681" s="84"/>
      <c r="C10681" s="55"/>
      <c r="D10681" s="86"/>
      <c r="E10681" s="55"/>
      <c r="F10681" s="55"/>
      <c r="G10681" s="55"/>
      <c r="H10681" s="55"/>
    </row>
    <row r="10682" spans="1:8" x14ac:dyDescent="0.3">
      <c r="A10682" s="55"/>
      <c r="B10682" s="84"/>
      <c r="C10682" s="55"/>
      <c r="D10682" s="86"/>
      <c r="E10682" s="55"/>
      <c r="F10682" s="55"/>
      <c r="G10682" s="55"/>
      <c r="H10682" s="55"/>
    </row>
    <row r="10683" spans="1:8" x14ac:dyDescent="0.3">
      <c r="A10683" s="55"/>
      <c r="B10683" s="84"/>
      <c r="C10683" s="55"/>
      <c r="D10683" s="86"/>
      <c r="E10683" s="55"/>
      <c r="F10683" s="55"/>
      <c r="G10683" s="55"/>
      <c r="H10683" s="55"/>
    </row>
    <row r="10684" spans="1:8" x14ac:dyDescent="0.3">
      <c r="A10684" s="55"/>
      <c r="B10684" s="84"/>
      <c r="C10684" s="55"/>
      <c r="D10684" s="86"/>
      <c r="E10684" s="55"/>
      <c r="F10684" s="55"/>
      <c r="G10684" s="55"/>
      <c r="H10684" s="55"/>
    </row>
    <row r="10685" spans="1:8" x14ac:dyDescent="0.3">
      <c r="A10685" s="55"/>
      <c r="B10685" s="84"/>
      <c r="C10685" s="55"/>
      <c r="D10685" s="86"/>
      <c r="E10685" s="55"/>
      <c r="F10685" s="55"/>
      <c r="G10685" s="55"/>
      <c r="H10685" s="55"/>
    </row>
    <row r="10686" spans="1:8" x14ac:dyDescent="0.3">
      <c r="A10686" s="55"/>
      <c r="B10686" s="84"/>
      <c r="C10686" s="55"/>
      <c r="D10686" s="86"/>
      <c r="E10686" s="55"/>
      <c r="F10686" s="55"/>
      <c r="G10686" s="55"/>
      <c r="H10686" s="55"/>
    </row>
    <row r="10687" spans="1:8" x14ac:dyDescent="0.3">
      <c r="A10687" s="55"/>
      <c r="B10687" s="399"/>
      <c r="C10687" s="55"/>
      <c r="D10687" s="86"/>
      <c r="E10687" s="55"/>
      <c r="F10687" s="55"/>
      <c r="G10687" s="55"/>
      <c r="H10687" s="55"/>
    </row>
    <row r="10688" spans="1:8" x14ac:dyDescent="0.3">
      <c r="A10688" s="163"/>
      <c r="B10688" s="163"/>
      <c r="C10688" s="163"/>
      <c r="D10688" s="163"/>
      <c r="E10688" s="163"/>
      <c r="F10688" s="163"/>
      <c r="G10688" s="163"/>
      <c r="H10688" s="163"/>
    </row>
    <row r="10689" spans="1:8" x14ac:dyDescent="0.3">
      <c r="A10689" s="163"/>
      <c r="B10689" s="163"/>
      <c r="C10689" s="163"/>
      <c r="D10689" s="163"/>
      <c r="E10689" s="163"/>
      <c r="F10689" s="163"/>
      <c r="G10689" s="163"/>
      <c r="H10689" s="163"/>
    </row>
    <row r="10690" spans="1:8" x14ac:dyDescent="0.3">
      <c r="A10690" s="163"/>
      <c r="B10690" s="163"/>
      <c r="C10690" s="163"/>
      <c r="D10690" s="163"/>
      <c r="E10690" s="163"/>
      <c r="F10690" s="163"/>
      <c r="G10690" s="163"/>
      <c r="H10690" s="163"/>
    </row>
    <row r="10691" spans="1:8" x14ac:dyDescent="0.3">
      <c r="A10691" s="163"/>
      <c r="B10691" s="163"/>
      <c r="C10691" s="163"/>
      <c r="D10691" s="163"/>
      <c r="E10691" s="163"/>
      <c r="F10691" s="163"/>
      <c r="G10691" s="163"/>
      <c r="H10691" s="163"/>
    </row>
    <row r="10692" spans="1:8" x14ac:dyDescent="0.3">
      <c r="A10692" s="163"/>
      <c r="B10692" s="163"/>
      <c r="C10692" s="163"/>
      <c r="D10692" s="163"/>
      <c r="E10692" s="163"/>
      <c r="F10692" s="163"/>
      <c r="G10692" s="163"/>
      <c r="H10692" s="163"/>
    </row>
    <row r="10693" spans="1:8" x14ac:dyDescent="0.3">
      <c r="A10693" s="258"/>
      <c r="B10693" s="257"/>
      <c r="C10693" s="258"/>
      <c r="D10693" s="86"/>
      <c r="E10693" s="55"/>
      <c r="F10693" s="259"/>
      <c r="G10693" s="259"/>
      <c r="H10693" s="258"/>
    </row>
    <row r="10694" spans="1:8" x14ac:dyDescent="0.3">
      <c r="A10694" s="55"/>
      <c r="B10694" s="84"/>
      <c r="C10694" s="55"/>
      <c r="D10694" s="55"/>
      <c r="E10694" s="55"/>
      <c r="F10694" s="55"/>
      <c r="G10694" s="55"/>
      <c r="H10694" s="55"/>
    </row>
    <row r="10695" spans="1:8" x14ac:dyDescent="0.3">
      <c r="A10695" s="163"/>
      <c r="B10695" s="163"/>
      <c r="C10695" s="163"/>
      <c r="D10695" s="163"/>
      <c r="E10695" s="163"/>
      <c r="F10695" s="163"/>
      <c r="G10695" s="163"/>
      <c r="H10695" s="163"/>
    </row>
    <row r="10696" spans="1:8" x14ac:dyDescent="0.3">
      <c r="A10696" s="55"/>
      <c r="B10696" s="257"/>
      <c r="C10696" s="55"/>
      <c r="D10696" s="55"/>
      <c r="E10696" s="55"/>
      <c r="F10696" s="55"/>
      <c r="G10696" s="55"/>
      <c r="H10696" s="55"/>
    </row>
    <row r="10697" spans="1:8" x14ac:dyDescent="0.3">
      <c r="A10697" s="57"/>
      <c r="B10697" s="84"/>
      <c r="C10697" s="85"/>
      <c r="D10697" s="86"/>
      <c r="E10697" s="87"/>
      <c r="F10697" s="47"/>
      <c r="G10697" s="47"/>
      <c r="H10697" s="47"/>
    </row>
    <row r="10698" spans="1:8" x14ac:dyDescent="0.3">
      <c r="A10698" s="57"/>
      <c r="B10698" s="84"/>
      <c r="C10698" s="85"/>
      <c r="D10698" s="86"/>
      <c r="E10698" s="47"/>
      <c r="F10698" s="47"/>
      <c r="G10698" s="47"/>
      <c r="H10698" s="47"/>
    </row>
    <row r="10699" spans="1:8" x14ac:dyDescent="0.3">
      <c r="A10699" s="55"/>
      <c r="B10699" s="84"/>
      <c r="C10699" s="55"/>
      <c r="D10699" s="86"/>
      <c r="E10699" s="47"/>
      <c r="F10699" s="47"/>
      <c r="G10699" s="47"/>
      <c r="H10699" s="47"/>
    </row>
    <row r="10700" spans="1:8" x14ac:dyDescent="0.3">
      <c r="A10700" s="27"/>
      <c r="B10700" s="28"/>
      <c r="C10700" s="24"/>
      <c r="D10700" s="25"/>
      <c r="E10700" s="25"/>
      <c r="F10700" s="28"/>
      <c r="G10700" s="28"/>
      <c r="H10700" s="32"/>
    </row>
    <row r="10701" spans="1:8" ht="15.6" x14ac:dyDescent="0.3">
      <c r="A10701" s="448" t="s">
        <v>45</v>
      </c>
      <c r="B10701" s="449"/>
      <c r="C10701" s="24"/>
      <c r="D10701" s="25"/>
      <c r="E10701" s="25"/>
      <c r="F10701" s="447" t="s">
        <v>46</v>
      </c>
      <c r="G10701" s="447"/>
      <c r="H10701" s="66">
        <v>8138</v>
      </c>
    </row>
    <row r="10702" spans="1:8" ht="15.6" x14ac:dyDescent="0.3">
      <c r="A10702" s="497" t="s">
        <v>1789</v>
      </c>
      <c r="B10702" s="498"/>
      <c r="C10702" s="498"/>
      <c r="D10702" s="498"/>
      <c r="E10702" s="498"/>
      <c r="F10702" s="447" t="s">
        <v>47</v>
      </c>
      <c r="G10702" s="447"/>
      <c r="H10702" s="66">
        <f>H10701*9%</f>
        <v>732.42</v>
      </c>
    </row>
    <row r="10703" spans="1:8" ht="15.6" x14ac:dyDescent="0.3">
      <c r="A10703" s="27"/>
      <c r="B10703" s="28"/>
      <c r="C10703" s="24"/>
      <c r="D10703" s="25"/>
      <c r="E10703" s="25"/>
      <c r="F10703" s="447" t="s">
        <v>48</v>
      </c>
      <c r="G10703" s="447"/>
      <c r="H10703" s="66">
        <f>H10702</f>
        <v>732.42</v>
      </c>
    </row>
    <row r="10704" spans="1:8" ht="15.6" x14ac:dyDescent="0.3">
      <c r="A10704" s="64" t="s">
        <v>49</v>
      </c>
      <c r="B10704" s="65"/>
      <c r="C10704" s="24"/>
      <c r="D10704" s="25"/>
      <c r="E10704" s="25"/>
      <c r="F10704" s="447" t="s">
        <v>50</v>
      </c>
      <c r="G10704" s="447"/>
      <c r="H10704" s="66">
        <v>9603</v>
      </c>
    </row>
    <row r="10705" spans="1:8" ht="27" x14ac:dyDescent="0.3">
      <c r="A10705" s="68" t="s">
        <v>22</v>
      </c>
      <c r="B10705" s="30" t="s">
        <v>51</v>
      </c>
      <c r="C10705" s="70" t="s">
        <v>24</v>
      </c>
      <c r="D10705" s="31" t="s">
        <v>25</v>
      </c>
      <c r="E10705" s="450" t="s">
        <v>52</v>
      </c>
      <c r="F10705" s="450"/>
      <c r="G10705" s="28"/>
      <c r="H10705" s="32"/>
    </row>
    <row r="10706" spans="1:8" x14ac:dyDescent="0.3">
      <c r="A10706" s="72">
        <v>0.18</v>
      </c>
      <c r="B10706" s="73">
        <f>H10701</f>
        <v>8138</v>
      </c>
      <c r="C10706" s="91">
        <f>H10702</f>
        <v>732.42</v>
      </c>
      <c r="D10706" s="91">
        <f>H10702</f>
        <v>732.42</v>
      </c>
      <c r="E10706" s="506">
        <f>C10706+D10706</f>
        <v>1464.84</v>
      </c>
      <c r="F10706" s="507"/>
      <c r="G10706" s="74"/>
      <c r="H10706" s="75"/>
    </row>
    <row r="10707" spans="1:8" x14ac:dyDescent="0.3">
      <c r="A10707" s="508" t="s">
        <v>1790</v>
      </c>
      <c r="B10707" s="509"/>
      <c r="C10707" s="509"/>
      <c r="D10707" s="509"/>
      <c r="E10707" s="453"/>
      <c r="F10707" s="453"/>
      <c r="G10707" s="453"/>
      <c r="H10707" s="454"/>
    </row>
    <row r="10708" spans="1:8" ht="15.6" x14ac:dyDescent="0.3">
      <c r="A10708" s="455" t="s">
        <v>53</v>
      </c>
      <c r="B10708" s="456"/>
      <c r="C10708" s="456"/>
      <c r="D10708" s="457"/>
      <c r="E10708" s="458" t="s">
        <v>54</v>
      </c>
      <c r="F10708" s="459"/>
      <c r="G10708" s="459"/>
      <c r="H10708" s="460"/>
    </row>
    <row r="10709" spans="1:8" x14ac:dyDescent="0.3">
      <c r="A10709" s="461" t="s">
        <v>55</v>
      </c>
      <c r="B10709" s="462"/>
      <c r="C10709" s="462"/>
      <c r="D10709" s="463"/>
      <c r="E10709" s="39"/>
      <c r="F10709" s="28"/>
      <c r="G10709" s="28"/>
      <c r="H10709" s="32"/>
    </row>
    <row r="10710" spans="1:8" x14ac:dyDescent="0.3">
      <c r="A10710" s="461" t="s">
        <v>56</v>
      </c>
      <c r="B10710" s="462"/>
      <c r="C10710" s="462"/>
      <c r="D10710" s="463"/>
      <c r="E10710" s="39"/>
      <c r="F10710" s="28"/>
      <c r="G10710" s="28"/>
      <c r="H10710" s="32"/>
    </row>
    <row r="10711" spans="1:8" x14ac:dyDescent="0.3">
      <c r="A10711" s="461" t="s">
        <v>57</v>
      </c>
      <c r="B10711" s="462"/>
      <c r="C10711" s="462"/>
      <c r="D10711" s="463"/>
      <c r="E10711" s="39"/>
      <c r="F10711" s="28"/>
      <c r="G10711" s="28"/>
      <c r="H10711" s="32"/>
    </row>
    <row r="10712" spans="1:8" ht="15.6" x14ac:dyDescent="0.3">
      <c r="A10712" s="464" t="s">
        <v>58</v>
      </c>
      <c r="B10712" s="465"/>
      <c r="C10712" s="465"/>
      <c r="D10712" s="465"/>
      <c r="E10712" s="466" t="s">
        <v>59</v>
      </c>
      <c r="F10712" s="467"/>
      <c r="G10712" s="467"/>
      <c r="H10712" s="468"/>
    </row>
    <row r="10716" spans="1:8" ht="44.4" x14ac:dyDescent="0.7">
      <c r="A10716" s="469" t="s">
        <v>0</v>
      </c>
      <c r="B10716" s="470"/>
      <c r="C10716" s="470"/>
      <c r="D10716" s="470"/>
      <c r="E10716" s="471" t="s">
        <v>1</v>
      </c>
      <c r="F10716" s="472"/>
      <c r="G10716" s="472"/>
      <c r="H10716" s="473"/>
    </row>
    <row r="10717" spans="1:8" ht="20.399999999999999" x14ac:dyDescent="0.35">
      <c r="A10717" s="1"/>
      <c r="B10717" s="476" t="s">
        <v>2</v>
      </c>
      <c r="C10717" s="476"/>
      <c r="D10717" s="476"/>
      <c r="E10717" s="474"/>
      <c r="F10717" s="474"/>
      <c r="G10717" s="474"/>
      <c r="H10717" s="475"/>
    </row>
    <row r="10718" spans="1:8" x14ac:dyDescent="0.3">
      <c r="A10718" s="477" t="s">
        <v>3</v>
      </c>
      <c r="B10718" s="478"/>
      <c r="C10718" s="479" t="s">
        <v>4</v>
      </c>
      <c r="D10718" s="479"/>
      <c r="E10718" s="480" t="s">
        <v>5</v>
      </c>
      <c r="F10718" s="480"/>
      <c r="G10718" s="480"/>
      <c r="H10718" s="480"/>
    </row>
    <row r="10719" spans="1:8" ht="15.6" x14ac:dyDescent="0.3">
      <c r="A10719" s="4" t="s">
        <v>6</v>
      </c>
      <c r="B10719" s="5"/>
      <c r="C10719" s="481" t="s">
        <v>7</v>
      </c>
      <c r="D10719" s="481"/>
      <c r="E10719" s="482">
        <v>232</v>
      </c>
      <c r="F10719" s="482"/>
      <c r="G10719" s="7" t="s">
        <v>8</v>
      </c>
      <c r="H10719" s="401" t="s">
        <v>1778</v>
      </c>
    </row>
    <row r="10720" spans="1:8" ht="15.6" x14ac:dyDescent="0.3">
      <c r="A10720" s="551" t="s">
        <v>458</v>
      </c>
      <c r="B10720" s="552"/>
      <c r="C10720" s="481" t="s">
        <v>10</v>
      </c>
      <c r="D10720" s="481"/>
      <c r="E10720" s="482">
        <v>27</v>
      </c>
      <c r="F10720" s="482"/>
      <c r="G10720" s="7" t="s">
        <v>8</v>
      </c>
      <c r="H10720" s="401" t="s">
        <v>1791</v>
      </c>
    </row>
    <row r="10721" spans="1:9" ht="24" customHeight="1" x14ac:dyDescent="0.3">
      <c r="A10721" s="560" t="s">
        <v>459</v>
      </c>
      <c r="B10721" s="561"/>
      <c r="C10721" s="483" t="s">
        <v>12</v>
      </c>
      <c r="D10721" s="484"/>
      <c r="E10721" s="562" t="s">
        <v>466</v>
      </c>
      <c r="F10721" s="563"/>
      <c r="G10721" s="400" t="s">
        <v>8</v>
      </c>
      <c r="H10721" s="401" t="s">
        <v>465</v>
      </c>
    </row>
    <row r="10722" spans="1:9" ht="15.6" x14ac:dyDescent="0.3">
      <c r="A10722" s="253" t="s">
        <v>460</v>
      </c>
      <c r="B10722" s="254"/>
      <c r="C10722" s="481" t="s">
        <v>15</v>
      </c>
      <c r="D10722" s="481"/>
      <c r="E10722" s="489" t="s">
        <v>461</v>
      </c>
      <c r="F10722" s="490"/>
      <c r="G10722" s="490"/>
      <c r="H10722" s="491"/>
    </row>
    <row r="10723" spans="1:9" ht="15.6" x14ac:dyDescent="0.3">
      <c r="A10723" s="255" t="s">
        <v>1792</v>
      </c>
      <c r="B10723" s="256"/>
      <c r="C10723" s="489"/>
      <c r="D10723" s="490"/>
      <c r="E10723" s="490"/>
      <c r="F10723" s="490"/>
      <c r="G10723" s="490"/>
      <c r="H10723" s="491"/>
    </row>
    <row r="10724" spans="1:9" ht="15" x14ac:dyDescent="0.3">
      <c r="A10724" s="492" t="s">
        <v>17</v>
      </c>
      <c r="B10724" s="494" t="s">
        <v>18</v>
      </c>
      <c r="C10724" s="494" t="s">
        <v>19</v>
      </c>
      <c r="D10724" s="495" t="s">
        <v>20</v>
      </c>
      <c r="E10724" s="494" t="s">
        <v>21</v>
      </c>
      <c r="F10724" s="494" t="s">
        <v>22</v>
      </c>
      <c r="G10724" s="494"/>
      <c r="H10724" s="492" t="s">
        <v>23</v>
      </c>
    </row>
    <row r="10725" spans="1:9" ht="27.6" x14ac:dyDescent="0.3">
      <c r="A10725" s="492"/>
      <c r="B10725" s="494"/>
      <c r="C10725" s="494"/>
      <c r="D10725" s="505"/>
      <c r="E10725" s="494"/>
      <c r="F10725" s="53" t="s">
        <v>24</v>
      </c>
      <c r="G10725" s="53" t="s">
        <v>25</v>
      </c>
      <c r="H10725" s="492"/>
    </row>
    <row r="10726" spans="1:9" x14ac:dyDescent="0.3">
      <c r="A10726" s="55">
        <v>1</v>
      </c>
      <c r="B10726" s="84" t="s">
        <v>485</v>
      </c>
      <c r="C10726" s="55">
        <v>2</v>
      </c>
      <c r="D10726" s="297">
        <v>998719</v>
      </c>
      <c r="E10726" s="55">
        <v>6000</v>
      </c>
      <c r="F10726" s="55">
        <f>E10726*C10726*9%</f>
        <v>1080</v>
      </c>
      <c r="G10726" s="55">
        <f>F10726</f>
        <v>1080</v>
      </c>
      <c r="H10726" s="55">
        <f>G10726+F10726+E10726*C10726</f>
        <v>14160</v>
      </c>
      <c r="I10726" s="362">
        <f>E10726*C10726</f>
        <v>12000</v>
      </c>
    </row>
    <row r="10727" spans="1:9" x14ac:dyDescent="0.3">
      <c r="A10727" s="55">
        <v>2</v>
      </c>
      <c r="B10727" s="84" t="s">
        <v>1793</v>
      </c>
      <c r="C10727" s="55">
        <v>2</v>
      </c>
      <c r="D10727" s="297">
        <v>854690</v>
      </c>
      <c r="E10727" s="55">
        <v>1850</v>
      </c>
      <c r="F10727" s="55">
        <f>E10727*C10727*9%</f>
        <v>333</v>
      </c>
      <c r="G10727" s="55">
        <f>F10727</f>
        <v>333</v>
      </c>
      <c r="H10727" s="55">
        <f>G10727+F10727+E10727*C10727</f>
        <v>4366</v>
      </c>
      <c r="I10727" s="362">
        <f t="shared" ref="I10727:I10728" si="308">E10727*C10727</f>
        <v>3700</v>
      </c>
    </row>
    <row r="10728" spans="1:9" x14ac:dyDescent="0.3">
      <c r="A10728" s="55">
        <v>3</v>
      </c>
      <c r="B10728" s="84" t="s">
        <v>1794</v>
      </c>
      <c r="C10728" s="55">
        <v>2</v>
      </c>
      <c r="D10728" s="86">
        <v>998719</v>
      </c>
      <c r="E10728" s="55">
        <v>1600</v>
      </c>
      <c r="F10728" s="55">
        <f>E10728*C10728*9%</f>
        <v>288</v>
      </c>
      <c r="G10728" s="55">
        <f>F10728</f>
        <v>288</v>
      </c>
      <c r="H10728" s="55">
        <f>G10728+F10728+E10728*C10728</f>
        <v>3776</v>
      </c>
      <c r="I10728" s="362">
        <f t="shared" si="308"/>
        <v>3200</v>
      </c>
    </row>
    <row r="10729" spans="1:9" x14ac:dyDescent="0.3">
      <c r="A10729" s="55"/>
      <c r="B10729" s="84"/>
      <c r="C10729" s="55"/>
      <c r="D10729" s="86"/>
      <c r="E10729" s="55"/>
      <c r="F10729" s="55"/>
      <c r="G10729" s="55"/>
      <c r="H10729" s="55"/>
    </row>
    <row r="10730" spans="1:9" x14ac:dyDescent="0.3">
      <c r="A10730" s="55"/>
      <c r="B10730" s="84"/>
      <c r="C10730" s="55"/>
      <c r="D10730" s="86"/>
      <c r="E10730" s="55"/>
      <c r="F10730" s="55"/>
      <c r="G10730" s="55"/>
      <c r="H10730" s="55"/>
    </row>
    <row r="10731" spans="1:9" x14ac:dyDescent="0.3">
      <c r="A10731" s="55"/>
      <c r="B10731" s="84"/>
      <c r="C10731" s="55"/>
      <c r="D10731" s="86"/>
      <c r="E10731" s="55"/>
      <c r="F10731" s="55"/>
      <c r="G10731" s="55"/>
      <c r="H10731" s="55"/>
    </row>
    <row r="10732" spans="1:9" x14ac:dyDescent="0.3">
      <c r="A10732" s="55"/>
      <c r="B10732" s="84"/>
      <c r="C10732" s="55"/>
      <c r="D10732" s="86"/>
      <c r="E10732" s="55"/>
      <c r="F10732" s="55"/>
      <c r="G10732" s="55"/>
      <c r="H10732" s="55"/>
    </row>
    <row r="10733" spans="1:9" x14ac:dyDescent="0.3">
      <c r="A10733" s="55"/>
      <c r="B10733" s="84"/>
      <c r="C10733" s="55"/>
      <c r="D10733" s="86"/>
      <c r="E10733" s="55"/>
      <c r="F10733" s="55"/>
      <c r="G10733" s="55"/>
      <c r="H10733" s="55"/>
    </row>
    <row r="10734" spans="1:9" x14ac:dyDescent="0.3">
      <c r="A10734" s="55"/>
      <c r="B10734" s="84"/>
      <c r="C10734" s="55"/>
      <c r="D10734" s="86"/>
      <c r="E10734" s="55"/>
      <c r="F10734" s="55"/>
      <c r="G10734" s="55"/>
      <c r="H10734" s="55"/>
    </row>
    <row r="10735" spans="1:9" x14ac:dyDescent="0.3">
      <c r="A10735" s="55"/>
      <c r="B10735" s="399"/>
      <c r="C10735" s="55"/>
      <c r="D10735" s="86"/>
      <c r="E10735" s="55"/>
      <c r="F10735" s="55"/>
      <c r="G10735" s="55"/>
      <c r="H10735" s="55"/>
    </row>
    <row r="10736" spans="1:9" x14ac:dyDescent="0.3">
      <c r="A10736" s="163"/>
      <c r="B10736" s="163"/>
      <c r="C10736" s="163"/>
      <c r="D10736" s="163"/>
      <c r="E10736" s="163"/>
      <c r="F10736" s="163"/>
      <c r="G10736" s="163"/>
      <c r="H10736" s="163"/>
    </row>
    <row r="10737" spans="1:8" x14ac:dyDescent="0.3">
      <c r="A10737" s="163"/>
      <c r="B10737" s="163"/>
      <c r="C10737" s="163"/>
      <c r="D10737" s="163"/>
      <c r="E10737" s="163"/>
      <c r="F10737" s="163"/>
      <c r="G10737" s="163"/>
      <c r="H10737" s="163"/>
    </row>
    <row r="10738" spans="1:8" x14ac:dyDescent="0.3">
      <c r="A10738" s="163"/>
      <c r="B10738" s="163"/>
      <c r="C10738" s="163"/>
      <c r="D10738" s="163"/>
      <c r="E10738" s="163"/>
      <c r="F10738" s="163"/>
      <c r="G10738" s="163"/>
      <c r="H10738" s="163"/>
    </row>
    <row r="10739" spans="1:8" x14ac:dyDescent="0.3">
      <c r="A10739" s="163"/>
      <c r="B10739" s="163"/>
      <c r="C10739" s="163"/>
      <c r="D10739" s="163"/>
      <c r="E10739" s="163"/>
      <c r="F10739" s="163"/>
      <c r="G10739" s="163"/>
      <c r="H10739" s="163"/>
    </row>
    <row r="10740" spans="1:8" x14ac:dyDescent="0.3">
      <c r="A10740" s="163"/>
      <c r="B10740" s="163"/>
      <c r="C10740" s="163"/>
      <c r="D10740" s="163"/>
      <c r="E10740" s="163"/>
      <c r="F10740" s="163"/>
      <c r="G10740" s="163"/>
      <c r="H10740" s="163"/>
    </row>
    <row r="10741" spans="1:8" x14ac:dyDescent="0.3">
      <c r="A10741" s="258"/>
      <c r="B10741" s="257"/>
      <c r="C10741" s="258"/>
      <c r="D10741" s="86"/>
      <c r="E10741" s="55"/>
      <c r="F10741" s="259"/>
      <c r="G10741" s="259"/>
      <c r="H10741" s="258"/>
    </row>
    <row r="10742" spans="1:8" x14ac:dyDescent="0.3">
      <c r="A10742" s="55"/>
      <c r="B10742" s="84"/>
      <c r="C10742" s="55"/>
      <c r="D10742" s="55"/>
      <c r="E10742" s="55"/>
      <c r="F10742" s="55"/>
      <c r="G10742" s="55"/>
      <c r="H10742" s="55"/>
    </row>
    <row r="10743" spans="1:8" x14ac:dyDescent="0.3">
      <c r="A10743" s="163"/>
      <c r="B10743" s="163"/>
      <c r="C10743" s="163"/>
      <c r="D10743" s="163"/>
      <c r="E10743" s="163"/>
      <c r="F10743" s="163"/>
      <c r="G10743" s="163"/>
      <c r="H10743" s="163"/>
    </row>
    <row r="10744" spans="1:8" x14ac:dyDescent="0.3">
      <c r="A10744" s="55"/>
      <c r="B10744" s="257"/>
      <c r="C10744" s="55"/>
      <c r="D10744" s="55"/>
      <c r="E10744" s="55"/>
      <c r="F10744" s="55"/>
      <c r="G10744" s="55"/>
      <c r="H10744" s="55"/>
    </row>
    <row r="10745" spans="1:8" x14ac:dyDescent="0.3">
      <c r="A10745" s="57"/>
      <c r="B10745" s="84"/>
      <c r="C10745" s="85"/>
      <c r="D10745" s="86"/>
      <c r="E10745" s="87"/>
      <c r="F10745" s="47"/>
      <c r="G10745" s="47"/>
      <c r="H10745" s="47"/>
    </row>
    <row r="10746" spans="1:8" x14ac:dyDescent="0.3">
      <c r="A10746" s="57"/>
      <c r="B10746" s="84"/>
      <c r="C10746" s="85"/>
      <c r="D10746" s="86"/>
      <c r="E10746" s="47"/>
      <c r="F10746" s="47"/>
      <c r="G10746" s="47"/>
      <c r="H10746" s="47"/>
    </row>
    <row r="10747" spans="1:8" x14ac:dyDescent="0.3">
      <c r="A10747" s="55"/>
      <c r="B10747" s="84"/>
      <c r="C10747" s="55"/>
      <c r="D10747" s="86"/>
      <c r="E10747" s="47"/>
      <c r="F10747" s="47"/>
      <c r="G10747" s="47"/>
      <c r="H10747" s="47"/>
    </row>
    <row r="10748" spans="1:8" x14ac:dyDescent="0.3">
      <c r="A10748" s="27"/>
      <c r="B10748" s="28"/>
      <c r="C10748" s="24"/>
      <c r="D10748" s="25"/>
      <c r="E10748" s="25"/>
      <c r="F10748" s="28"/>
      <c r="G10748" s="28"/>
      <c r="H10748" s="32"/>
    </row>
    <row r="10749" spans="1:8" ht="15.6" x14ac:dyDescent="0.3">
      <c r="A10749" s="448" t="s">
        <v>45</v>
      </c>
      <c r="B10749" s="449"/>
      <c r="C10749" s="24"/>
      <c r="D10749" s="25"/>
      <c r="E10749" s="25"/>
      <c r="F10749" s="447" t="s">
        <v>46</v>
      </c>
      <c r="G10749" s="447"/>
      <c r="H10749" s="66">
        <v>18900</v>
      </c>
    </row>
    <row r="10750" spans="1:8" ht="15.6" x14ac:dyDescent="0.3">
      <c r="A10750" s="497" t="s">
        <v>1795</v>
      </c>
      <c r="B10750" s="498"/>
      <c r="C10750" s="498"/>
      <c r="D10750" s="498"/>
      <c r="E10750" s="498"/>
      <c r="F10750" s="447" t="s">
        <v>47</v>
      </c>
      <c r="G10750" s="447"/>
      <c r="H10750" s="66">
        <f>H10749*9%</f>
        <v>1701</v>
      </c>
    </row>
    <row r="10751" spans="1:8" ht="15.6" x14ac:dyDescent="0.3">
      <c r="A10751" s="27"/>
      <c r="B10751" s="28"/>
      <c r="C10751" s="24"/>
      <c r="D10751" s="25"/>
      <c r="E10751" s="25"/>
      <c r="F10751" s="447" t="s">
        <v>48</v>
      </c>
      <c r="G10751" s="447"/>
      <c r="H10751" s="66">
        <f>H10750</f>
        <v>1701</v>
      </c>
    </row>
    <row r="10752" spans="1:8" ht="15.6" x14ac:dyDescent="0.3">
      <c r="A10752" s="64" t="s">
        <v>49</v>
      </c>
      <c r="B10752" s="65"/>
      <c r="C10752" s="24"/>
      <c r="D10752" s="25"/>
      <c r="E10752" s="25"/>
      <c r="F10752" s="447" t="s">
        <v>50</v>
      </c>
      <c r="G10752" s="447"/>
      <c r="H10752" s="66">
        <v>22302</v>
      </c>
    </row>
    <row r="10753" spans="1:8" ht="27" x14ac:dyDescent="0.3">
      <c r="A10753" s="68" t="s">
        <v>22</v>
      </c>
      <c r="B10753" s="30" t="s">
        <v>51</v>
      </c>
      <c r="C10753" s="70" t="s">
        <v>24</v>
      </c>
      <c r="D10753" s="31" t="s">
        <v>25</v>
      </c>
      <c r="E10753" s="450" t="s">
        <v>52</v>
      </c>
      <c r="F10753" s="450"/>
      <c r="G10753" s="28"/>
      <c r="H10753" s="32"/>
    </row>
    <row r="10754" spans="1:8" x14ac:dyDescent="0.3">
      <c r="A10754" s="72">
        <v>0.18</v>
      </c>
      <c r="B10754" s="73">
        <f>H10749</f>
        <v>18900</v>
      </c>
      <c r="C10754" s="91">
        <f>H10750</f>
        <v>1701</v>
      </c>
      <c r="D10754" s="91">
        <f>H10750</f>
        <v>1701</v>
      </c>
      <c r="E10754" s="506">
        <f>C10754+D10754</f>
        <v>3402</v>
      </c>
      <c r="F10754" s="507"/>
      <c r="G10754" s="74"/>
      <c r="H10754" s="75"/>
    </row>
    <row r="10755" spans="1:8" x14ac:dyDescent="0.3">
      <c r="A10755" s="508" t="s">
        <v>1796</v>
      </c>
      <c r="B10755" s="509"/>
      <c r="C10755" s="509"/>
      <c r="D10755" s="509"/>
      <c r="E10755" s="453"/>
      <c r="F10755" s="453"/>
      <c r="G10755" s="453"/>
      <c r="H10755" s="454"/>
    </row>
    <row r="10756" spans="1:8" ht="15.6" x14ac:dyDescent="0.3">
      <c r="A10756" s="455" t="s">
        <v>53</v>
      </c>
      <c r="B10756" s="456"/>
      <c r="C10756" s="456"/>
      <c r="D10756" s="457"/>
      <c r="E10756" s="458" t="s">
        <v>54</v>
      </c>
      <c r="F10756" s="459"/>
      <c r="G10756" s="459"/>
      <c r="H10756" s="460"/>
    </row>
    <row r="10757" spans="1:8" x14ac:dyDescent="0.3">
      <c r="A10757" s="461" t="s">
        <v>55</v>
      </c>
      <c r="B10757" s="462"/>
      <c r="C10757" s="462"/>
      <c r="D10757" s="463"/>
      <c r="E10757" s="39"/>
      <c r="F10757" s="28"/>
      <c r="G10757" s="28"/>
      <c r="H10757" s="32"/>
    </row>
    <row r="10758" spans="1:8" x14ac:dyDescent="0.3">
      <c r="A10758" s="461" t="s">
        <v>56</v>
      </c>
      <c r="B10758" s="462"/>
      <c r="C10758" s="462"/>
      <c r="D10758" s="463"/>
      <c r="E10758" s="39"/>
      <c r="F10758" s="28"/>
      <c r="G10758" s="28"/>
      <c r="H10758" s="32"/>
    </row>
    <row r="10759" spans="1:8" x14ac:dyDescent="0.3">
      <c r="A10759" s="461" t="s">
        <v>57</v>
      </c>
      <c r="B10759" s="462"/>
      <c r="C10759" s="462"/>
      <c r="D10759" s="463"/>
      <c r="E10759" s="39"/>
      <c r="F10759" s="28"/>
      <c r="G10759" s="28"/>
      <c r="H10759" s="32"/>
    </row>
    <row r="10760" spans="1:8" ht="15.6" x14ac:dyDescent="0.3">
      <c r="A10760" s="464" t="s">
        <v>58</v>
      </c>
      <c r="B10760" s="465"/>
      <c r="C10760" s="465"/>
      <c r="D10760" s="465"/>
      <c r="E10760" s="466" t="s">
        <v>59</v>
      </c>
      <c r="F10760" s="467"/>
      <c r="G10760" s="467"/>
      <c r="H10760" s="468"/>
    </row>
    <row r="10764" spans="1:8" ht="44.4" x14ac:dyDescent="0.7">
      <c r="A10764" s="469" t="s">
        <v>0</v>
      </c>
      <c r="B10764" s="470"/>
      <c r="C10764" s="470"/>
      <c r="D10764" s="470"/>
      <c r="E10764" s="471" t="s">
        <v>1</v>
      </c>
      <c r="F10764" s="472"/>
      <c r="G10764" s="472"/>
      <c r="H10764" s="473"/>
    </row>
    <row r="10765" spans="1:8" ht="20.399999999999999" x14ac:dyDescent="0.35">
      <c r="A10765" s="1"/>
      <c r="B10765" s="476" t="s">
        <v>2</v>
      </c>
      <c r="C10765" s="476"/>
      <c r="D10765" s="476"/>
      <c r="E10765" s="474"/>
      <c r="F10765" s="474"/>
      <c r="G10765" s="474"/>
      <c r="H10765" s="475"/>
    </row>
    <row r="10766" spans="1:8" x14ac:dyDescent="0.3">
      <c r="A10766" s="477" t="s">
        <v>3</v>
      </c>
      <c r="B10766" s="478"/>
      <c r="C10766" s="479" t="s">
        <v>4</v>
      </c>
      <c r="D10766" s="479"/>
      <c r="E10766" s="480" t="s">
        <v>5</v>
      </c>
      <c r="F10766" s="480"/>
      <c r="G10766" s="480"/>
      <c r="H10766" s="480"/>
    </row>
    <row r="10767" spans="1:8" ht="15.6" x14ac:dyDescent="0.3">
      <c r="A10767" s="4" t="s">
        <v>6</v>
      </c>
      <c r="B10767" s="5"/>
      <c r="C10767" s="481" t="s">
        <v>7</v>
      </c>
      <c r="D10767" s="481"/>
      <c r="E10767" s="482">
        <v>233</v>
      </c>
      <c r="F10767" s="482"/>
      <c r="G10767" s="7" t="s">
        <v>8</v>
      </c>
      <c r="H10767" s="401" t="s">
        <v>1778</v>
      </c>
    </row>
    <row r="10768" spans="1:8" ht="15.6" x14ac:dyDescent="0.3">
      <c r="A10768" s="551" t="s">
        <v>458</v>
      </c>
      <c r="B10768" s="552"/>
      <c r="C10768" s="481" t="s">
        <v>10</v>
      </c>
      <c r="D10768" s="481"/>
      <c r="E10768" s="482"/>
      <c r="F10768" s="482"/>
      <c r="G10768" s="7" t="s">
        <v>8</v>
      </c>
      <c r="H10768" s="401">
        <v>46175</v>
      </c>
    </row>
    <row r="10769" spans="1:8" ht="15" x14ac:dyDescent="0.3">
      <c r="A10769" s="560" t="s">
        <v>459</v>
      </c>
      <c r="B10769" s="561"/>
      <c r="C10769" s="483" t="s">
        <v>12</v>
      </c>
      <c r="D10769" s="484"/>
      <c r="E10769" s="562"/>
      <c r="F10769" s="563"/>
      <c r="G10769" s="400" t="s">
        <v>8</v>
      </c>
      <c r="H10769" s="401"/>
    </row>
    <row r="10770" spans="1:8" ht="15.6" x14ac:dyDescent="0.3">
      <c r="A10770" s="253" t="s">
        <v>460</v>
      </c>
      <c r="B10770" s="254"/>
      <c r="C10770" s="481" t="s">
        <v>15</v>
      </c>
      <c r="D10770" s="481"/>
      <c r="E10770" s="489" t="s">
        <v>461</v>
      </c>
      <c r="F10770" s="490"/>
      <c r="G10770" s="490"/>
      <c r="H10770" s="491"/>
    </row>
    <row r="10771" spans="1:8" ht="15.6" x14ac:dyDescent="0.3">
      <c r="A10771" s="255" t="s">
        <v>1779</v>
      </c>
      <c r="B10771" s="256"/>
      <c r="C10771" s="489"/>
      <c r="D10771" s="490"/>
      <c r="E10771" s="490"/>
      <c r="F10771" s="490"/>
      <c r="G10771" s="490"/>
      <c r="H10771" s="491"/>
    </row>
    <row r="10772" spans="1:8" ht="15" x14ac:dyDescent="0.3">
      <c r="A10772" s="492" t="s">
        <v>17</v>
      </c>
      <c r="B10772" s="494" t="s">
        <v>18</v>
      </c>
      <c r="C10772" s="494" t="s">
        <v>19</v>
      </c>
      <c r="D10772" s="495" t="s">
        <v>20</v>
      </c>
      <c r="E10772" s="494" t="s">
        <v>21</v>
      </c>
      <c r="F10772" s="494" t="s">
        <v>22</v>
      </c>
      <c r="G10772" s="494"/>
      <c r="H10772" s="492" t="s">
        <v>23</v>
      </c>
    </row>
    <row r="10773" spans="1:8" ht="27.6" x14ac:dyDescent="0.3">
      <c r="A10773" s="492"/>
      <c r="B10773" s="494"/>
      <c r="C10773" s="494"/>
      <c r="D10773" s="505"/>
      <c r="E10773" s="494"/>
      <c r="F10773" s="53" t="s">
        <v>24</v>
      </c>
      <c r="G10773" s="53" t="s">
        <v>25</v>
      </c>
      <c r="H10773" s="492"/>
    </row>
    <row r="10774" spans="1:8" x14ac:dyDescent="0.3">
      <c r="A10774" s="55">
        <v>1</v>
      </c>
      <c r="B10774" s="84" t="s">
        <v>1780</v>
      </c>
      <c r="C10774" s="55">
        <v>15</v>
      </c>
      <c r="D10774" s="297">
        <v>38249025</v>
      </c>
      <c r="E10774" s="55">
        <v>490</v>
      </c>
      <c r="F10774" s="55">
        <f>E10774*C10774*9%</f>
        <v>661.5</v>
      </c>
      <c r="G10774" s="55">
        <f>F10774</f>
        <v>661.5</v>
      </c>
      <c r="H10774" s="55">
        <f>G10774+F10774+E10774*C10774</f>
        <v>8673</v>
      </c>
    </row>
    <row r="10775" spans="1:8" x14ac:dyDescent="0.3">
      <c r="A10775" s="55"/>
      <c r="B10775" s="84"/>
      <c r="C10775" s="55"/>
      <c r="D10775" s="86"/>
      <c r="E10775" s="55"/>
      <c r="F10775" s="55"/>
      <c r="G10775" s="55"/>
      <c r="H10775" s="55"/>
    </row>
    <row r="10776" spans="1:8" x14ac:dyDescent="0.3">
      <c r="A10776" s="55"/>
      <c r="B10776" s="84"/>
      <c r="C10776" s="55"/>
      <c r="D10776" s="86"/>
      <c r="E10776" s="55"/>
      <c r="F10776" s="55"/>
      <c r="G10776" s="55"/>
      <c r="H10776" s="55"/>
    </row>
    <row r="10777" spans="1:8" x14ac:dyDescent="0.3">
      <c r="A10777" s="55"/>
      <c r="B10777" s="84"/>
      <c r="C10777" s="55"/>
      <c r="D10777" s="86"/>
      <c r="E10777" s="55"/>
      <c r="F10777" s="55"/>
      <c r="G10777" s="55"/>
      <c r="H10777" s="55"/>
    </row>
    <row r="10778" spans="1:8" x14ac:dyDescent="0.3">
      <c r="A10778" s="55"/>
      <c r="B10778" s="84"/>
      <c r="C10778" s="55"/>
      <c r="D10778" s="86"/>
      <c r="E10778" s="55"/>
      <c r="F10778" s="55"/>
      <c r="G10778" s="55"/>
      <c r="H10778" s="55"/>
    </row>
    <row r="10779" spans="1:8" x14ac:dyDescent="0.3">
      <c r="A10779" s="55"/>
      <c r="B10779" s="84"/>
      <c r="C10779" s="55"/>
      <c r="D10779" s="86"/>
      <c r="E10779" s="55"/>
      <c r="F10779" s="55"/>
      <c r="G10779" s="55"/>
      <c r="H10779" s="55"/>
    </row>
    <row r="10780" spans="1:8" x14ac:dyDescent="0.3">
      <c r="A10780" s="55"/>
      <c r="B10780" s="84"/>
      <c r="C10780" s="55"/>
      <c r="D10780" s="86"/>
      <c r="E10780" s="55"/>
      <c r="F10780" s="55"/>
      <c r="G10780" s="55"/>
      <c r="H10780" s="55"/>
    </row>
    <row r="10781" spans="1:8" x14ac:dyDescent="0.3">
      <c r="A10781" s="55"/>
      <c r="B10781" s="84"/>
      <c r="C10781" s="55"/>
      <c r="D10781" s="86"/>
      <c r="E10781" s="55"/>
      <c r="F10781" s="55"/>
      <c r="G10781" s="55"/>
      <c r="H10781" s="55"/>
    </row>
    <row r="10782" spans="1:8" x14ac:dyDescent="0.3">
      <c r="A10782" s="55"/>
      <c r="B10782" s="399"/>
      <c r="C10782" s="55"/>
      <c r="D10782" s="86"/>
      <c r="E10782" s="55"/>
      <c r="F10782" s="55"/>
      <c r="G10782" s="55"/>
      <c r="H10782" s="55"/>
    </row>
    <row r="10783" spans="1:8" x14ac:dyDescent="0.3">
      <c r="A10783" s="163"/>
      <c r="B10783" s="163"/>
      <c r="C10783" s="163"/>
      <c r="D10783" s="163"/>
      <c r="E10783" s="163"/>
      <c r="F10783" s="163"/>
      <c r="G10783" s="163"/>
      <c r="H10783" s="163"/>
    </row>
    <row r="10784" spans="1:8" x14ac:dyDescent="0.3">
      <c r="A10784" s="163"/>
      <c r="B10784" s="163"/>
      <c r="C10784" s="163"/>
      <c r="D10784" s="163"/>
      <c r="E10784" s="163"/>
      <c r="F10784" s="163"/>
      <c r="G10784" s="163"/>
      <c r="H10784" s="163"/>
    </row>
    <row r="10785" spans="1:8" x14ac:dyDescent="0.3">
      <c r="A10785" s="163"/>
      <c r="B10785" s="163"/>
      <c r="C10785" s="163"/>
      <c r="D10785" s="163"/>
      <c r="E10785" s="163"/>
      <c r="F10785" s="163"/>
      <c r="G10785" s="163"/>
      <c r="H10785" s="163"/>
    </row>
    <row r="10786" spans="1:8" x14ac:dyDescent="0.3">
      <c r="A10786" s="163"/>
      <c r="B10786" s="163"/>
      <c r="C10786" s="163"/>
      <c r="D10786" s="163"/>
      <c r="E10786" s="163"/>
      <c r="F10786" s="163"/>
      <c r="G10786" s="163"/>
      <c r="H10786" s="163"/>
    </row>
    <row r="10787" spans="1:8" x14ac:dyDescent="0.3">
      <c r="A10787" s="163"/>
      <c r="B10787" s="163"/>
      <c r="C10787" s="163"/>
      <c r="D10787" s="163"/>
      <c r="E10787" s="163"/>
      <c r="F10787" s="163"/>
      <c r="G10787" s="163"/>
      <c r="H10787" s="163"/>
    </row>
    <row r="10788" spans="1:8" x14ac:dyDescent="0.3">
      <c r="A10788" s="258"/>
      <c r="B10788" s="257"/>
      <c r="C10788" s="258"/>
      <c r="D10788" s="86"/>
      <c r="E10788" s="55"/>
      <c r="F10788" s="259"/>
      <c r="G10788" s="259"/>
      <c r="H10788" s="258"/>
    </row>
    <row r="10789" spans="1:8" x14ac:dyDescent="0.3">
      <c r="A10789" s="55"/>
      <c r="B10789" s="84"/>
      <c r="C10789" s="55"/>
      <c r="D10789" s="55"/>
      <c r="E10789" s="55"/>
      <c r="F10789" s="55"/>
      <c r="G10789" s="55"/>
      <c r="H10789" s="55"/>
    </row>
    <row r="10790" spans="1:8" x14ac:dyDescent="0.3">
      <c r="A10790" s="163"/>
      <c r="B10790" s="163"/>
      <c r="C10790" s="163"/>
      <c r="D10790" s="163"/>
      <c r="E10790" s="163"/>
      <c r="F10790" s="163"/>
      <c r="G10790" s="163"/>
      <c r="H10790" s="163"/>
    </row>
    <row r="10791" spans="1:8" x14ac:dyDescent="0.3">
      <c r="A10791" s="55"/>
      <c r="B10791" s="257"/>
      <c r="C10791" s="55"/>
      <c r="D10791" s="55"/>
      <c r="E10791" s="55"/>
      <c r="F10791" s="55"/>
      <c r="G10791" s="55"/>
      <c r="H10791" s="55"/>
    </row>
    <row r="10792" spans="1:8" x14ac:dyDescent="0.3">
      <c r="A10792" s="57"/>
      <c r="B10792" s="84"/>
      <c r="C10792" s="85"/>
      <c r="D10792" s="86"/>
      <c r="E10792" s="87"/>
      <c r="F10792" s="47"/>
      <c r="G10792" s="47"/>
      <c r="H10792" s="47"/>
    </row>
    <row r="10793" spans="1:8" x14ac:dyDescent="0.3">
      <c r="A10793" s="57"/>
      <c r="B10793" s="84"/>
      <c r="C10793" s="85"/>
      <c r="D10793" s="86"/>
      <c r="E10793" s="47"/>
      <c r="F10793" s="47"/>
      <c r="G10793" s="47"/>
      <c r="H10793" s="47"/>
    </row>
    <row r="10794" spans="1:8" x14ac:dyDescent="0.3">
      <c r="A10794" s="55"/>
      <c r="B10794" s="84"/>
      <c r="C10794" s="55"/>
      <c r="D10794" s="86"/>
      <c r="E10794" s="47"/>
      <c r="F10794" s="47"/>
      <c r="G10794" s="47"/>
      <c r="H10794" s="47"/>
    </row>
    <row r="10795" spans="1:8" x14ac:dyDescent="0.3">
      <c r="A10795" s="27"/>
      <c r="B10795" s="28"/>
      <c r="C10795" s="24"/>
      <c r="D10795" s="25"/>
      <c r="E10795" s="25"/>
      <c r="F10795" s="28"/>
      <c r="G10795" s="28"/>
      <c r="H10795" s="32"/>
    </row>
    <row r="10796" spans="1:8" ht="15.6" x14ac:dyDescent="0.3">
      <c r="A10796" s="448" t="s">
        <v>45</v>
      </c>
      <c r="B10796" s="449"/>
      <c r="C10796" s="24"/>
      <c r="D10796" s="25"/>
      <c r="E10796" s="25"/>
      <c r="F10796" s="447" t="s">
        <v>46</v>
      </c>
      <c r="G10796" s="447"/>
      <c r="H10796" s="66">
        <v>7350</v>
      </c>
    </row>
    <row r="10797" spans="1:8" ht="15.6" x14ac:dyDescent="0.3">
      <c r="A10797" s="497" t="s">
        <v>1797</v>
      </c>
      <c r="B10797" s="498"/>
      <c r="C10797" s="498"/>
      <c r="D10797" s="498"/>
      <c r="E10797" s="498"/>
      <c r="F10797" s="447" t="s">
        <v>47</v>
      </c>
      <c r="G10797" s="447"/>
      <c r="H10797" s="66">
        <f>H10796*9%</f>
        <v>661.5</v>
      </c>
    </row>
    <row r="10798" spans="1:8" ht="15.6" x14ac:dyDescent="0.3">
      <c r="A10798" s="27"/>
      <c r="B10798" s="28"/>
      <c r="C10798" s="24"/>
      <c r="D10798" s="25"/>
      <c r="E10798" s="25"/>
      <c r="F10798" s="447" t="s">
        <v>48</v>
      </c>
      <c r="G10798" s="447"/>
      <c r="H10798" s="66">
        <f>H10797</f>
        <v>661.5</v>
      </c>
    </row>
    <row r="10799" spans="1:8" ht="15.6" x14ac:dyDescent="0.3">
      <c r="A10799" s="64" t="s">
        <v>49</v>
      </c>
      <c r="B10799" s="65"/>
      <c r="C10799" s="24"/>
      <c r="D10799" s="25"/>
      <c r="E10799" s="25"/>
      <c r="F10799" s="447" t="s">
        <v>50</v>
      </c>
      <c r="G10799" s="447"/>
      <c r="H10799" s="66">
        <v>8673</v>
      </c>
    </row>
    <row r="10800" spans="1:8" ht="27" x14ac:dyDescent="0.3">
      <c r="A10800" s="68" t="s">
        <v>22</v>
      </c>
      <c r="B10800" s="30" t="s">
        <v>51</v>
      </c>
      <c r="C10800" s="70" t="s">
        <v>24</v>
      </c>
      <c r="D10800" s="31" t="s">
        <v>25</v>
      </c>
      <c r="E10800" s="450" t="s">
        <v>52</v>
      </c>
      <c r="F10800" s="450"/>
      <c r="G10800" s="28"/>
      <c r="H10800" s="32"/>
    </row>
    <row r="10801" spans="1:8" x14ac:dyDescent="0.3">
      <c r="A10801" s="72">
        <v>0.18</v>
      </c>
      <c r="B10801" s="73">
        <f>H10796</f>
        <v>7350</v>
      </c>
      <c r="C10801" s="91">
        <f>H10797</f>
        <v>661.5</v>
      </c>
      <c r="D10801" s="91">
        <f>H10797</f>
        <v>661.5</v>
      </c>
      <c r="E10801" s="506">
        <f>C10801+D10801</f>
        <v>1323</v>
      </c>
      <c r="F10801" s="507"/>
      <c r="G10801" s="74"/>
      <c r="H10801" s="75"/>
    </row>
    <row r="10802" spans="1:8" x14ac:dyDescent="0.3">
      <c r="A10802" s="508" t="s">
        <v>1798</v>
      </c>
      <c r="B10802" s="509"/>
      <c r="C10802" s="509"/>
      <c r="D10802" s="509"/>
      <c r="E10802" s="453"/>
      <c r="F10802" s="453"/>
      <c r="G10802" s="453"/>
      <c r="H10802" s="454"/>
    </row>
    <row r="10803" spans="1:8" ht="15.6" x14ac:dyDescent="0.3">
      <c r="A10803" s="455" t="s">
        <v>53</v>
      </c>
      <c r="B10803" s="456"/>
      <c r="C10803" s="456"/>
      <c r="D10803" s="457"/>
      <c r="E10803" s="458" t="s">
        <v>54</v>
      </c>
      <c r="F10803" s="459"/>
      <c r="G10803" s="459"/>
      <c r="H10803" s="460"/>
    </row>
    <row r="10804" spans="1:8" x14ac:dyDescent="0.3">
      <c r="A10804" s="461" t="s">
        <v>55</v>
      </c>
      <c r="B10804" s="462"/>
      <c r="C10804" s="462"/>
      <c r="D10804" s="463"/>
      <c r="E10804" s="39"/>
      <c r="F10804" s="28"/>
      <c r="G10804" s="28"/>
      <c r="H10804" s="32"/>
    </row>
    <row r="10805" spans="1:8" x14ac:dyDescent="0.3">
      <c r="A10805" s="461" t="s">
        <v>56</v>
      </c>
      <c r="B10805" s="462"/>
      <c r="C10805" s="462"/>
      <c r="D10805" s="463"/>
      <c r="E10805" s="39"/>
      <c r="F10805" s="28"/>
      <c r="G10805" s="28"/>
      <c r="H10805" s="32"/>
    </row>
    <row r="10806" spans="1:8" x14ac:dyDescent="0.3">
      <c r="A10806" s="461" t="s">
        <v>57</v>
      </c>
      <c r="B10806" s="462"/>
      <c r="C10806" s="462"/>
      <c r="D10806" s="463"/>
      <c r="E10806" s="39"/>
      <c r="F10806" s="28"/>
      <c r="G10806" s="28"/>
      <c r="H10806" s="32"/>
    </row>
    <row r="10807" spans="1:8" ht="15.6" x14ac:dyDescent="0.3">
      <c r="A10807" s="464" t="s">
        <v>58</v>
      </c>
      <c r="B10807" s="465"/>
      <c r="C10807" s="465"/>
      <c r="D10807" s="465"/>
      <c r="E10807" s="466" t="s">
        <v>59</v>
      </c>
      <c r="F10807" s="467"/>
      <c r="G10807" s="467"/>
      <c r="H10807" s="468"/>
    </row>
    <row r="10812" spans="1:8" ht="44.4" x14ac:dyDescent="0.7">
      <c r="A10812" s="469" t="s">
        <v>0</v>
      </c>
      <c r="B10812" s="470"/>
      <c r="C10812" s="470"/>
      <c r="D10812" s="470"/>
      <c r="E10812" s="471" t="s">
        <v>1</v>
      </c>
      <c r="F10812" s="472"/>
      <c r="G10812" s="472"/>
      <c r="H10812" s="473"/>
    </row>
    <row r="10813" spans="1:8" ht="20.399999999999999" x14ac:dyDescent="0.35">
      <c r="A10813" s="1"/>
      <c r="B10813" s="476" t="s">
        <v>2</v>
      </c>
      <c r="C10813" s="476"/>
      <c r="D10813" s="476"/>
      <c r="E10813" s="474"/>
      <c r="F10813" s="474"/>
      <c r="G10813" s="474"/>
      <c r="H10813" s="475"/>
    </row>
    <row r="10814" spans="1:8" x14ac:dyDescent="0.3">
      <c r="A10814" s="477" t="s">
        <v>3</v>
      </c>
      <c r="B10814" s="478"/>
      <c r="C10814" s="479" t="s">
        <v>4</v>
      </c>
      <c r="D10814" s="479"/>
      <c r="E10814" s="480" t="s">
        <v>5</v>
      </c>
      <c r="F10814" s="480"/>
      <c r="G10814" s="480"/>
      <c r="H10814" s="480"/>
    </row>
    <row r="10815" spans="1:8" ht="15.6" x14ac:dyDescent="0.3">
      <c r="A10815" s="4" t="s">
        <v>6</v>
      </c>
      <c r="B10815" s="5"/>
      <c r="C10815" s="481" t="s">
        <v>7</v>
      </c>
      <c r="D10815" s="481"/>
      <c r="E10815" s="482">
        <v>234</v>
      </c>
      <c r="F10815" s="482"/>
      <c r="G10815" s="7" t="s">
        <v>8</v>
      </c>
      <c r="H10815" s="401" t="s">
        <v>1778</v>
      </c>
    </row>
    <row r="10816" spans="1:8" ht="15.6" x14ac:dyDescent="0.3">
      <c r="A10816" s="551" t="s">
        <v>458</v>
      </c>
      <c r="B10816" s="552"/>
      <c r="C10816" s="481" t="s">
        <v>10</v>
      </c>
      <c r="D10816" s="481"/>
      <c r="E10816" s="482">
        <v>72</v>
      </c>
      <c r="F10816" s="482"/>
      <c r="G10816" s="7" t="s">
        <v>8</v>
      </c>
      <c r="H10816" s="401">
        <v>46235</v>
      </c>
    </row>
    <row r="10817" spans="1:9" ht="22.5" customHeight="1" x14ac:dyDescent="0.3">
      <c r="A10817" s="560" t="s">
        <v>459</v>
      </c>
      <c r="B10817" s="561"/>
      <c r="C10817" s="483" t="s">
        <v>12</v>
      </c>
      <c r="D10817" s="484"/>
      <c r="E10817" s="562" t="s">
        <v>1800</v>
      </c>
      <c r="F10817" s="563"/>
      <c r="G10817" s="400" t="s">
        <v>8</v>
      </c>
      <c r="H10817" s="401">
        <v>46123</v>
      </c>
    </row>
    <row r="10818" spans="1:9" ht="15.6" x14ac:dyDescent="0.3">
      <c r="A10818" s="253" t="s">
        <v>460</v>
      </c>
      <c r="B10818" s="254"/>
      <c r="C10818" s="481" t="s">
        <v>15</v>
      </c>
      <c r="D10818" s="481"/>
      <c r="E10818" s="489" t="s">
        <v>461</v>
      </c>
      <c r="F10818" s="490"/>
      <c r="G10818" s="490"/>
      <c r="H10818" s="491"/>
    </row>
    <row r="10819" spans="1:9" ht="15.6" x14ac:dyDescent="0.3">
      <c r="A10819" s="255" t="s">
        <v>1804</v>
      </c>
      <c r="B10819" s="256"/>
      <c r="C10819" s="489"/>
      <c r="D10819" s="490"/>
      <c r="E10819" s="490"/>
      <c r="F10819" s="490"/>
      <c r="G10819" s="490"/>
      <c r="H10819" s="491"/>
    </row>
    <row r="10820" spans="1:9" ht="15" x14ac:dyDescent="0.3">
      <c r="A10820" s="492" t="s">
        <v>17</v>
      </c>
      <c r="B10820" s="494" t="s">
        <v>18</v>
      </c>
      <c r="C10820" s="494" t="s">
        <v>19</v>
      </c>
      <c r="D10820" s="495" t="s">
        <v>20</v>
      </c>
      <c r="E10820" s="494" t="s">
        <v>21</v>
      </c>
      <c r="F10820" s="494" t="s">
        <v>22</v>
      </c>
      <c r="G10820" s="494"/>
      <c r="H10820" s="492" t="s">
        <v>23</v>
      </c>
    </row>
    <row r="10821" spans="1:9" ht="27.6" x14ac:dyDescent="0.3">
      <c r="A10821" s="492"/>
      <c r="B10821" s="494"/>
      <c r="C10821" s="494"/>
      <c r="D10821" s="505"/>
      <c r="E10821" s="494"/>
      <c r="F10821" s="53" t="s">
        <v>24</v>
      </c>
      <c r="G10821" s="53" t="s">
        <v>25</v>
      </c>
      <c r="H10821" s="492"/>
    </row>
    <row r="10822" spans="1:9" x14ac:dyDescent="0.3">
      <c r="A10822" s="55">
        <v>1</v>
      </c>
      <c r="B10822" s="84" t="s">
        <v>1799</v>
      </c>
      <c r="C10822" s="55">
        <v>2</v>
      </c>
      <c r="D10822" s="297">
        <v>85369090</v>
      </c>
      <c r="E10822" s="55">
        <v>2460</v>
      </c>
      <c r="F10822" s="55">
        <f>E10822*C10822*9%</f>
        <v>442.8</v>
      </c>
      <c r="G10822" s="55">
        <f>F10822</f>
        <v>442.8</v>
      </c>
      <c r="H10822" s="55">
        <f>G10822+F10822+E10822*C10822</f>
        <v>5805.6</v>
      </c>
      <c r="I10822" s="362">
        <f>E10822*C10822</f>
        <v>4920</v>
      </c>
    </row>
    <row r="10823" spans="1:9" x14ac:dyDescent="0.3">
      <c r="A10823" s="55"/>
      <c r="B10823" s="84"/>
      <c r="C10823" s="55"/>
      <c r="D10823" s="86"/>
      <c r="E10823" s="55"/>
      <c r="F10823" s="55"/>
      <c r="G10823" s="55"/>
      <c r="H10823" s="55"/>
    </row>
    <row r="10824" spans="1:9" x14ac:dyDescent="0.3">
      <c r="A10824" s="55"/>
      <c r="B10824" s="84"/>
      <c r="C10824" s="55"/>
      <c r="D10824" s="86"/>
      <c r="E10824" s="55"/>
      <c r="F10824" s="55"/>
      <c r="G10824" s="55"/>
      <c r="H10824" s="55"/>
    </row>
    <row r="10825" spans="1:9" x14ac:dyDescent="0.3">
      <c r="A10825" s="55"/>
      <c r="B10825" s="84"/>
      <c r="C10825" s="55"/>
      <c r="D10825" s="86"/>
      <c r="E10825" s="55"/>
      <c r="F10825" s="55"/>
      <c r="G10825" s="55"/>
      <c r="H10825" s="55"/>
    </row>
    <row r="10826" spans="1:9" x14ac:dyDescent="0.3">
      <c r="A10826" s="55"/>
      <c r="B10826" s="84"/>
      <c r="C10826" s="55"/>
      <c r="D10826" s="86"/>
      <c r="E10826" s="55"/>
      <c r="F10826" s="55"/>
      <c r="G10826" s="55"/>
      <c r="H10826" s="55"/>
    </row>
    <row r="10827" spans="1:9" x14ac:dyDescent="0.3">
      <c r="A10827" s="55"/>
      <c r="B10827" s="84"/>
      <c r="C10827" s="55"/>
      <c r="D10827" s="86"/>
      <c r="E10827" s="55"/>
      <c r="F10827" s="55"/>
      <c r="G10827" s="55"/>
      <c r="H10827" s="55"/>
    </row>
    <row r="10828" spans="1:9" x14ac:dyDescent="0.3">
      <c r="A10828" s="55"/>
      <c r="B10828" s="84"/>
      <c r="C10828" s="55"/>
      <c r="D10828" s="86"/>
      <c r="E10828" s="55"/>
      <c r="F10828" s="55"/>
      <c r="G10828" s="55"/>
      <c r="H10828" s="55"/>
    </row>
    <row r="10829" spans="1:9" x14ac:dyDescent="0.3">
      <c r="A10829" s="55"/>
      <c r="B10829" s="84"/>
      <c r="C10829" s="55"/>
      <c r="D10829" s="86"/>
      <c r="E10829" s="55"/>
      <c r="F10829" s="55"/>
      <c r="G10829" s="55"/>
      <c r="H10829" s="55"/>
    </row>
    <row r="10830" spans="1:9" x14ac:dyDescent="0.3">
      <c r="A10830" s="55"/>
      <c r="B10830" s="399"/>
      <c r="C10830" s="55"/>
      <c r="D10830" s="86"/>
      <c r="E10830" s="55"/>
      <c r="F10830" s="55"/>
      <c r="G10830" s="55"/>
      <c r="H10830" s="55"/>
    </row>
    <row r="10831" spans="1:9" x14ac:dyDescent="0.3">
      <c r="A10831" s="163"/>
      <c r="B10831" s="163"/>
      <c r="C10831" s="163"/>
      <c r="D10831" s="163"/>
      <c r="E10831" s="163"/>
      <c r="F10831" s="163"/>
      <c r="G10831" s="163"/>
      <c r="H10831" s="163"/>
    </row>
    <row r="10832" spans="1:9" x14ac:dyDescent="0.3">
      <c r="A10832" s="163"/>
      <c r="B10832" s="163"/>
      <c r="C10832" s="163"/>
      <c r="D10832" s="163"/>
      <c r="E10832" s="163"/>
      <c r="F10832" s="163"/>
      <c r="G10832" s="163"/>
      <c r="H10832" s="163"/>
    </row>
    <row r="10833" spans="1:8" x14ac:dyDescent="0.3">
      <c r="A10833" s="163"/>
      <c r="B10833" s="163"/>
      <c r="C10833" s="163"/>
      <c r="D10833" s="163"/>
      <c r="E10833" s="163"/>
      <c r="F10833" s="163"/>
      <c r="G10833" s="163"/>
      <c r="H10833" s="163"/>
    </row>
    <row r="10834" spans="1:8" x14ac:dyDescent="0.3">
      <c r="A10834" s="163"/>
      <c r="B10834" s="163"/>
      <c r="C10834" s="163"/>
      <c r="D10834" s="163"/>
      <c r="E10834" s="163"/>
      <c r="F10834" s="163"/>
      <c r="G10834" s="163"/>
      <c r="H10834" s="163"/>
    </row>
    <row r="10835" spans="1:8" x14ac:dyDescent="0.3">
      <c r="A10835" s="163"/>
      <c r="B10835" s="163"/>
      <c r="C10835" s="163"/>
      <c r="D10835" s="163"/>
      <c r="E10835" s="163"/>
      <c r="F10835" s="163"/>
      <c r="G10835" s="163"/>
      <c r="H10835" s="163"/>
    </row>
    <row r="10836" spans="1:8" x14ac:dyDescent="0.3">
      <c r="A10836" s="258"/>
      <c r="B10836" s="257"/>
      <c r="C10836" s="258"/>
      <c r="D10836" s="86"/>
      <c r="E10836" s="55"/>
      <c r="F10836" s="259"/>
      <c r="G10836" s="259"/>
      <c r="H10836" s="258"/>
    </row>
    <row r="10837" spans="1:8" x14ac:dyDescent="0.3">
      <c r="A10837" s="55"/>
      <c r="B10837" s="84"/>
      <c r="C10837" s="55"/>
      <c r="D10837" s="55"/>
      <c r="E10837" s="55"/>
      <c r="F10837" s="55"/>
      <c r="G10837" s="55"/>
      <c r="H10837" s="55"/>
    </row>
    <row r="10838" spans="1:8" x14ac:dyDescent="0.3">
      <c r="A10838" s="163"/>
      <c r="B10838" s="163"/>
      <c r="C10838" s="163"/>
      <c r="D10838" s="163"/>
      <c r="E10838" s="163"/>
      <c r="F10838" s="163"/>
      <c r="G10838" s="163"/>
      <c r="H10838" s="163"/>
    </row>
    <row r="10839" spans="1:8" x14ac:dyDescent="0.3">
      <c r="A10839" s="55"/>
      <c r="B10839" s="257"/>
      <c r="C10839" s="55"/>
      <c r="D10839" s="55"/>
      <c r="E10839" s="55"/>
      <c r="F10839" s="55"/>
      <c r="G10839" s="55"/>
      <c r="H10839" s="55"/>
    </row>
    <row r="10840" spans="1:8" x14ac:dyDescent="0.3">
      <c r="A10840" s="57"/>
      <c r="B10840" s="84"/>
      <c r="C10840" s="85"/>
      <c r="D10840" s="86"/>
      <c r="E10840" s="87"/>
      <c r="F10840" s="47"/>
      <c r="G10840" s="47"/>
      <c r="H10840" s="47"/>
    </row>
    <row r="10841" spans="1:8" x14ac:dyDescent="0.3">
      <c r="A10841" s="57"/>
      <c r="B10841" s="84"/>
      <c r="C10841" s="85"/>
      <c r="D10841" s="86"/>
      <c r="E10841" s="47"/>
      <c r="F10841" s="47"/>
      <c r="G10841" s="47"/>
      <c r="H10841" s="47"/>
    </row>
    <row r="10842" spans="1:8" x14ac:dyDescent="0.3">
      <c r="A10842" s="55"/>
      <c r="B10842" s="84"/>
      <c r="C10842" s="55"/>
      <c r="D10842" s="86"/>
      <c r="E10842" s="47"/>
      <c r="F10842" s="47"/>
      <c r="G10842" s="47"/>
      <c r="H10842" s="47"/>
    </row>
    <row r="10843" spans="1:8" x14ac:dyDescent="0.3">
      <c r="A10843" s="27"/>
      <c r="B10843" s="28"/>
      <c r="C10843" s="24"/>
      <c r="D10843" s="25"/>
      <c r="E10843" s="25"/>
      <c r="F10843" s="28"/>
      <c r="G10843" s="28"/>
      <c r="H10843" s="32"/>
    </row>
    <row r="10844" spans="1:8" ht="15.6" x14ac:dyDescent="0.3">
      <c r="A10844" s="448" t="s">
        <v>45</v>
      </c>
      <c r="B10844" s="449"/>
      <c r="C10844" s="24"/>
      <c r="D10844" s="25"/>
      <c r="E10844" s="25"/>
      <c r="F10844" s="447" t="s">
        <v>46</v>
      </c>
      <c r="G10844" s="447"/>
      <c r="H10844" s="66">
        <v>4920</v>
      </c>
    </row>
    <row r="10845" spans="1:8" ht="15.6" x14ac:dyDescent="0.3">
      <c r="A10845" s="497" t="s">
        <v>1801</v>
      </c>
      <c r="B10845" s="498"/>
      <c r="C10845" s="498"/>
      <c r="D10845" s="498"/>
      <c r="E10845" s="498"/>
      <c r="F10845" s="447" t="s">
        <v>47</v>
      </c>
      <c r="G10845" s="447"/>
      <c r="H10845" s="66">
        <f>H10844*9%</f>
        <v>442.8</v>
      </c>
    </row>
    <row r="10846" spans="1:8" ht="15.6" x14ac:dyDescent="0.3">
      <c r="A10846" s="27"/>
      <c r="B10846" s="28"/>
      <c r="C10846" s="24"/>
      <c r="D10846" s="25"/>
      <c r="E10846" s="25"/>
      <c r="F10846" s="447" t="s">
        <v>48</v>
      </c>
      <c r="G10846" s="447"/>
      <c r="H10846" s="66">
        <f>H10845</f>
        <v>442.8</v>
      </c>
    </row>
    <row r="10847" spans="1:8" ht="15.6" x14ac:dyDescent="0.3">
      <c r="A10847" s="64" t="s">
        <v>49</v>
      </c>
      <c r="B10847" s="65"/>
      <c r="C10847" s="24"/>
      <c r="D10847" s="25"/>
      <c r="E10847" s="25"/>
      <c r="F10847" s="447" t="s">
        <v>50</v>
      </c>
      <c r="G10847" s="447"/>
      <c r="H10847" s="66">
        <v>5806</v>
      </c>
    </row>
    <row r="10848" spans="1:8" ht="27" x14ac:dyDescent="0.3">
      <c r="A10848" s="68" t="s">
        <v>22</v>
      </c>
      <c r="B10848" s="30" t="s">
        <v>51</v>
      </c>
      <c r="C10848" s="70" t="s">
        <v>24</v>
      </c>
      <c r="D10848" s="31" t="s">
        <v>25</v>
      </c>
      <c r="E10848" s="450" t="s">
        <v>52</v>
      </c>
      <c r="F10848" s="450"/>
      <c r="G10848" s="28"/>
      <c r="H10848" s="32"/>
    </row>
    <row r="10849" spans="1:8" x14ac:dyDescent="0.3">
      <c r="A10849" s="72">
        <v>0.18</v>
      </c>
      <c r="B10849" s="73">
        <f>H10844</f>
        <v>4920</v>
      </c>
      <c r="C10849" s="91">
        <f>H10845</f>
        <v>442.8</v>
      </c>
      <c r="D10849" s="91">
        <f>H10845</f>
        <v>442.8</v>
      </c>
      <c r="E10849" s="506">
        <f>C10849+D10849</f>
        <v>885.6</v>
      </c>
      <c r="F10849" s="507"/>
      <c r="G10849" s="74"/>
      <c r="H10849" s="75"/>
    </row>
    <row r="10850" spans="1:8" x14ac:dyDescent="0.3">
      <c r="A10850" s="508" t="s">
        <v>1802</v>
      </c>
      <c r="B10850" s="509"/>
      <c r="C10850" s="509"/>
      <c r="D10850" s="509"/>
      <c r="E10850" s="453"/>
      <c r="F10850" s="453"/>
      <c r="G10850" s="453"/>
      <c r="H10850" s="454"/>
    </row>
    <row r="10851" spans="1:8" ht="15.6" x14ac:dyDescent="0.3">
      <c r="A10851" s="455" t="s">
        <v>53</v>
      </c>
      <c r="B10851" s="456"/>
      <c r="C10851" s="456"/>
      <c r="D10851" s="457"/>
      <c r="E10851" s="458" t="s">
        <v>54</v>
      </c>
      <c r="F10851" s="459"/>
      <c r="G10851" s="459"/>
      <c r="H10851" s="460"/>
    </row>
    <row r="10852" spans="1:8" x14ac:dyDescent="0.3">
      <c r="A10852" s="461" t="s">
        <v>55</v>
      </c>
      <c r="B10852" s="462"/>
      <c r="C10852" s="462"/>
      <c r="D10852" s="463"/>
      <c r="E10852" s="39"/>
      <c r="F10852" s="28"/>
      <c r="G10852" s="28"/>
      <c r="H10852" s="32"/>
    </row>
    <row r="10853" spans="1:8" x14ac:dyDescent="0.3">
      <c r="A10853" s="461" t="s">
        <v>56</v>
      </c>
      <c r="B10853" s="462"/>
      <c r="C10853" s="462"/>
      <c r="D10853" s="463"/>
      <c r="E10853" s="39"/>
      <c r="F10853" s="28"/>
      <c r="G10853" s="28"/>
      <c r="H10853" s="32"/>
    </row>
    <row r="10854" spans="1:8" x14ac:dyDescent="0.3">
      <c r="A10854" s="461" t="s">
        <v>57</v>
      </c>
      <c r="B10854" s="462"/>
      <c r="C10854" s="462"/>
      <c r="D10854" s="463"/>
      <c r="E10854" s="39"/>
      <c r="F10854" s="28"/>
      <c r="G10854" s="28"/>
      <c r="H10854" s="32"/>
    </row>
    <row r="10855" spans="1:8" ht="15.6" x14ac:dyDescent="0.3">
      <c r="A10855" s="464" t="s">
        <v>58</v>
      </c>
      <c r="B10855" s="465"/>
      <c r="C10855" s="465"/>
      <c r="D10855" s="465"/>
      <c r="E10855" s="466" t="s">
        <v>59</v>
      </c>
      <c r="F10855" s="467"/>
      <c r="G10855" s="467"/>
      <c r="H10855" s="468"/>
    </row>
    <row r="10858" spans="1:8" ht="44.4" x14ac:dyDescent="0.7">
      <c r="A10858" s="469" t="s">
        <v>0</v>
      </c>
      <c r="B10858" s="470"/>
      <c r="C10858" s="470"/>
      <c r="D10858" s="470"/>
      <c r="E10858" s="471" t="s">
        <v>1</v>
      </c>
      <c r="F10858" s="472"/>
      <c r="G10858" s="472"/>
      <c r="H10858" s="473"/>
    </row>
    <row r="10859" spans="1:8" ht="20.399999999999999" x14ac:dyDescent="0.35">
      <c r="A10859" s="1"/>
      <c r="B10859" s="476" t="s">
        <v>2</v>
      </c>
      <c r="C10859" s="476"/>
      <c r="D10859" s="476"/>
      <c r="E10859" s="474"/>
      <c r="F10859" s="474"/>
      <c r="G10859" s="474"/>
      <c r="H10859" s="475"/>
    </row>
    <row r="10860" spans="1:8" x14ac:dyDescent="0.3">
      <c r="A10860" s="477" t="s">
        <v>3</v>
      </c>
      <c r="B10860" s="478"/>
      <c r="C10860" s="479" t="s">
        <v>4</v>
      </c>
      <c r="D10860" s="479"/>
      <c r="E10860" s="480" t="s">
        <v>5</v>
      </c>
      <c r="F10860" s="480"/>
      <c r="G10860" s="480"/>
      <c r="H10860" s="480"/>
    </row>
    <row r="10861" spans="1:8" ht="15.6" x14ac:dyDescent="0.3">
      <c r="A10861" s="4" t="s">
        <v>6</v>
      </c>
      <c r="B10861" s="5"/>
      <c r="C10861" s="481" t="s">
        <v>7</v>
      </c>
      <c r="D10861" s="481"/>
      <c r="E10861" s="482">
        <v>235</v>
      </c>
      <c r="F10861" s="482"/>
      <c r="G10861" s="7" t="s">
        <v>8</v>
      </c>
      <c r="H10861" s="401" t="s">
        <v>1778</v>
      </c>
    </row>
    <row r="10862" spans="1:8" ht="15.6" x14ac:dyDescent="0.3">
      <c r="A10862" s="551" t="s">
        <v>458</v>
      </c>
      <c r="B10862" s="552"/>
      <c r="C10862" s="481" t="s">
        <v>10</v>
      </c>
      <c r="D10862" s="481"/>
      <c r="E10862" s="482">
        <v>65</v>
      </c>
      <c r="F10862" s="482"/>
      <c r="G10862" s="7" t="s">
        <v>8</v>
      </c>
      <c r="H10862" s="401" t="s">
        <v>1803</v>
      </c>
    </row>
    <row r="10863" spans="1:8" ht="24.75" customHeight="1" x14ac:dyDescent="0.3">
      <c r="A10863" s="560" t="s">
        <v>459</v>
      </c>
      <c r="B10863" s="561"/>
      <c r="C10863" s="483" t="s">
        <v>12</v>
      </c>
      <c r="D10863" s="484"/>
      <c r="E10863" s="562" t="s">
        <v>466</v>
      </c>
      <c r="F10863" s="563"/>
      <c r="G10863" s="400" t="s">
        <v>8</v>
      </c>
      <c r="H10863" s="401" t="s">
        <v>465</v>
      </c>
    </row>
    <row r="10864" spans="1:8" ht="15.6" x14ac:dyDescent="0.3">
      <c r="A10864" s="253" t="s">
        <v>460</v>
      </c>
      <c r="B10864" s="254"/>
      <c r="C10864" s="481" t="s">
        <v>15</v>
      </c>
      <c r="D10864" s="481"/>
      <c r="E10864" s="489" t="s">
        <v>461</v>
      </c>
      <c r="F10864" s="490"/>
      <c r="G10864" s="490"/>
      <c r="H10864" s="491"/>
    </row>
    <row r="10865" spans="1:8" ht="15.6" x14ac:dyDescent="0.3">
      <c r="A10865" s="255" t="s">
        <v>1805</v>
      </c>
      <c r="B10865" s="256"/>
      <c r="C10865" s="489"/>
      <c r="D10865" s="490"/>
      <c r="E10865" s="490"/>
      <c r="F10865" s="490"/>
      <c r="G10865" s="490"/>
      <c r="H10865" s="491"/>
    </row>
    <row r="10866" spans="1:8" ht="15" x14ac:dyDescent="0.3">
      <c r="A10866" s="492" t="s">
        <v>17</v>
      </c>
      <c r="B10866" s="494" t="s">
        <v>18</v>
      </c>
      <c r="C10866" s="494" t="s">
        <v>19</v>
      </c>
      <c r="D10866" s="495" t="s">
        <v>20</v>
      </c>
      <c r="E10866" s="494" t="s">
        <v>21</v>
      </c>
      <c r="F10866" s="494" t="s">
        <v>22</v>
      </c>
      <c r="G10866" s="494"/>
      <c r="H10866" s="492" t="s">
        <v>23</v>
      </c>
    </row>
    <row r="10867" spans="1:8" ht="27.6" x14ac:dyDescent="0.3">
      <c r="A10867" s="492"/>
      <c r="B10867" s="494"/>
      <c r="C10867" s="494"/>
      <c r="D10867" s="505"/>
      <c r="E10867" s="494"/>
      <c r="F10867" s="53" t="s">
        <v>24</v>
      </c>
      <c r="G10867" s="53" t="s">
        <v>25</v>
      </c>
      <c r="H10867" s="492"/>
    </row>
    <row r="10868" spans="1:8" x14ac:dyDescent="0.3">
      <c r="A10868" s="55">
        <v>1</v>
      </c>
      <c r="B10868" s="84" t="s">
        <v>1806</v>
      </c>
      <c r="C10868" s="55">
        <v>1</v>
      </c>
      <c r="D10868" s="297">
        <v>998719</v>
      </c>
      <c r="E10868" s="55">
        <v>6000</v>
      </c>
      <c r="F10868" s="55">
        <f>E10868*C10868*9%</f>
        <v>540</v>
      </c>
      <c r="G10868" s="55">
        <f>F10868</f>
        <v>540</v>
      </c>
      <c r="H10868" s="55">
        <f>G10868+F10868+E10868*C10868</f>
        <v>7080</v>
      </c>
    </row>
    <row r="10869" spans="1:8" x14ac:dyDescent="0.3">
      <c r="A10869" s="55"/>
      <c r="B10869" s="84"/>
      <c r="C10869" s="55"/>
      <c r="D10869" s="297"/>
      <c r="E10869" s="55"/>
      <c r="F10869" s="55"/>
      <c r="G10869" s="55"/>
      <c r="H10869" s="55"/>
    </row>
    <row r="10870" spans="1:8" x14ac:dyDescent="0.3">
      <c r="A10870" s="55"/>
      <c r="B10870" s="84"/>
      <c r="C10870" s="55"/>
      <c r="D10870" s="86"/>
      <c r="E10870" s="55"/>
      <c r="F10870" s="55"/>
      <c r="G10870" s="55"/>
      <c r="H10870" s="55"/>
    </row>
    <row r="10871" spans="1:8" x14ac:dyDescent="0.3">
      <c r="A10871" s="55"/>
      <c r="B10871" s="84"/>
      <c r="C10871" s="55"/>
      <c r="D10871" s="86"/>
      <c r="E10871" s="55"/>
      <c r="F10871" s="55"/>
      <c r="G10871" s="55"/>
      <c r="H10871" s="55"/>
    </row>
    <row r="10872" spans="1:8" x14ac:dyDescent="0.3">
      <c r="A10872" s="55"/>
      <c r="B10872" s="84"/>
      <c r="C10872" s="55"/>
      <c r="D10872" s="86"/>
      <c r="E10872" s="55"/>
      <c r="F10872" s="55"/>
      <c r="G10872" s="55"/>
      <c r="H10872" s="55"/>
    </row>
    <row r="10873" spans="1:8" x14ac:dyDescent="0.3">
      <c r="A10873" s="55"/>
      <c r="B10873" s="84"/>
      <c r="C10873" s="55"/>
      <c r="D10873" s="86"/>
      <c r="E10873" s="55"/>
      <c r="F10873" s="55"/>
      <c r="G10873" s="55"/>
      <c r="H10873" s="55"/>
    </row>
    <row r="10874" spans="1:8" x14ac:dyDescent="0.3">
      <c r="A10874" s="55"/>
      <c r="B10874" s="84"/>
      <c r="C10874" s="55"/>
      <c r="D10874" s="86"/>
      <c r="E10874" s="55"/>
      <c r="F10874" s="55"/>
      <c r="G10874" s="55"/>
      <c r="H10874" s="55"/>
    </row>
    <row r="10875" spans="1:8" x14ac:dyDescent="0.3">
      <c r="A10875" s="55"/>
      <c r="B10875" s="84"/>
      <c r="C10875" s="55"/>
      <c r="D10875" s="86"/>
      <c r="E10875" s="55"/>
      <c r="F10875" s="55"/>
      <c r="G10875" s="55"/>
      <c r="H10875" s="55"/>
    </row>
    <row r="10876" spans="1:8" x14ac:dyDescent="0.3">
      <c r="A10876" s="55"/>
      <c r="B10876" s="84"/>
      <c r="C10876" s="55"/>
      <c r="D10876" s="86"/>
      <c r="E10876" s="55"/>
      <c r="F10876" s="55"/>
      <c r="G10876" s="55"/>
      <c r="H10876" s="55"/>
    </row>
    <row r="10877" spans="1:8" x14ac:dyDescent="0.3">
      <c r="A10877" s="55"/>
      <c r="B10877" s="399"/>
      <c r="C10877" s="55"/>
      <c r="D10877" s="86"/>
      <c r="E10877" s="55"/>
      <c r="F10877" s="55"/>
      <c r="G10877" s="55"/>
      <c r="H10877" s="55"/>
    </row>
    <row r="10878" spans="1:8" x14ac:dyDescent="0.3">
      <c r="A10878" s="163"/>
      <c r="B10878" s="163"/>
      <c r="C10878" s="163"/>
      <c r="D10878" s="163"/>
      <c r="E10878" s="163"/>
      <c r="F10878" s="163"/>
      <c r="G10878" s="163"/>
      <c r="H10878" s="163"/>
    </row>
    <row r="10879" spans="1:8" x14ac:dyDescent="0.3">
      <c r="A10879" s="163"/>
      <c r="B10879" s="163"/>
      <c r="C10879" s="163"/>
      <c r="D10879" s="163"/>
      <c r="E10879" s="163"/>
      <c r="F10879" s="163"/>
      <c r="G10879" s="163"/>
      <c r="H10879" s="163"/>
    </row>
    <row r="10880" spans="1:8" x14ac:dyDescent="0.3">
      <c r="A10880" s="163"/>
      <c r="B10880" s="163"/>
      <c r="C10880" s="163"/>
      <c r="D10880" s="163"/>
      <c r="E10880" s="163"/>
      <c r="F10880" s="163"/>
      <c r="G10880" s="163"/>
      <c r="H10880" s="163"/>
    </row>
    <row r="10881" spans="1:8" x14ac:dyDescent="0.3">
      <c r="A10881" s="163"/>
      <c r="B10881" s="163"/>
      <c r="C10881" s="163"/>
      <c r="D10881" s="163"/>
      <c r="E10881" s="163"/>
      <c r="F10881" s="163"/>
      <c r="G10881" s="163"/>
      <c r="H10881" s="163"/>
    </row>
    <row r="10882" spans="1:8" x14ac:dyDescent="0.3">
      <c r="A10882" s="163"/>
      <c r="B10882" s="163"/>
      <c r="C10882" s="163"/>
      <c r="D10882" s="163"/>
      <c r="E10882" s="163"/>
      <c r="F10882" s="163"/>
      <c r="G10882" s="163"/>
      <c r="H10882" s="163"/>
    </row>
    <row r="10883" spans="1:8" x14ac:dyDescent="0.3">
      <c r="A10883" s="258"/>
      <c r="B10883" s="257"/>
      <c r="C10883" s="258"/>
      <c r="D10883" s="86"/>
      <c r="E10883" s="55"/>
      <c r="F10883" s="259"/>
      <c r="G10883" s="259"/>
      <c r="H10883" s="258"/>
    </row>
    <row r="10884" spans="1:8" x14ac:dyDescent="0.3">
      <c r="A10884" s="55"/>
      <c r="B10884" s="84"/>
      <c r="C10884" s="55"/>
      <c r="D10884" s="55"/>
      <c r="E10884" s="55"/>
      <c r="F10884" s="55"/>
      <c r="G10884" s="55"/>
      <c r="H10884" s="55"/>
    </row>
    <row r="10885" spans="1:8" x14ac:dyDescent="0.3">
      <c r="A10885" s="163"/>
      <c r="B10885" s="163"/>
      <c r="C10885" s="163"/>
      <c r="D10885" s="163"/>
      <c r="E10885" s="163"/>
      <c r="F10885" s="163"/>
      <c r="G10885" s="163"/>
      <c r="H10885" s="163"/>
    </row>
    <row r="10886" spans="1:8" x14ac:dyDescent="0.3">
      <c r="A10886" s="55"/>
      <c r="B10886" s="257"/>
      <c r="C10886" s="55"/>
      <c r="D10886" s="55"/>
      <c r="E10886" s="55"/>
      <c r="F10886" s="55"/>
      <c r="G10886" s="55"/>
      <c r="H10886" s="55"/>
    </row>
    <row r="10887" spans="1:8" x14ac:dyDescent="0.3">
      <c r="A10887" s="57"/>
      <c r="B10887" s="84"/>
      <c r="C10887" s="85"/>
      <c r="D10887" s="86"/>
      <c r="E10887" s="87"/>
      <c r="F10887" s="47"/>
      <c r="G10887" s="47"/>
      <c r="H10887" s="47"/>
    </row>
    <row r="10888" spans="1:8" x14ac:dyDescent="0.3">
      <c r="A10888" s="57"/>
      <c r="B10888" s="84"/>
      <c r="C10888" s="85"/>
      <c r="D10888" s="86"/>
      <c r="E10888" s="47"/>
      <c r="F10888" s="47"/>
      <c r="G10888" s="47"/>
      <c r="H10888" s="47"/>
    </row>
    <row r="10889" spans="1:8" x14ac:dyDescent="0.3">
      <c r="A10889" s="55"/>
      <c r="B10889" s="84"/>
      <c r="C10889" s="55"/>
      <c r="D10889" s="86"/>
      <c r="E10889" s="47"/>
      <c r="F10889" s="47"/>
      <c r="G10889" s="47"/>
      <c r="H10889" s="47"/>
    </row>
    <row r="10890" spans="1:8" x14ac:dyDescent="0.3">
      <c r="A10890" s="27"/>
      <c r="B10890" s="28"/>
      <c r="C10890" s="24"/>
      <c r="D10890" s="25"/>
      <c r="E10890" s="25"/>
      <c r="F10890" s="28"/>
      <c r="G10890" s="28"/>
      <c r="H10890" s="32"/>
    </row>
    <row r="10891" spans="1:8" ht="15.6" x14ac:dyDescent="0.3">
      <c r="A10891" s="448" t="s">
        <v>45</v>
      </c>
      <c r="B10891" s="449"/>
      <c r="C10891" s="24"/>
      <c r="D10891" s="25"/>
      <c r="E10891" s="25"/>
      <c r="F10891" s="447" t="s">
        <v>46</v>
      </c>
      <c r="G10891" s="447"/>
      <c r="H10891" s="66">
        <v>6000</v>
      </c>
    </row>
    <row r="10892" spans="1:8" ht="15.6" x14ac:dyDescent="0.3">
      <c r="A10892" s="497" t="s">
        <v>1807</v>
      </c>
      <c r="B10892" s="498"/>
      <c r="C10892" s="498"/>
      <c r="D10892" s="498"/>
      <c r="E10892" s="498"/>
      <c r="F10892" s="447" t="s">
        <v>47</v>
      </c>
      <c r="G10892" s="447"/>
      <c r="H10892" s="66">
        <f>H10891*9%</f>
        <v>540</v>
      </c>
    </row>
    <row r="10893" spans="1:8" ht="15.6" x14ac:dyDescent="0.3">
      <c r="A10893" s="27"/>
      <c r="B10893" s="28"/>
      <c r="C10893" s="24"/>
      <c r="D10893" s="25"/>
      <c r="E10893" s="25"/>
      <c r="F10893" s="447" t="s">
        <v>48</v>
      </c>
      <c r="G10893" s="447"/>
      <c r="H10893" s="66">
        <f>H10892</f>
        <v>540</v>
      </c>
    </row>
    <row r="10894" spans="1:8" ht="15.6" x14ac:dyDescent="0.3">
      <c r="A10894" s="64" t="s">
        <v>49</v>
      </c>
      <c r="B10894" s="65"/>
      <c r="C10894" s="24"/>
      <c r="D10894" s="25"/>
      <c r="E10894" s="25"/>
      <c r="F10894" s="447" t="s">
        <v>50</v>
      </c>
      <c r="G10894" s="447"/>
      <c r="H10894" s="66">
        <v>7080</v>
      </c>
    </row>
    <row r="10895" spans="1:8" ht="27" x14ac:dyDescent="0.3">
      <c r="A10895" s="68" t="s">
        <v>22</v>
      </c>
      <c r="B10895" s="30" t="s">
        <v>51</v>
      </c>
      <c r="C10895" s="70" t="s">
        <v>24</v>
      </c>
      <c r="D10895" s="31" t="s">
        <v>25</v>
      </c>
      <c r="E10895" s="450" t="s">
        <v>52</v>
      </c>
      <c r="F10895" s="450"/>
      <c r="G10895" s="28"/>
      <c r="H10895" s="32"/>
    </row>
    <row r="10896" spans="1:8" x14ac:dyDescent="0.3">
      <c r="A10896" s="72">
        <v>0.18</v>
      </c>
      <c r="B10896" s="73">
        <f>H10891</f>
        <v>6000</v>
      </c>
      <c r="C10896" s="91">
        <f>H10892</f>
        <v>540</v>
      </c>
      <c r="D10896" s="91">
        <f>H10892</f>
        <v>540</v>
      </c>
      <c r="E10896" s="506">
        <f>C10896+D10896</f>
        <v>1080</v>
      </c>
      <c r="F10896" s="507"/>
      <c r="G10896" s="74"/>
      <c r="H10896" s="75"/>
    </row>
    <row r="10897" spans="1:8" x14ac:dyDescent="0.3">
      <c r="A10897" s="508" t="s">
        <v>1808</v>
      </c>
      <c r="B10897" s="509"/>
      <c r="C10897" s="509"/>
      <c r="D10897" s="509"/>
      <c r="E10897" s="453"/>
      <c r="F10897" s="453"/>
      <c r="G10897" s="453"/>
      <c r="H10897" s="454"/>
    </row>
    <row r="10898" spans="1:8" ht="15.6" x14ac:dyDescent="0.3">
      <c r="A10898" s="455" t="s">
        <v>53</v>
      </c>
      <c r="B10898" s="456"/>
      <c r="C10898" s="456"/>
      <c r="D10898" s="457"/>
      <c r="E10898" s="458" t="s">
        <v>54</v>
      </c>
      <c r="F10898" s="459"/>
      <c r="G10898" s="459"/>
      <c r="H10898" s="460"/>
    </row>
    <row r="10899" spans="1:8" x14ac:dyDescent="0.3">
      <c r="A10899" s="461" t="s">
        <v>55</v>
      </c>
      <c r="B10899" s="462"/>
      <c r="C10899" s="462"/>
      <c r="D10899" s="463"/>
      <c r="E10899" s="39"/>
      <c r="F10899" s="28"/>
      <c r="G10899" s="28"/>
      <c r="H10899" s="32"/>
    </row>
    <row r="10900" spans="1:8" x14ac:dyDescent="0.3">
      <c r="A10900" s="461" t="s">
        <v>56</v>
      </c>
      <c r="B10900" s="462"/>
      <c r="C10900" s="462"/>
      <c r="D10900" s="463"/>
      <c r="E10900" s="39"/>
      <c r="F10900" s="28"/>
      <c r="G10900" s="28"/>
      <c r="H10900" s="32"/>
    </row>
    <row r="10901" spans="1:8" x14ac:dyDescent="0.3">
      <c r="A10901" s="461" t="s">
        <v>57</v>
      </c>
      <c r="B10901" s="462"/>
      <c r="C10901" s="462"/>
      <c r="D10901" s="463"/>
      <c r="E10901" s="39"/>
      <c r="F10901" s="28"/>
      <c r="G10901" s="28"/>
      <c r="H10901" s="32"/>
    </row>
    <row r="10902" spans="1:8" ht="15.6" x14ac:dyDescent="0.3">
      <c r="A10902" s="464" t="s">
        <v>58</v>
      </c>
      <c r="B10902" s="465"/>
      <c r="C10902" s="465"/>
      <c r="D10902" s="465"/>
      <c r="E10902" s="466" t="s">
        <v>59</v>
      </c>
      <c r="F10902" s="467"/>
      <c r="G10902" s="467"/>
      <c r="H10902" s="468"/>
    </row>
    <row r="10906" spans="1:8" ht="44.4" x14ac:dyDescent="0.7">
      <c r="A10906" s="469" t="s">
        <v>0</v>
      </c>
      <c r="B10906" s="470"/>
      <c r="C10906" s="470"/>
      <c r="D10906" s="470"/>
      <c r="E10906" s="471" t="s">
        <v>1</v>
      </c>
      <c r="F10906" s="472"/>
      <c r="G10906" s="472"/>
      <c r="H10906" s="473"/>
    </row>
    <row r="10907" spans="1:8" ht="20.399999999999999" x14ac:dyDescent="0.35">
      <c r="A10907" s="1"/>
      <c r="B10907" s="476" t="s">
        <v>2</v>
      </c>
      <c r="C10907" s="476"/>
      <c r="D10907" s="476"/>
      <c r="E10907" s="474"/>
      <c r="F10907" s="474"/>
      <c r="G10907" s="474"/>
      <c r="H10907" s="475"/>
    </row>
    <row r="10908" spans="1:8" x14ac:dyDescent="0.3">
      <c r="A10908" s="477" t="s">
        <v>3</v>
      </c>
      <c r="B10908" s="478"/>
      <c r="C10908" s="479" t="s">
        <v>4</v>
      </c>
      <c r="D10908" s="479"/>
      <c r="E10908" s="480" t="s">
        <v>5</v>
      </c>
      <c r="F10908" s="480"/>
      <c r="G10908" s="480"/>
      <c r="H10908" s="480"/>
    </row>
    <row r="10909" spans="1:8" ht="15.6" x14ac:dyDescent="0.3">
      <c r="A10909" s="4" t="s">
        <v>6</v>
      </c>
      <c r="B10909" s="5"/>
      <c r="C10909" s="481" t="s">
        <v>7</v>
      </c>
      <c r="D10909" s="481"/>
      <c r="E10909" s="482">
        <v>236</v>
      </c>
      <c r="F10909" s="482"/>
      <c r="G10909" s="7" t="s">
        <v>8</v>
      </c>
      <c r="H10909" s="401" t="s">
        <v>1778</v>
      </c>
    </row>
    <row r="10910" spans="1:8" ht="15.6" x14ac:dyDescent="0.3">
      <c r="A10910" s="551" t="s">
        <v>458</v>
      </c>
      <c r="B10910" s="552"/>
      <c r="C10910" s="481" t="s">
        <v>10</v>
      </c>
      <c r="D10910" s="481"/>
      <c r="E10910" s="482">
        <v>31</v>
      </c>
      <c r="F10910" s="482"/>
      <c r="G10910" s="7" t="s">
        <v>8</v>
      </c>
      <c r="H10910" s="401" t="s">
        <v>1529</v>
      </c>
    </row>
    <row r="10911" spans="1:8" ht="24.75" customHeight="1" x14ac:dyDescent="0.3">
      <c r="A10911" s="560" t="s">
        <v>459</v>
      </c>
      <c r="B10911" s="561"/>
      <c r="C10911" s="483" t="s">
        <v>12</v>
      </c>
      <c r="D10911" s="484"/>
      <c r="E10911" s="562" t="s">
        <v>466</v>
      </c>
      <c r="F10911" s="563"/>
      <c r="G10911" s="400" t="s">
        <v>8</v>
      </c>
      <c r="H10911" s="401" t="s">
        <v>465</v>
      </c>
    </row>
    <row r="10912" spans="1:8" ht="15.6" x14ac:dyDescent="0.3">
      <c r="A10912" s="253" t="s">
        <v>460</v>
      </c>
      <c r="B10912" s="254"/>
      <c r="C10912" s="481" t="s">
        <v>15</v>
      </c>
      <c r="D10912" s="481"/>
      <c r="E10912" s="489" t="s">
        <v>461</v>
      </c>
      <c r="F10912" s="490"/>
      <c r="G10912" s="490"/>
      <c r="H10912" s="491"/>
    </row>
    <row r="10913" spans="1:8" ht="15.6" x14ac:dyDescent="0.3">
      <c r="A10913" s="255" t="s">
        <v>1805</v>
      </c>
      <c r="B10913" s="256"/>
      <c r="C10913" s="489"/>
      <c r="D10913" s="490"/>
      <c r="E10913" s="490"/>
      <c r="F10913" s="490"/>
      <c r="G10913" s="490"/>
      <c r="H10913" s="491"/>
    </row>
    <row r="10914" spans="1:8" ht="15" x14ac:dyDescent="0.3">
      <c r="A10914" s="492" t="s">
        <v>17</v>
      </c>
      <c r="B10914" s="494" t="s">
        <v>18</v>
      </c>
      <c r="C10914" s="494" t="s">
        <v>19</v>
      </c>
      <c r="D10914" s="495" t="s">
        <v>20</v>
      </c>
      <c r="E10914" s="494" t="s">
        <v>21</v>
      </c>
      <c r="F10914" s="494" t="s">
        <v>22</v>
      </c>
      <c r="G10914" s="494"/>
      <c r="H10914" s="492" t="s">
        <v>23</v>
      </c>
    </row>
    <row r="10915" spans="1:8" ht="27.6" x14ac:dyDescent="0.3">
      <c r="A10915" s="492"/>
      <c r="B10915" s="494"/>
      <c r="C10915" s="494"/>
      <c r="D10915" s="505"/>
      <c r="E10915" s="494"/>
      <c r="F10915" s="53" t="s">
        <v>24</v>
      </c>
      <c r="G10915" s="53" t="s">
        <v>25</v>
      </c>
      <c r="H10915" s="492"/>
    </row>
    <row r="10916" spans="1:8" x14ac:dyDescent="0.3">
      <c r="A10916" s="55">
        <v>1</v>
      </c>
      <c r="B10916" s="84" t="s">
        <v>1809</v>
      </c>
      <c r="C10916" s="55">
        <v>1</v>
      </c>
      <c r="D10916" s="297">
        <v>998719</v>
      </c>
      <c r="E10916" s="55">
        <v>1000</v>
      </c>
      <c r="F10916" s="55">
        <f>E10916*C10916*9%</f>
        <v>90</v>
      </c>
      <c r="G10916" s="55">
        <f>F10916</f>
        <v>90</v>
      </c>
      <c r="H10916" s="55">
        <f>G10916+F10916+E10916*C10916</f>
        <v>1180</v>
      </c>
    </row>
    <row r="10917" spans="1:8" x14ac:dyDescent="0.3">
      <c r="A10917" s="55"/>
      <c r="B10917" s="84"/>
      <c r="C10917" s="55"/>
      <c r="D10917" s="297"/>
      <c r="E10917" s="55"/>
      <c r="F10917" s="55"/>
      <c r="G10917" s="55"/>
      <c r="H10917" s="55"/>
    </row>
    <row r="10918" spans="1:8" x14ac:dyDescent="0.3">
      <c r="A10918" s="55"/>
      <c r="B10918" s="84"/>
      <c r="C10918" s="55"/>
      <c r="D10918" s="86"/>
      <c r="E10918" s="55"/>
      <c r="F10918" s="55"/>
      <c r="G10918" s="55"/>
      <c r="H10918" s="55"/>
    </row>
    <row r="10919" spans="1:8" x14ac:dyDescent="0.3">
      <c r="A10919" s="55"/>
      <c r="B10919" s="84"/>
      <c r="C10919" s="55"/>
      <c r="D10919" s="86"/>
      <c r="E10919" s="55"/>
      <c r="F10919" s="55"/>
      <c r="G10919" s="55"/>
      <c r="H10919" s="55"/>
    </row>
    <row r="10920" spans="1:8" x14ac:dyDescent="0.3">
      <c r="A10920" s="55"/>
      <c r="B10920" s="84"/>
      <c r="C10920" s="55"/>
      <c r="D10920" s="86"/>
      <c r="E10920" s="55"/>
      <c r="F10920" s="55"/>
      <c r="G10920" s="55"/>
      <c r="H10920" s="55"/>
    </row>
    <row r="10921" spans="1:8" x14ac:dyDescent="0.3">
      <c r="A10921" s="55"/>
      <c r="B10921" s="84"/>
      <c r="C10921" s="55"/>
      <c r="D10921" s="86"/>
      <c r="E10921" s="55"/>
      <c r="F10921" s="55"/>
      <c r="G10921" s="55"/>
      <c r="H10921" s="55"/>
    </row>
    <row r="10922" spans="1:8" x14ac:dyDescent="0.3">
      <c r="A10922" s="55"/>
      <c r="B10922" s="84"/>
      <c r="C10922" s="55"/>
      <c r="D10922" s="86"/>
      <c r="E10922" s="55"/>
      <c r="F10922" s="55"/>
      <c r="G10922" s="55"/>
      <c r="H10922" s="55"/>
    </row>
    <row r="10923" spans="1:8" x14ac:dyDescent="0.3">
      <c r="A10923" s="55"/>
      <c r="B10923" s="84"/>
      <c r="C10923" s="55"/>
      <c r="D10923" s="86"/>
      <c r="E10923" s="55"/>
      <c r="F10923" s="55"/>
      <c r="G10923" s="55"/>
      <c r="H10923" s="55"/>
    </row>
    <row r="10924" spans="1:8" x14ac:dyDescent="0.3">
      <c r="A10924" s="55"/>
      <c r="B10924" s="84"/>
      <c r="C10924" s="55"/>
      <c r="D10924" s="86"/>
      <c r="E10924" s="55"/>
      <c r="F10924" s="55"/>
      <c r="G10924" s="55"/>
      <c r="H10924" s="55"/>
    </row>
    <row r="10925" spans="1:8" x14ac:dyDescent="0.3">
      <c r="A10925" s="55"/>
      <c r="B10925" s="399"/>
      <c r="C10925" s="55"/>
      <c r="D10925" s="86"/>
      <c r="E10925" s="55"/>
      <c r="F10925" s="55"/>
      <c r="G10925" s="55"/>
      <c r="H10925" s="55"/>
    </row>
    <row r="10926" spans="1:8" x14ac:dyDescent="0.3">
      <c r="A10926" s="163"/>
      <c r="B10926" s="163"/>
      <c r="C10926" s="163"/>
      <c r="D10926" s="163"/>
      <c r="E10926" s="163"/>
      <c r="F10926" s="163"/>
      <c r="G10926" s="163"/>
      <c r="H10926" s="163"/>
    </row>
    <row r="10927" spans="1:8" x14ac:dyDescent="0.3">
      <c r="A10927" s="163"/>
      <c r="B10927" s="163"/>
      <c r="C10927" s="163"/>
      <c r="D10927" s="163"/>
      <c r="E10927" s="163"/>
      <c r="F10927" s="163"/>
      <c r="G10927" s="163"/>
      <c r="H10927" s="163"/>
    </row>
    <row r="10928" spans="1:8" x14ac:dyDescent="0.3">
      <c r="A10928" s="163"/>
      <c r="B10928" s="163"/>
      <c r="C10928" s="163"/>
      <c r="D10928" s="163"/>
      <c r="E10928" s="163"/>
      <c r="F10928" s="163"/>
      <c r="G10928" s="163"/>
      <c r="H10928" s="163"/>
    </row>
    <row r="10929" spans="1:8" x14ac:dyDescent="0.3">
      <c r="A10929" s="163"/>
      <c r="B10929" s="163"/>
      <c r="C10929" s="163"/>
      <c r="D10929" s="163"/>
      <c r="E10929" s="163"/>
      <c r="F10929" s="163"/>
      <c r="G10929" s="163"/>
      <c r="H10929" s="163"/>
    </row>
    <row r="10930" spans="1:8" x14ac:dyDescent="0.3">
      <c r="A10930" s="163"/>
      <c r="B10930" s="163"/>
      <c r="C10930" s="163"/>
      <c r="D10930" s="163"/>
      <c r="E10930" s="163"/>
      <c r="F10930" s="163"/>
      <c r="G10930" s="163"/>
      <c r="H10930" s="163"/>
    </row>
    <row r="10931" spans="1:8" x14ac:dyDescent="0.3">
      <c r="A10931" s="258"/>
      <c r="B10931" s="257"/>
      <c r="C10931" s="258"/>
      <c r="D10931" s="86"/>
      <c r="E10931" s="55"/>
      <c r="F10931" s="259"/>
      <c r="G10931" s="259"/>
      <c r="H10931" s="258"/>
    </row>
    <row r="10932" spans="1:8" x14ac:dyDescent="0.3">
      <c r="A10932" s="55"/>
      <c r="B10932" s="84"/>
      <c r="C10932" s="55"/>
      <c r="D10932" s="55"/>
      <c r="E10932" s="55"/>
      <c r="F10932" s="55"/>
      <c r="G10932" s="55"/>
      <c r="H10932" s="55"/>
    </row>
    <row r="10933" spans="1:8" x14ac:dyDescent="0.3">
      <c r="A10933" s="163"/>
      <c r="B10933" s="163"/>
      <c r="C10933" s="163"/>
      <c r="D10933" s="163"/>
      <c r="E10933" s="163"/>
      <c r="F10933" s="163"/>
      <c r="G10933" s="163"/>
      <c r="H10933" s="163"/>
    </row>
    <row r="10934" spans="1:8" x14ac:dyDescent="0.3">
      <c r="A10934" s="55"/>
      <c r="B10934" s="257"/>
      <c r="C10934" s="55"/>
      <c r="D10934" s="55"/>
      <c r="E10934" s="55"/>
      <c r="F10934" s="55"/>
      <c r="G10934" s="55"/>
      <c r="H10934" s="55"/>
    </row>
    <row r="10935" spans="1:8" x14ac:dyDescent="0.3">
      <c r="A10935" s="57"/>
      <c r="B10935" s="84"/>
      <c r="C10935" s="85"/>
      <c r="D10935" s="86"/>
      <c r="E10935" s="87"/>
      <c r="F10935" s="47"/>
      <c r="G10935" s="47"/>
      <c r="H10935" s="47"/>
    </row>
    <row r="10936" spans="1:8" x14ac:dyDescent="0.3">
      <c r="A10936" s="57"/>
      <c r="B10936" s="84"/>
      <c r="C10936" s="85"/>
      <c r="D10936" s="86"/>
      <c r="E10936" s="47"/>
      <c r="F10936" s="47"/>
      <c r="G10936" s="47"/>
      <c r="H10936" s="47"/>
    </row>
    <row r="10937" spans="1:8" x14ac:dyDescent="0.3">
      <c r="A10937" s="55"/>
      <c r="B10937" s="84"/>
      <c r="C10937" s="55"/>
      <c r="D10937" s="86"/>
      <c r="E10937" s="47"/>
      <c r="F10937" s="47"/>
      <c r="G10937" s="47"/>
      <c r="H10937" s="47"/>
    </row>
    <row r="10938" spans="1:8" x14ac:dyDescent="0.3">
      <c r="A10938" s="27"/>
      <c r="B10938" s="28"/>
      <c r="C10938" s="24"/>
      <c r="D10938" s="25"/>
      <c r="E10938" s="25"/>
      <c r="F10938" s="28"/>
      <c r="G10938" s="28"/>
      <c r="H10938" s="32"/>
    </row>
    <row r="10939" spans="1:8" ht="15.6" x14ac:dyDescent="0.3">
      <c r="A10939" s="448" t="s">
        <v>45</v>
      </c>
      <c r="B10939" s="449"/>
      <c r="C10939" s="24"/>
      <c r="D10939" s="25"/>
      <c r="E10939" s="25"/>
      <c r="F10939" s="447" t="s">
        <v>46</v>
      </c>
      <c r="G10939" s="447"/>
      <c r="H10939" s="66">
        <v>1000</v>
      </c>
    </row>
    <row r="10940" spans="1:8" ht="15.6" x14ac:dyDescent="0.3">
      <c r="A10940" s="497" t="s">
        <v>1810</v>
      </c>
      <c r="B10940" s="498"/>
      <c r="C10940" s="498"/>
      <c r="D10940" s="498"/>
      <c r="E10940" s="498"/>
      <c r="F10940" s="447" t="s">
        <v>47</v>
      </c>
      <c r="G10940" s="447"/>
      <c r="H10940" s="66">
        <f>H10939*9%</f>
        <v>90</v>
      </c>
    </row>
    <row r="10941" spans="1:8" ht="15.6" x14ac:dyDescent="0.3">
      <c r="A10941" s="27"/>
      <c r="B10941" s="28"/>
      <c r="C10941" s="24"/>
      <c r="D10941" s="25"/>
      <c r="E10941" s="25"/>
      <c r="F10941" s="447" t="s">
        <v>48</v>
      </c>
      <c r="G10941" s="447"/>
      <c r="H10941" s="66">
        <f>H10940</f>
        <v>90</v>
      </c>
    </row>
    <row r="10942" spans="1:8" ht="15.6" x14ac:dyDescent="0.3">
      <c r="A10942" s="64" t="s">
        <v>49</v>
      </c>
      <c r="B10942" s="65"/>
      <c r="C10942" s="24"/>
      <c r="D10942" s="25"/>
      <c r="E10942" s="25"/>
      <c r="F10942" s="447" t="s">
        <v>50</v>
      </c>
      <c r="G10942" s="447"/>
      <c r="H10942" s="66">
        <v>1180</v>
      </c>
    </row>
    <row r="10943" spans="1:8" ht="27" x14ac:dyDescent="0.3">
      <c r="A10943" s="68" t="s">
        <v>22</v>
      </c>
      <c r="B10943" s="30" t="s">
        <v>51</v>
      </c>
      <c r="C10943" s="70" t="s">
        <v>24</v>
      </c>
      <c r="D10943" s="31" t="s">
        <v>25</v>
      </c>
      <c r="E10943" s="450" t="s">
        <v>52</v>
      </c>
      <c r="F10943" s="450"/>
      <c r="G10943" s="28"/>
      <c r="H10943" s="32"/>
    </row>
    <row r="10944" spans="1:8" x14ac:dyDescent="0.3">
      <c r="A10944" s="72">
        <v>0.18</v>
      </c>
      <c r="B10944" s="73">
        <f>H10939</f>
        <v>1000</v>
      </c>
      <c r="C10944" s="91">
        <f>H10940</f>
        <v>90</v>
      </c>
      <c r="D10944" s="91">
        <f>H10940</f>
        <v>90</v>
      </c>
      <c r="E10944" s="506">
        <f>C10944+D10944</f>
        <v>180</v>
      </c>
      <c r="F10944" s="507"/>
      <c r="G10944" s="74"/>
      <c r="H10944" s="75"/>
    </row>
    <row r="10945" spans="1:8" x14ac:dyDescent="0.3">
      <c r="A10945" s="508" t="s">
        <v>1811</v>
      </c>
      <c r="B10945" s="509"/>
      <c r="C10945" s="509"/>
      <c r="D10945" s="509"/>
      <c r="E10945" s="453"/>
      <c r="F10945" s="453"/>
      <c r="G10945" s="453"/>
      <c r="H10945" s="454"/>
    </row>
    <row r="10946" spans="1:8" ht="15.6" x14ac:dyDescent="0.3">
      <c r="A10946" s="455" t="s">
        <v>53</v>
      </c>
      <c r="B10946" s="456"/>
      <c r="C10946" s="456"/>
      <c r="D10946" s="457"/>
      <c r="E10946" s="458" t="s">
        <v>54</v>
      </c>
      <c r="F10946" s="459"/>
      <c r="G10946" s="459"/>
      <c r="H10946" s="460"/>
    </row>
    <row r="10947" spans="1:8" x14ac:dyDescent="0.3">
      <c r="A10947" s="461" t="s">
        <v>55</v>
      </c>
      <c r="B10947" s="462"/>
      <c r="C10947" s="462"/>
      <c r="D10947" s="463"/>
      <c r="E10947" s="39"/>
      <c r="F10947" s="28"/>
      <c r="G10947" s="28"/>
      <c r="H10947" s="32"/>
    </row>
    <row r="10948" spans="1:8" x14ac:dyDescent="0.3">
      <c r="A10948" s="461" t="s">
        <v>56</v>
      </c>
      <c r="B10948" s="462"/>
      <c r="C10948" s="462"/>
      <c r="D10948" s="463"/>
      <c r="E10948" s="39"/>
      <c r="F10948" s="28"/>
      <c r="G10948" s="28"/>
      <c r="H10948" s="32"/>
    </row>
    <row r="10949" spans="1:8" x14ac:dyDescent="0.3">
      <c r="A10949" s="461" t="s">
        <v>57</v>
      </c>
      <c r="B10949" s="462"/>
      <c r="C10949" s="462"/>
      <c r="D10949" s="463"/>
      <c r="E10949" s="39"/>
      <c r="F10949" s="28"/>
      <c r="G10949" s="28"/>
      <c r="H10949" s="32"/>
    </row>
    <row r="10950" spans="1:8" ht="15.6" x14ac:dyDescent="0.3">
      <c r="A10950" s="464" t="s">
        <v>58</v>
      </c>
      <c r="B10950" s="465"/>
      <c r="C10950" s="465"/>
      <c r="D10950" s="465"/>
      <c r="E10950" s="466" t="s">
        <v>59</v>
      </c>
      <c r="F10950" s="467"/>
      <c r="G10950" s="467"/>
      <c r="H10950" s="468"/>
    </row>
    <row r="10955" spans="1:8" ht="44.4" x14ac:dyDescent="0.7">
      <c r="A10955" s="469" t="s">
        <v>0</v>
      </c>
      <c r="B10955" s="470"/>
      <c r="C10955" s="470"/>
      <c r="D10955" s="470"/>
      <c r="E10955" s="471" t="s">
        <v>1</v>
      </c>
      <c r="F10955" s="472"/>
      <c r="G10955" s="472"/>
      <c r="H10955" s="473"/>
    </row>
    <row r="10956" spans="1:8" ht="20.399999999999999" x14ac:dyDescent="0.35">
      <c r="A10956" s="1"/>
      <c r="B10956" s="476" t="s">
        <v>2</v>
      </c>
      <c r="C10956" s="476"/>
      <c r="D10956" s="476"/>
      <c r="E10956" s="474"/>
      <c r="F10956" s="474"/>
      <c r="G10956" s="474"/>
      <c r="H10956" s="475"/>
    </row>
    <row r="10957" spans="1:8" x14ac:dyDescent="0.3">
      <c r="A10957" s="477" t="s">
        <v>3</v>
      </c>
      <c r="B10957" s="478"/>
      <c r="C10957" s="479" t="s">
        <v>4</v>
      </c>
      <c r="D10957" s="479"/>
      <c r="E10957" s="480" t="s">
        <v>5</v>
      </c>
      <c r="F10957" s="480"/>
      <c r="G10957" s="480"/>
      <c r="H10957" s="480"/>
    </row>
    <row r="10958" spans="1:8" ht="15.6" x14ac:dyDescent="0.3">
      <c r="A10958" s="4" t="s">
        <v>6</v>
      </c>
      <c r="B10958" s="5"/>
      <c r="C10958" s="481" t="s">
        <v>7</v>
      </c>
      <c r="D10958" s="481"/>
      <c r="E10958" s="482">
        <v>237</v>
      </c>
      <c r="F10958" s="482"/>
      <c r="G10958" s="7" t="s">
        <v>8</v>
      </c>
      <c r="H10958" s="401" t="s">
        <v>1778</v>
      </c>
    </row>
    <row r="10959" spans="1:8" ht="15.6" x14ac:dyDescent="0.3">
      <c r="A10959" s="551" t="s">
        <v>458</v>
      </c>
      <c r="B10959" s="552"/>
      <c r="C10959" s="481" t="s">
        <v>10</v>
      </c>
      <c r="D10959" s="481"/>
      <c r="E10959" s="482">
        <v>66</v>
      </c>
      <c r="F10959" s="482"/>
      <c r="G10959" s="7" t="s">
        <v>8</v>
      </c>
      <c r="H10959" s="401">
        <v>45700</v>
      </c>
    </row>
    <row r="10960" spans="1:8" ht="27" customHeight="1" x14ac:dyDescent="0.3">
      <c r="A10960" s="560" t="s">
        <v>459</v>
      </c>
      <c r="B10960" s="561"/>
      <c r="C10960" s="483" t="s">
        <v>12</v>
      </c>
      <c r="D10960" s="484"/>
      <c r="E10960" s="562" t="s">
        <v>466</v>
      </c>
      <c r="F10960" s="563"/>
      <c r="G10960" s="400" t="s">
        <v>8</v>
      </c>
      <c r="H10960" s="401" t="s">
        <v>465</v>
      </c>
    </row>
    <row r="10961" spans="1:9" ht="15.6" x14ac:dyDescent="0.3">
      <c r="A10961" s="253" t="s">
        <v>460</v>
      </c>
      <c r="B10961" s="254"/>
      <c r="C10961" s="481" t="s">
        <v>15</v>
      </c>
      <c r="D10961" s="481"/>
      <c r="E10961" s="489" t="s">
        <v>461</v>
      </c>
      <c r="F10961" s="490"/>
      <c r="G10961" s="490"/>
      <c r="H10961" s="491"/>
    </row>
    <row r="10962" spans="1:9" ht="15.6" x14ac:dyDescent="0.3">
      <c r="A10962" s="255" t="s">
        <v>1805</v>
      </c>
      <c r="B10962" s="256"/>
      <c r="C10962" s="489"/>
      <c r="D10962" s="490"/>
      <c r="E10962" s="490"/>
      <c r="F10962" s="490"/>
      <c r="G10962" s="490"/>
      <c r="H10962" s="491"/>
    </row>
    <row r="10963" spans="1:9" ht="15" x14ac:dyDescent="0.3">
      <c r="A10963" s="492" t="s">
        <v>17</v>
      </c>
      <c r="B10963" s="494" t="s">
        <v>18</v>
      </c>
      <c r="C10963" s="494" t="s">
        <v>19</v>
      </c>
      <c r="D10963" s="495" t="s">
        <v>20</v>
      </c>
      <c r="E10963" s="494" t="s">
        <v>21</v>
      </c>
      <c r="F10963" s="494" t="s">
        <v>22</v>
      </c>
      <c r="G10963" s="494"/>
      <c r="H10963" s="492" t="s">
        <v>23</v>
      </c>
    </row>
    <row r="10964" spans="1:9" ht="27.6" x14ac:dyDescent="0.3">
      <c r="A10964" s="492"/>
      <c r="B10964" s="494"/>
      <c r="C10964" s="494"/>
      <c r="D10964" s="505"/>
      <c r="E10964" s="494"/>
      <c r="F10964" s="53" t="s">
        <v>24</v>
      </c>
      <c r="G10964" s="53" t="s">
        <v>25</v>
      </c>
      <c r="H10964" s="492"/>
    </row>
    <row r="10965" spans="1:9" x14ac:dyDescent="0.3">
      <c r="A10965" s="55">
        <v>1</v>
      </c>
      <c r="B10965" s="84" t="s">
        <v>1812</v>
      </c>
      <c r="C10965" s="55">
        <v>2</v>
      </c>
      <c r="D10965" s="86">
        <v>854690</v>
      </c>
      <c r="E10965" s="55">
        <v>2000</v>
      </c>
      <c r="F10965" s="55">
        <f>E10965*C10965*9%</f>
        <v>360</v>
      </c>
      <c r="G10965" s="55">
        <f>F10965</f>
        <v>360</v>
      </c>
      <c r="H10965" s="55">
        <f>G10965+F10965+E10965*C10965</f>
        <v>4720</v>
      </c>
      <c r="I10965" s="362">
        <f>E10965*C10965</f>
        <v>4000</v>
      </c>
    </row>
    <row r="10966" spans="1:9" x14ac:dyDescent="0.3">
      <c r="A10966" s="55">
        <v>2</v>
      </c>
      <c r="B10966" s="84" t="s">
        <v>1813</v>
      </c>
      <c r="C10966" s="55">
        <v>2</v>
      </c>
      <c r="D10966" s="86">
        <v>998719</v>
      </c>
      <c r="E10966" s="55">
        <v>1600</v>
      </c>
      <c r="F10966" s="55">
        <f>E10966*C10966*9%</f>
        <v>288</v>
      </c>
      <c r="G10966" s="55">
        <f>F10966</f>
        <v>288</v>
      </c>
      <c r="H10966" s="55">
        <f>G10966+F10966+E10966*C10966</f>
        <v>3776</v>
      </c>
      <c r="I10966" s="362">
        <f>E10966*C10966</f>
        <v>3200</v>
      </c>
    </row>
    <row r="10967" spans="1:9" x14ac:dyDescent="0.3">
      <c r="A10967" s="55"/>
      <c r="B10967" s="84"/>
      <c r="C10967" s="55"/>
      <c r="D10967" s="86"/>
      <c r="E10967" s="55"/>
      <c r="F10967" s="55"/>
      <c r="G10967" s="55"/>
      <c r="H10967" s="55"/>
    </row>
    <row r="10968" spans="1:9" x14ac:dyDescent="0.3">
      <c r="A10968" s="55"/>
      <c r="B10968" s="84"/>
      <c r="C10968" s="55"/>
      <c r="D10968" s="86"/>
      <c r="E10968" s="55"/>
      <c r="F10968" s="55"/>
      <c r="G10968" s="55"/>
      <c r="H10968" s="55"/>
    </row>
    <row r="10969" spans="1:9" x14ac:dyDescent="0.3">
      <c r="A10969" s="55"/>
      <c r="B10969" s="84"/>
      <c r="C10969" s="55"/>
      <c r="D10969" s="86"/>
      <c r="E10969" s="55"/>
      <c r="F10969" s="55"/>
      <c r="G10969" s="55"/>
      <c r="H10969" s="55"/>
    </row>
    <row r="10970" spans="1:9" x14ac:dyDescent="0.3">
      <c r="A10970" s="55"/>
      <c r="B10970" s="84"/>
      <c r="C10970" s="55"/>
      <c r="D10970" s="86"/>
      <c r="E10970" s="55"/>
      <c r="F10970" s="55"/>
      <c r="G10970" s="55"/>
      <c r="H10970" s="55"/>
    </row>
    <row r="10971" spans="1:9" x14ac:dyDescent="0.3">
      <c r="A10971" s="55"/>
      <c r="B10971" s="84"/>
      <c r="C10971" s="55"/>
      <c r="D10971" s="86"/>
      <c r="E10971" s="55"/>
      <c r="F10971" s="55"/>
      <c r="G10971" s="55"/>
      <c r="H10971" s="55"/>
    </row>
    <row r="10972" spans="1:9" x14ac:dyDescent="0.3">
      <c r="A10972" s="55"/>
      <c r="B10972" s="84"/>
      <c r="C10972" s="55"/>
      <c r="D10972" s="86"/>
      <c r="E10972" s="55"/>
      <c r="F10972" s="55"/>
      <c r="G10972" s="55"/>
      <c r="H10972" s="55"/>
    </row>
    <row r="10973" spans="1:9" x14ac:dyDescent="0.3">
      <c r="A10973" s="55"/>
      <c r="B10973" s="84"/>
      <c r="C10973" s="55"/>
      <c r="D10973" s="86"/>
      <c r="E10973" s="55"/>
      <c r="F10973" s="55"/>
      <c r="G10973" s="55"/>
      <c r="H10973" s="55"/>
    </row>
    <row r="10974" spans="1:9" x14ac:dyDescent="0.3">
      <c r="A10974" s="55"/>
      <c r="B10974" s="399"/>
      <c r="C10974" s="55"/>
      <c r="D10974" s="86"/>
      <c r="E10974" s="55"/>
      <c r="F10974" s="55"/>
      <c r="G10974" s="55"/>
      <c r="H10974" s="55"/>
    </row>
    <row r="10975" spans="1:9" x14ac:dyDescent="0.3">
      <c r="A10975" s="163"/>
      <c r="B10975" s="163"/>
      <c r="C10975" s="163"/>
      <c r="D10975" s="163"/>
      <c r="E10975" s="163"/>
      <c r="F10975" s="163"/>
      <c r="G10975" s="163"/>
      <c r="H10975" s="163"/>
    </row>
    <row r="10976" spans="1:9" x14ac:dyDescent="0.3">
      <c r="A10976" s="163"/>
      <c r="B10976" s="163"/>
      <c r="C10976" s="163"/>
      <c r="D10976" s="163"/>
      <c r="E10976" s="163"/>
      <c r="F10976" s="163"/>
      <c r="G10976" s="163"/>
      <c r="H10976" s="163"/>
    </row>
    <row r="10977" spans="1:8" x14ac:dyDescent="0.3">
      <c r="A10977" s="163"/>
      <c r="B10977" s="163"/>
      <c r="C10977" s="163"/>
      <c r="D10977" s="163"/>
      <c r="E10977" s="163"/>
      <c r="F10977" s="163"/>
      <c r="G10977" s="163"/>
      <c r="H10977" s="163"/>
    </row>
    <row r="10978" spans="1:8" x14ac:dyDescent="0.3">
      <c r="A10978" s="163"/>
      <c r="B10978" s="163"/>
      <c r="C10978" s="163"/>
      <c r="D10978" s="163"/>
      <c r="E10978" s="163"/>
      <c r="F10978" s="163"/>
      <c r="G10978" s="163"/>
      <c r="H10978" s="163"/>
    </row>
    <row r="10979" spans="1:8" x14ac:dyDescent="0.3">
      <c r="A10979" s="163"/>
      <c r="B10979" s="163"/>
      <c r="C10979" s="163"/>
      <c r="D10979" s="163"/>
      <c r="E10979" s="163"/>
      <c r="F10979" s="163"/>
      <c r="G10979" s="163"/>
      <c r="H10979" s="163"/>
    </row>
    <row r="10980" spans="1:8" x14ac:dyDescent="0.3">
      <c r="A10980" s="258"/>
      <c r="B10980" s="257"/>
      <c r="C10980" s="258"/>
      <c r="D10980" s="86"/>
      <c r="E10980" s="55"/>
      <c r="F10980" s="259"/>
      <c r="G10980" s="259"/>
      <c r="H10980" s="258"/>
    </row>
    <row r="10981" spans="1:8" x14ac:dyDescent="0.3">
      <c r="A10981" s="55"/>
      <c r="B10981" s="84"/>
      <c r="C10981" s="55"/>
      <c r="D10981" s="55"/>
      <c r="E10981" s="55"/>
      <c r="F10981" s="55"/>
      <c r="G10981" s="55"/>
      <c r="H10981" s="55"/>
    </row>
    <row r="10982" spans="1:8" x14ac:dyDescent="0.3">
      <c r="A10982" s="163"/>
      <c r="B10982" s="163"/>
      <c r="C10982" s="163"/>
      <c r="D10982" s="163"/>
      <c r="E10982" s="163"/>
      <c r="F10982" s="163"/>
      <c r="G10982" s="163"/>
      <c r="H10982" s="163"/>
    </row>
    <row r="10983" spans="1:8" x14ac:dyDescent="0.3">
      <c r="A10983" s="55"/>
      <c r="B10983" s="257"/>
      <c r="C10983" s="55"/>
      <c r="D10983" s="55"/>
      <c r="E10983" s="55"/>
      <c r="F10983" s="55"/>
      <c r="G10983" s="55"/>
      <c r="H10983" s="55"/>
    </row>
    <row r="10984" spans="1:8" x14ac:dyDescent="0.3">
      <c r="A10984" s="57"/>
      <c r="B10984" s="84"/>
      <c r="C10984" s="85"/>
      <c r="D10984" s="86"/>
      <c r="E10984" s="87"/>
      <c r="F10984" s="47"/>
      <c r="G10984" s="47"/>
      <c r="H10984" s="47"/>
    </row>
    <row r="10985" spans="1:8" x14ac:dyDescent="0.3">
      <c r="A10985" s="57"/>
      <c r="B10985" s="84"/>
      <c r="C10985" s="85"/>
      <c r="D10985" s="86"/>
      <c r="E10985" s="47"/>
      <c r="F10985" s="47"/>
      <c r="G10985" s="47"/>
      <c r="H10985" s="47"/>
    </row>
    <row r="10986" spans="1:8" x14ac:dyDescent="0.3">
      <c r="A10986" s="55"/>
      <c r="B10986" s="84"/>
      <c r="C10986" s="55"/>
      <c r="D10986" s="86"/>
      <c r="E10986" s="47"/>
      <c r="F10986" s="47"/>
      <c r="G10986" s="47"/>
      <c r="H10986" s="47"/>
    </row>
    <row r="10987" spans="1:8" x14ac:dyDescent="0.3">
      <c r="A10987" s="27"/>
      <c r="B10987" s="28"/>
      <c r="C10987" s="24"/>
      <c r="D10987" s="25"/>
      <c r="E10987" s="25"/>
      <c r="F10987" s="28"/>
      <c r="G10987" s="28"/>
      <c r="H10987" s="32"/>
    </row>
    <row r="10988" spans="1:8" ht="15.6" x14ac:dyDescent="0.3">
      <c r="A10988" s="448" t="s">
        <v>45</v>
      </c>
      <c r="B10988" s="449"/>
      <c r="C10988" s="24"/>
      <c r="D10988" s="25"/>
      <c r="E10988" s="25"/>
      <c r="F10988" s="447" t="s">
        <v>46</v>
      </c>
      <c r="G10988" s="447"/>
      <c r="H10988" s="66">
        <v>7200</v>
      </c>
    </row>
    <row r="10989" spans="1:8" ht="15.6" x14ac:dyDescent="0.3">
      <c r="A10989" s="497" t="s">
        <v>1814</v>
      </c>
      <c r="B10989" s="498"/>
      <c r="C10989" s="498"/>
      <c r="D10989" s="498"/>
      <c r="E10989" s="498"/>
      <c r="F10989" s="447" t="s">
        <v>47</v>
      </c>
      <c r="G10989" s="447"/>
      <c r="H10989" s="66">
        <f>H10988*9%</f>
        <v>648</v>
      </c>
    </row>
    <row r="10990" spans="1:8" ht="15.6" x14ac:dyDescent="0.3">
      <c r="A10990" s="27"/>
      <c r="B10990" s="28"/>
      <c r="C10990" s="24"/>
      <c r="D10990" s="25"/>
      <c r="E10990" s="25"/>
      <c r="F10990" s="447" t="s">
        <v>48</v>
      </c>
      <c r="G10990" s="447"/>
      <c r="H10990" s="66">
        <f>H10989</f>
        <v>648</v>
      </c>
    </row>
    <row r="10991" spans="1:8" ht="15.6" x14ac:dyDescent="0.3">
      <c r="A10991" s="64" t="s">
        <v>49</v>
      </c>
      <c r="B10991" s="65"/>
      <c r="C10991" s="24"/>
      <c r="D10991" s="25"/>
      <c r="E10991" s="25"/>
      <c r="F10991" s="447" t="s">
        <v>50</v>
      </c>
      <c r="G10991" s="447"/>
      <c r="H10991" s="66">
        <v>8496</v>
      </c>
    </row>
    <row r="10992" spans="1:8" ht="27" x14ac:dyDescent="0.3">
      <c r="A10992" s="68" t="s">
        <v>22</v>
      </c>
      <c r="B10992" s="30" t="s">
        <v>51</v>
      </c>
      <c r="C10992" s="70" t="s">
        <v>24</v>
      </c>
      <c r="D10992" s="31" t="s">
        <v>25</v>
      </c>
      <c r="E10992" s="450" t="s">
        <v>52</v>
      </c>
      <c r="F10992" s="450"/>
      <c r="G10992" s="28"/>
      <c r="H10992" s="32"/>
    </row>
    <row r="10993" spans="1:8" x14ac:dyDescent="0.3">
      <c r="A10993" s="72">
        <v>0.18</v>
      </c>
      <c r="B10993" s="73">
        <f>H10988</f>
        <v>7200</v>
      </c>
      <c r="C10993" s="91">
        <f>H10989</f>
        <v>648</v>
      </c>
      <c r="D10993" s="91">
        <f>H10989</f>
        <v>648</v>
      </c>
      <c r="E10993" s="506">
        <f>C10993+D10993</f>
        <v>1296</v>
      </c>
      <c r="F10993" s="507"/>
      <c r="G10993" s="74"/>
      <c r="H10993" s="75"/>
    </row>
    <row r="10994" spans="1:8" x14ac:dyDescent="0.3">
      <c r="A10994" s="508" t="s">
        <v>1815</v>
      </c>
      <c r="B10994" s="509"/>
      <c r="C10994" s="509"/>
      <c r="D10994" s="509"/>
      <c r="E10994" s="453"/>
      <c r="F10994" s="453"/>
      <c r="G10994" s="453"/>
      <c r="H10994" s="454"/>
    </row>
    <row r="10995" spans="1:8" ht="15.6" x14ac:dyDescent="0.3">
      <c r="A10995" s="455" t="s">
        <v>53</v>
      </c>
      <c r="B10995" s="456"/>
      <c r="C10995" s="456"/>
      <c r="D10995" s="457"/>
      <c r="E10995" s="458" t="s">
        <v>54</v>
      </c>
      <c r="F10995" s="459"/>
      <c r="G10995" s="459"/>
      <c r="H10995" s="460"/>
    </row>
    <row r="10996" spans="1:8" x14ac:dyDescent="0.3">
      <c r="A10996" s="461" t="s">
        <v>55</v>
      </c>
      <c r="B10996" s="462"/>
      <c r="C10996" s="462"/>
      <c r="D10996" s="463"/>
      <c r="E10996" s="39"/>
      <c r="F10996" s="28"/>
      <c r="G10996" s="28"/>
      <c r="H10996" s="32"/>
    </row>
    <row r="10997" spans="1:8" x14ac:dyDescent="0.3">
      <c r="A10997" s="461" t="s">
        <v>56</v>
      </c>
      <c r="B10997" s="462"/>
      <c r="C10997" s="462"/>
      <c r="D10997" s="463"/>
      <c r="E10997" s="39"/>
      <c r="F10997" s="28"/>
      <c r="G10997" s="28"/>
      <c r="H10997" s="32"/>
    </row>
    <row r="10998" spans="1:8" x14ac:dyDescent="0.3">
      <c r="A10998" s="461" t="s">
        <v>57</v>
      </c>
      <c r="B10998" s="462"/>
      <c r="C10998" s="462"/>
      <c r="D10998" s="463"/>
      <c r="E10998" s="39"/>
      <c r="F10998" s="28"/>
      <c r="G10998" s="28"/>
      <c r="H10998" s="32"/>
    </row>
    <row r="10999" spans="1:8" ht="15.6" x14ac:dyDescent="0.3">
      <c r="A10999" s="464" t="s">
        <v>58</v>
      </c>
      <c r="B10999" s="465"/>
      <c r="C10999" s="465"/>
      <c r="D10999" s="465"/>
      <c r="E10999" s="466" t="s">
        <v>59</v>
      </c>
      <c r="F10999" s="467"/>
      <c r="G10999" s="467"/>
      <c r="H10999" s="468"/>
    </row>
    <row r="11002" spans="1:8" ht="44.4" x14ac:dyDescent="0.7">
      <c r="A11002" s="469" t="s">
        <v>0</v>
      </c>
      <c r="B11002" s="470"/>
      <c r="C11002" s="470"/>
      <c r="D11002" s="470"/>
      <c r="E11002" s="471" t="s">
        <v>1</v>
      </c>
      <c r="F11002" s="472"/>
      <c r="G11002" s="472"/>
      <c r="H11002" s="473"/>
    </row>
    <row r="11003" spans="1:8" ht="20.399999999999999" x14ac:dyDescent="0.35">
      <c r="A11003" s="1"/>
      <c r="B11003" s="476" t="s">
        <v>2</v>
      </c>
      <c r="C11003" s="476"/>
      <c r="D11003" s="476"/>
      <c r="E11003" s="474"/>
      <c r="F11003" s="474"/>
      <c r="G11003" s="474"/>
      <c r="H11003" s="475"/>
    </row>
    <row r="11004" spans="1:8" x14ac:dyDescent="0.3">
      <c r="A11004" s="477" t="s">
        <v>3</v>
      </c>
      <c r="B11004" s="478"/>
      <c r="C11004" s="479" t="s">
        <v>4</v>
      </c>
      <c r="D11004" s="479"/>
      <c r="E11004" s="480" t="s">
        <v>5</v>
      </c>
      <c r="F11004" s="480"/>
      <c r="G11004" s="480"/>
      <c r="H11004" s="480"/>
    </row>
    <row r="11005" spans="1:8" ht="15.6" x14ac:dyDescent="0.3">
      <c r="A11005" s="4" t="s">
        <v>6</v>
      </c>
      <c r="B11005" s="5"/>
      <c r="C11005" s="481" t="s">
        <v>7</v>
      </c>
      <c r="D11005" s="481"/>
      <c r="E11005" s="482">
        <v>238</v>
      </c>
      <c r="F11005" s="482"/>
      <c r="G11005" s="7" t="s">
        <v>8</v>
      </c>
      <c r="H11005" s="401" t="s">
        <v>1778</v>
      </c>
    </row>
    <row r="11006" spans="1:8" ht="15.6" x14ac:dyDescent="0.3">
      <c r="A11006" s="551" t="s">
        <v>458</v>
      </c>
      <c r="B11006" s="552"/>
      <c r="C11006" s="481" t="s">
        <v>10</v>
      </c>
      <c r="D11006" s="481"/>
      <c r="E11006" s="482">
        <v>33</v>
      </c>
      <c r="F11006" s="482"/>
      <c r="G11006" s="7" t="s">
        <v>8</v>
      </c>
      <c r="H11006" s="401">
        <v>46056</v>
      </c>
    </row>
    <row r="11007" spans="1:8" ht="23.25" customHeight="1" x14ac:dyDescent="0.3">
      <c r="A11007" s="560" t="s">
        <v>459</v>
      </c>
      <c r="B11007" s="561"/>
      <c r="C11007" s="483" t="s">
        <v>12</v>
      </c>
      <c r="D11007" s="484"/>
      <c r="E11007" s="562" t="s">
        <v>466</v>
      </c>
      <c r="F11007" s="563"/>
      <c r="G11007" s="400" t="s">
        <v>8</v>
      </c>
      <c r="H11007" s="401" t="s">
        <v>465</v>
      </c>
    </row>
    <row r="11008" spans="1:8" ht="15.6" x14ac:dyDescent="0.3">
      <c r="A11008" s="253" t="s">
        <v>460</v>
      </c>
      <c r="B11008" s="254"/>
      <c r="C11008" s="481" t="s">
        <v>15</v>
      </c>
      <c r="D11008" s="481"/>
      <c r="E11008" s="489" t="s">
        <v>461</v>
      </c>
      <c r="F11008" s="490"/>
      <c r="G11008" s="490"/>
      <c r="H11008" s="491"/>
    </row>
    <row r="11009" spans="1:8" ht="15.6" x14ac:dyDescent="0.3">
      <c r="A11009" s="255" t="s">
        <v>469</v>
      </c>
      <c r="B11009" s="256"/>
      <c r="C11009" s="489"/>
      <c r="D11009" s="490"/>
      <c r="E11009" s="490"/>
      <c r="F11009" s="490"/>
      <c r="G11009" s="490"/>
      <c r="H11009" s="491"/>
    </row>
    <row r="11010" spans="1:8" ht="15" x14ac:dyDescent="0.3">
      <c r="A11010" s="492" t="s">
        <v>17</v>
      </c>
      <c r="B11010" s="494" t="s">
        <v>18</v>
      </c>
      <c r="C11010" s="494" t="s">
        <v>19</v>
      </c>
      <c r="D11010" s="495" t="s">
        <v>20</v>
      </c>
      <c r="E11010" s="494" t="s">
        <v>21</v>
      </c>
      <c r="F11010" s="494" t="s">
        <v>22</v>
      </c>
      <c r="G11010" s="494"/>
      <c r="H11010" s="492" t="s">
        <v>23</v>
      </c>
    </row>
    <row r="11011" spans="1:8" ht="27.6" x14ac:dyDescent="0.3">
      <c r="A11011" s="492"/>
      <c r="B11011" s="494"/>
      <c r="C11011" s="494"/>
      <c r="D11011" s="505"/>
      <c r="E11011" s="494"/>
      <c r="F11011" s="53" t="s">
        <v>24</v>
      </c>
      <c r="G11011" s="53" t="s">
        <v>25</v>
      </c>
      <c r="H11011" s="492"/>
    </row>
    <row r="11012" spans="1:8" x14ac:dyDescent="0.3">
      <c r="A11012" s="55">
        <v>1</v>
      </c>
      <c r="B11012" s="84" t="s">
        <v>1816</v>
      </c>
      <c r="C11012" s="55">
        <v>1</v>
      </c>
      <c r="D11012" s="86">
        <v>998719</v>
      </c>
      <c r="E11012" s="55">
        <v>2500</v>
      </c>
      <c r="F11012" s="55">
        <f>E11012*C11012*9%</f>
        <v>225</v>
      </c>
      <c r="G11012" s="55">
        <f>F11012</f>
        <v>225</v>
      </c>
      <c r="H11012" s="55">
        <f>G11012+F11012+E11012*C11012</f>
        <v>2950</v>
      </c>
    </row>
    <row r="11013" spans="1:8" x14ac:dyDescent="0.3">
      <c r="A11013" s="55"/>
      <c r="B11013" s="84"/>
      <c r="C11013" s="55"/>
      <c r="D11013" s="86"/>
      <c r="E11013" s="55"/>
      <c r="F11013" s="55"/>
      <c r="G11013" s="55"/>
      <c r="H11013" s="55"/>
    </row>
    <row r="11014" spans="1:8" x14ac:dyDescent="0.3">
      <c r="A11014" s="55"/>
      <c r="B11014" s="84"/>
      <c r="C11014" s="55"/>
      <c r="D11014" s="86"/>
      <c r="E11014" s="55"/>
      <c r="F11014" s="55"/>
      <c r="G11014" s="55"/>
      <c r="H11014" s="55"/>
    </row>
    <row r="11015" spans="1:8" x14ac:dyDescent="0.3">
      <c r="A11015" s="55"/>
      <c r="B11015" s="84"/>
      <c r="C11015" s="55"/>
      <c r="D11015" s="86"/>
      <c r="E11015" s="55"/>
      <c r="F11015" s="55"/>
      <c r="G11015" s="55"/>
      <c r="H11015" s="55"/>
    </row>
    <row r="11016" spans="1:8" x14ac:dyDescent="0.3">
      <c r="A11016" s="55"/>
      <c r="B11016" s="84"/>
      <c r="C11016" s="55"/>
      <c r="D11016" s="86"/>
      <c r="E11016" s="55"/>
      <c r="F11016" s="55"/>
      <c r="G11016" s="55"/>
      <c r="H11016" s="55"/>
    </row>
    <row r="11017" spans="1:8" x14ac:dyDescent="0.3">
      <c r="A11017" s="55"/>
      <c r="B11017" s="84"/>
      <c r="C11017" s="55"/>
      <c r="D11017" s="86"/>
      <c r="E11017" s="55"/>
      <c r="F11017" s="55"/>
      <c r="G11017" s="55"/>
      <c r="H11017" s="55"/>
    </row>
    <row r="11018" spans="1:8" x14ac:dyDescent="0.3">
      <c r="A11018" s="55"/>
      <c r="B11018" s="84"/>
      <c r="C11018" s="55"/>
      <c r="D11018" s="86"/>
      <c r="E11018" s="55"/>
      <c r="F11018" s="55"/>
      <c r="G11018" s="55"/>
      <c r="H11018" s="55"/>
    </row>
    <row r="11019" spans="1:8" x14ac:dyDescent="0.3">
      <c r="A11019" s="55"/>
      <c r="B11019" s="84"/>
      <c r="C11019" s="55"/>
      <c r="D11019" s="86"/>
      <c r="E11019" s="55"/>
      <c r="F11019" s="55"/>
      <c r="G11019" s="55"/>
      <c r="H11019" s="55"/>
    </row>
    <row r="11020" spans="1:8" x14ac:dyDescent="0.3">
      <c r="A11020" s="55"/>
      <c r="B11020" s="84"/>
      <c r="C11020" s="55"/>
      <c r="D11020" s="86"/>
      <c r="E11020" s="55"/>
      <c r="F11020" s="55"/>
      <c r="G11020" s="55"/>
      <c r="H11020" s="55"/>
    </row>
    <row r="11021" spans="1:8" x14ac:dyDescent="0.3">
      <c r="A11021" s="55"/>
      <c r="B11021" s="399"/>
      <c r="C11021" s="55"/>
      <c r="D11021" s="86"/>
      <c r="E11021" s="55"/>
      <c r="F11021" s="55"/>
      <c r="G11021" s="55"/>
      <c r="H11021" s="55"/>
    </row>
    <row r="11022" spans="1:8" x14ac:dyDescent="0.3">
      <c r="A11022" s="163"/>
      <c r="B11022" s="163"/>
      <c r="C11022" s="163"/>
      <c r="D11022" s="163"/>
      <c r="E11022" s="163"/>
      <c r="F11022" s="163"/>
      <c r="G11022" s="163"/>
      <c r="H11022" s="163"/>
    </row>
    <row r="11023" spans="1:8" x14ac:dyDescent="0.3">
      <c r="A11023" s="163"/>
      <c r="B11023" s="163"/>
      <c r="C11023" s="163"/>
      <c r="D11023" s="163"/>
      <c r="E11023" s="163"/>
      <c r="F11023" s="163"/>
      <c r="G11023" s="163"/>
      <c r="H11023" s="163"/>
    </row>
    <row r="11024" spans="1:8" x14ac:dyDescent="0.3">
      <c r="A11024" s="163"/>
      <c r="B11024" s="163"/>
      <c r="C11024" s="163"/>
      <c r="D11024" s="163"/>
      <c r="E11024" s="163"/>
      <c r="F11024" s="163"/>
      <c r="G11024" s="163"/>
      <c r="H11024" s="163"/>
    </row>
    <row r="11025" spans="1:8" x14ac:dyDescent="0.3">
      <c r="A11025" s="163"/>
      <c r="B11025" s="163"/>
      <c r="C11025" s="163"/>
      <c r="D11025" s="163"/>
      <c r="E11025" s="163"/>
      <c r="F11025" s="163"/>
      <c r="G11025" s="163"/>
      <c r="H11025" s="163"/>
    </row>
    <row r="11026" spans="1:8" x14ac:dyDescent="0.3">
      <c r="A11026" s="163"/>
      <c r="B11026" s="163"/>
      <c r="C11026" s="163"/>
      <c r="D11026" s="163"/>
      <c r="E11026" s="163"/>
      <c r="F11026" s="163"/>
      <c r="G11026" s="163"/>
      <c r="H11026" s="163"/>
    </row>
    <row r="11027" spans="1:8" x14ac:dyDescent="0.3">
      <c r="A11027" s="258"/>
      <c r="B11027" s="257"/>
      <c r="C11027" s="258"/>
      <c r="D11027" s="86"/>
      <c r="E11027" s="55"/>
      <c r="F11027" s="259"/>
      <c r="G11027" s="259"/>
      <c r="H11027" s="258"/>
    </row>
    <row r="11028" spans="1:8" x14ac:dyDescent="0.3">
      <c r="A11028" s="55"/>
      <c r="B11028" s="84"/>
      <c r="C11028" s="55"/>
      <c r="D11028" s="55"/>
      <c r="E11028" s="55"/>
      <c r="F11028" s="55"/>
      <c r="G11028" s="55"/>
      <c r="H11028" s="55"/>
    </row>
    <row r="11029" spans="1:8" x14ac:dyDescent="0.3">
      <c r="A11029" s="163"/>
      <c r="B11029" s="163"/>
      <c r="C11029" s="163"/>
      <c r="D11029" s="163"/>
      <c r="E11029" s="163"/>
      <c r="F11029" s="163"/>
      <c r="G11029" s="163"/>
      <c r="H11029" s="163"/>
    </row>
    <row r="11030" spans="1:8" x14ac:dyDescent="0.3">
      <c r="A11030" s="55"/>
      <c r="B11030" s="257"/>
      <c r="C11030" s="55"/>
      <c r="D11030" s="55"/>
      <c r="E11030" s="55"/>
      <c r="F11030" s="55"/>
      <c r="G11030" s="55"/>
      <c r="H11030" s="55"/>
    </row>
    <row r="11031" spans="1:8" x14ac:dyDescent="0.3">
      <c r="A11031" s="57"/>
      <c r="B11031" s="84"/>
      <c r="C11031" s="85"/>
      <c r="D11031" s="86"/>
      <c r="E11031" s="87"/>
      <c r="F11031" s="47"/>
      <c r="G11031" s="47"/>
      <c r="H11031" s="47"/>
    </row>
    <row r="11032" spans="1:8" x14ac:dyDescent="0.3">
      <c r="A11032" s="57"/>
      <c r="B11032" s="84"/>
      <c r="C11032" s="85"/>
      <c r="D11032" s="86"/>
      <c r="E11032" s="47"/>
      <c r="F11032" s="47"/>
      <c r="G11032" s="47"/>
      <c r="H11032" s="47"/>
    </row>
    <row r="11033" spans="1:8" x14ac:dyDescent="0.3">
      <c r="A11033" s="55"/>
      <c r="B11033" s="84"/>
      <c r="C11033" s="55"/>
      <c r="D11033" s="86"/>
      <c r="E11033" s="47"/>
      <c r="F11033" s="47"/>
      <c r="G11033" s="47"/>
      <c r="H11033" s="47"/>
    </row>
    <row r="11034" spans="1:8" x14ac:dyDescent="0.3">
      <c r="A11034" s="27"/>
      <c r="B11034" s="28"/>
      <c r="C11034" s="24"/>
      <c r="D11034" s="25"/>
      <c r="E11034" s="25"/>
      <c r="F11034" s="28"/>
      <c r="G11034" s="28"/>
      <c r="H11034" s="32"/>
    </row>
    <row r="11035" spans="1:8" ht="15.6" x14ac:dyDescent="0.3">
      <c r="A11035" s="448" t="s">
        <v>45</v>
      </c>
      <c r="B11035" s="449"/>
      <c r="C11035" s="24"/>
      <c r="D11035" s="25"/>
      <c r="E11035" s="25"/>
      <c r="F11035" s="447" t="s">
        <v>46</v>
      </c>
      <c r="G11035" s="447"/>
      <c r="H11035" s="66">
        <v>2500</v>
      </c>
    </row>
    <row r="11036" spans="1:8" ht="15.6" x14ac:dyDescent="0.3">
      <c r="A11036" s="497" t="s">
        <v>1817</v>
      </c>
      <c r="B11036" s="498"/>
      <c r="C11036" s="498"/>
      <c r="D11036" s="498"/>
      <c r="E11036" s="498"/>
      <c r="F11036" s="447" t="s">
        <v>47</v>
      </c>
      <c r="G11036" s="447"/>
      <c r="H11036" s="66">
        <f>H11035*9%</f>
        <v>225</v>
      </c>
    </row>
    <row r="11037" spans="1:8" ht="15.6" x14ac:dyDescent="0.3">
      <c r="A11037" s="27"/>
      <c r="B11037" s="28"/>
      <c r="C11037" s="24"/>
      <c r="D11037" s="25"/>
      <c r="E11037" s="25"/>
      <c r="F11037" s="447" t="s">
        <v>48</v>
      </c>
      <c r="G11037" s="447"/>
      <c r="H11037" s="66">
        <f>H11036</f>
        <v>225</v>
      </c>
    </row>
    <row r="11038" spans="1:8" ht="15.6" x14ac:dyDescent="0.3">
      <c r="A11038" s="64" t="s">
        <v>49</v>
      </c>
      <c r="B11038" s="65"/>
      <c r="C11038" s="24"/>
      <c r="D11038" s="25"/>
      <c r="E11038" s="25"/>
      <c r="F11038" s="447" t="s">
        <v>50</v>
      </c>
      <c r="G11038" s="447"/>
      <c r="H11038" s="66">
        <v>2950</v>
      </c>
    </row>
    <row r="11039" spans="1:8" ht="27" x14ac:dyDescent="0.3">
      <c r="A11039" s="68" t="s">
        <v>22</v>
      </c>
      <c r="B11039" s="30" t="s">
        <v>51</v>
      </c>
      <c r="C11039" s="70" t="s">
        <v>24</v>
      </c>
      <c r="D11039" s="31" t="s">
        <v>25</v>
      </c>
      <c r="E11039" s="450" t="s">
        <v>52</v>
      </c>
      <c r="F11039" s="450"/>
      <c r="G11039" s="28"/>
      <c r="H11039" s="32"/>
    </row>
    <row r="11040" spans="1:8" x14ac:dyDescent="0.3">
      <c r="A11040" s="72">
        <v>0.18</v>
      </c>
      <c r="B11040" s="73">
        <f>H11035</f>
        <v>2500</v>
      </c>
      <c r="C11040" s="91">
        <f>H11036</f>
        <v>225</v>
      </c>
      <c r="D11040" s="91">
        <f>H11036</f>
        <v>225</v>
      </c>
      <c r="E11040" s="506">
        <f>C11040+D11040</f>
        <v>450</v>
      </c>
      <c r="F11040" s="507"/>
      <c r="G11040" s="74"/>
      <c r="H11040" s="75"/>
    </row>
    <row r="11041" spans="1:8" x14ac:dyDescent="0.3">
      <c r="A11041" s="508" t="s">
        <v>1818</v>
      </c>
      <c r="B11041" s="509"/>
      <c r="C11041" s="509"/>
      <c r="D11041" s="509"/>
      <c r="E11041" s="453"/>
      <c r="F11041" s="453"/>
      <c r="G11041" s="453"/>
      <c r="H11041" s="454"/>
    </row>
    <row r="11042" spans="1:8" ht="15.6" x14ac:dyDescent="0.3">
      <c r="A11042" s="455" t="s">
        <v>53</v>
      </c>
      <c r="B11042" s="456"/>
      <c r="C11042" s="456"/>
      <c r="D11042" s="457"/>
      <c r="E11042" s="458" t="s">
        <v>54</v>
      </c>
      <c r="F11042" s="459"/>
      <c r="G11042" s="459"/>
      <c r="H11042" s="460"/>
    </row>
    <row r="11043" spans="1:8" x14ac:dyDescent="0.3">
      <c r="A11043" s="461" t="s">
        <v>55</v>
      </c>
      <c r="B11043" s="462"/>
      <c r="C11043" s="462"/>
      <c r="D11043" s="463"/>
      <c r="E11043" s="39"/>
      <c r="F11043" s="28"/>
      <c r="G11043" s="28"/>
      <c r="H11043" s="32"/>
    </row>
    <row r="11044" spans="1:8" x14ac:dyDescent="0.3">
      <c r="A11044" s="461" t="s">
        <v>56</v>
      </c>
      <c r="B11044" s="462"/>
      <c r="C11044" s="462"/>
      <c r="D11044" s="463"/>
      <c r="E11044" s="39"/>
      <c r="F11044" s="28"/>
      <c r="G11044" s="28"/>
      <c r="H11044" s="32"/>
    </row>
    <row r="11045" spans="1:8" x14ac:dyDescent="0.3">
      <c r="A11045" s="461" t="s">
        <v>57</v>
      </c>
      <c r="B11045" s="462"/>
      <c r="C11045" s="462"/>
      <c r="D11045" s="463"/>
      <c r="E11045" s="39"/>
      <c r="F11045" s="28"/>
      <c r="G11045" s="28"/>
      <c r="H11045" s="32"/>
    </row>
    <row r="11046" spans="1:8" ht="15.6" x14ac:dyDescent="0.3">
      <c r="A11046" s="464" t="s">
        <v>58</v>
      </c>
      <c r="B11046" s="465"/>
      <c r="C11046" s="465"/>
      <c r="D11046" s="465"/>
      <c r="E11046" s="466" t="s">
        <v>59</v>
      </c>
      <c r="F11046" s="467"/>
      <c r="G11046" s="467"/>
      <c r="H11046" s="468"/>
    </row>
    <row r="11050" spans="1:8" ht="44.4" x14ac:dyDescent="0.7">
      <c r="A11050" s="469" t="s">
        <v>0</v>
      </c>
      <c r="B11050" s="470"/>
      <c r="C11050" s="470"/>
      <c r="D11050" s="470"/>
      <c r="E11050" s="471" t="s">
        <v>1</v>
      </c>
      <c r="F11050" s="472"/>
      <c r="G11050" s="472"/>
      <c r="H11050" s="473"/>
    </row>
    <row r="11051" spans="1:8" ht="20.399999999999999" x14ac:dyDescent="0.35">
      <c r="A11051" s="1"/>
      <c r="B11051" s="476" t="s">
        <v>2</v>
      </c>
      <c r="C11051" s="476"/>
      <c r="D11051" s="476"/>
      <c r="E11051" s="474"/>
      <c r="F11051" s="474"/>
      <c r="G11051" s="474"/>
      <c r="H11051" s="475"/>
    </row>
    <row r="11052" spans="1:8" x14ac:dyDescent="0.3">
      <c r="A11052" s="477" t="s">
        <v>3</v>
      </c>
      <c r="B11052" s="478"/>
      <c r="C11052" s="479" t="s">
        <v>4</v>
      </c>
      <c r="D11052" s="479"/>
      <c r="E11052" s="480" t="s">
        <v>5</v>
      </c>
      <c r="F11052" s="480"/>
      <c r="G11052" s="480"/>
      <c r="H11052" s="480"/>
    </row>
    <row r="11053" spans="1:8" ht="15.6" x14ac:dyDescent="0.3">
      <c r="A11053" s="4" t="s">
        <v>6</v>
      </c>
      <c r="B11053" s="5"/>
      <c r="C11053" s="481" t="s">
        <v>7</v>
      </c>
      <c r="D11053" s="481"/>
      <c r="E11053" s="482">
        <v>239</v>
      </c>
      <c r="F11053" s="482"/>
      <c r="G11053" s="7" t="s">
        <v>8</v>
      </c>
      <c r="H11053" s="401" t="s">
        <v>1778</v>
      </c>
    </row>
    <row r="11054" spans="1:8" ht="15.6" x14ac:dyDescent="0.3">
      <c r="A11054" s="551" t="s">
        <v>458</v>
      </c>
      <c r="B11054" s="552"/>
      <c r="C11054" s="481" t="s">
        <v>10</v>
      </c>
      <c r="D11054" s="481"/>
      <c r="E11054" s="482">
        <v>73</v>
      </c>
      <c r="F11054" s="482"/>
      <c r="G11054" s="7" t="s">
        <v>8</v>
      </c>
      <c r="H11054" s="401">
        <v>46268</v>
      </c>
    </row>
    <row r="11055" spans="1:8" ht="25.5" customHeight="1" x14ac:dyDescent="0.3">
      <c r="A11055" s="560" t="s">
        <v>459</v>
      </c>
      <c r="B11055" s="561"/>
      <c r="C11055" s="483" t="s">
        <v>12</v>
      </c>
      <c r="D11055" s="484"/>
      <c r="E11055" s="562" t="s">
        <v>1819</v>
      </c>
      <c r="F11055" s="563"/>
      <c r="G11055" s="400" t="s">
        <v>8</v>
      </c>
      <c r="H11055" s="401">
        <v>46084</v>
      </c>
    </row>
    <row r="11056" spans="1:8" ht="15.6" x14ac:dyDescent="0.3">
      <c r="A11056" s="253" t="s">
        <v>460</v>
      </c>
      <c r="B11056" s="254"/>
      <c r="C11056" s="481" t="s">
        <v>15</v>
      </c>
      <c r="D11056" s="481"/>
      <c r="E11056" s="489" t="s">
        <v>461</v>
      </c>
      <c r="F11056" s="490"/>
      <c r="G11056" s="490"/>
      <c r="H11056" s="491"/>
    </row>
    <row r="11057" spans="1:8" ht="15.6" x14ac:dyDescent="0.3">
      <c r="A11057" s="255" t="s">
        <v>1823</v>
      </c>
      <c r="B11057" s="256"/>
      <c r="C11057" s="489"/>
      <c r="D11057" s="490"/>
      <c r="E11057" s="490"/>
      <c r="F11057" s="490"/>
      <c r="G11057" s="490"/>
      <c r="H11057" s="491"/>
    </row>
    <row r="11058" spans="1:8" ht="15" x14ac:dyDescent="0.3">
      <c r="A11058" s="492" t="s">
        <v>17</v>
      </c>
      <c r="B11058" s="494" t="s">
        <v>18</v>
      </c>
      <c r="C11058" s="494" t="s">
        <v>19</v>
      </c>
      <c r="D11058" s="495" t="s">
        <v>20</v>
      </c>
      <c r="E11058" s="494" t="s">
        <v>21</v>
      </c>
      <c r="F11058" s="494" t="s">
        <v>22</v>
      </c>
      <c r="G11058" s="494"/>
      <c r="H11058" s="492" t="s">
        <v>23</v>
      </c>
    </row>
    <row r="11059" spans="1:8" ht="27.6" x14ac:dyDescent="0.3">
      <c r="A11059" s="492"/>
      <c r="B11059" s="494"/>
      <c r="C11059" s="494"/>
      <c r="D11059" s="505"/>
      <c r="E11059" s="494"/>
      <c r="F11059" s="53" t="s">
        <v>24</v>
      </c>
      <c r="G11059" s="53" t="s">
        <v>25</v>
      </c>
      <c r="H11059" s="492"/>
    </row>
    <row r="11060" spans="1:8" x14ac:dyDescent="0.3">
      <c r="A11060" s="55">
        <v>1</v>
      </c>
      <c r="B11060" s="84" t="s">
        <v>1820</v>
      </c>
      <c r="C11060" s="55">
        <v>1</v>
      </c>
      <c r="D11060" s="297">
        <v>85381010</v>
      </c>
      <c r="E11060" s="55">
        <v>19720</v>
      </c>
      <c r="F11060" s="55">
        <f>E11060*C11060*9%</f>
        <v>1774.8</v>
      </c>
      <c r="G11060" s="55">
        <f>F11060</f>
        <v>1774.8</v>
      </c>
      <c r="H11060" s="55">
        <f>G11060+F11060+E11060*C11060</f>
        <v>23269.599999999999</v>
      </c>
    </row>
    <row r="11061" spans="1:8" x14ac:dyDescent="0.3">
      <c r="A11061" s="55"/>
      <c r="B11061" s="84"/>
      <c r="C11061" s="55"/>
      <c r="D11061" s="86"/>
      <c r="E11061" s="55"/>
      <c r="F11061" s="55"/>
      <c r="G11061" s="55"/>
      <c r="H11061" s="55"/>
    </row>
    <row r="11062" spans="1:8" x14ac:dyDescent="0.3">
      <c r="A11062" s="55"/>
      <c r="B11062" s="84"/>
      <c r="C11062" s="55"/>
      <c r="D11062" s="86"/>
      <c r="E11062" s="55"/>
      <c r="F11062" s="55"/>
      <c r="G11062" s="55"/>
      <c r="H11062" s="55"/>
    </row>
    <row r="11063" spans="1:8" x14ac:dyDescent="0.3">
      <c r="A11063" s="55"/>
      <c r="B11063" s="84"/>
      <c r="C11063" s="55"/>
      <c r="D11063" s="86"/>
      <c r="E11063" s="55"/>
      <c r="F11063" s="55"/>
      <c r="G11063" s="55"/>
      <c r="H11063" s="55"/>
    </row>
    <row r="11064" spans="1:8" x14ac:dyDescent="0.3">
      <c r="A11064" s="55"/>
      <c r="B11064" s="84"/>
      <c r="C11064" s="55"/>
      <c r="D11064" s="86"/>
      <c r="E11064" s="55"/>
      <c r="F11064" s="55"/>
      <c r="G11064" s="55"/>
      <c r="H11064" s="55"/>
    </row>
    <row r="11065" spans="1:8" x14ac:dyDescent="0.3">
      <c r="A11065" s="55"/>
      <c r="B11065" s="84"/>
      <c r="C11065" s="55"/>
      <c r="D11065" s="86"/>
      <c r="E11065" s="55"/>
      <c r="F11065" s="55"/>
      <c r="G11065" s="55"/>
      <c r="H11065" s="55"/>
    </row>
    <row r="11066" spans="1:8" x14ac:dyDescent="0.3">
      <c r="A11066" s="55"/>
      <c r="B11066" s="84"/>
      <c r="C11066" s="55"/>
      <c r="D11066" s="86"/>
      <c r="E11066" s="55"/>
      <c r="F11066" s="55"/>
      <c r="G11066" s="55"/>
      <c r="H11066" s="55"/>
    </row>
    <row r="11067" spans="1:8" x14ac:dyDescent="0.3">
      <c r="A11067" s="55"/>
      <c r="B11067" s="84"/>
      <c r="C11067" s="55"/>
      <c r="D11067" s="86"/>
      <c r="E11067" s="55"/>
      <c r="F11067" s="55"/>
      <c r="G11067" s="55"/>
      <c r="H11067" s="55"/>
    </row>
    <row r="11068" spans="1:8" x14ac:dyDescent="0.3">
      <c r="A11068" s="55"/>
      <c r="B11068" s="84"/>
      <c r="C11068" s="55"/>
      <c r="D11068" s="86"/>
      <c r="E11068" s="55"/>
      <c r="F11068" s="55"/>
      <c r="G11068" s="55"/>
      <c r="H11068" s="55"/>
    </row>
    <row r="11069" spans="1:8" x14ac:dyDescent="0.3">
      <c r="A11069" s="55"/>
      <c r="B11069" s="399"/>
      <c r="C11069" s="55"/>
      <c r="D11069" s="86"/>
      <c r="E11069" s="55"/>
      <c r="F11069" s="55"/>
      <c r="G11069" s="55"/>
      <c r="H11069" s="55"/>
    </row>
    <row r="11070" spans="1:8" x14ac:dyDescent="0.3">
      <c r="A11070" s="163"/>
      <c r="B11070" s="163"/>
      <c r="C11070" s="163"/>
      <c r="D11070" s="163"/>
      <c r="E11070" s="163"/>
      <c r="F11070" s="163"/>
      <c r="G11070" s="163"/>
      <c r="H11070" s="163"/>
    </row>
    <row r="11071" spans="1:8" x14ac:dyDescent="0.3">
      <c r="A11071" s="163"/>
      <c r="B11071" s="163"/>
      <c r="C11071" s="163"/>
      <c r="D11071" s="163"/>
      <c r="E11071" s="163"/>
      <c r="F11071" s="163"/>
      <c r="G11071" s="163"/>
      <c r="H11071" s="163"/>
    </row>
    <row r="11072" spans="1:8" x14ac:dyDescent="0.3">
      <c r="A11072" s="163"/>
      <c r="B11072" s="163"/>
      <c r="C11072" s="163"/>
      <c r="D11072" s="163"/>
      <c r="E11072" s="163"/>
      <c r="F11072" s="163"/>
      <c r="G11072" s="163"/>
      <c r="H11072" s="163"/>
    </row>
    <row r="11073" spans="1:8" x14ac:dyDescent="0.3">
      <c r="A11073" s="163"/>
      <c r="B11073" s="163"/>
      <c r="C11073" s="163"/>
      <c r="D11073" s="163"/>
      <c r="E11073" s="163"/>
      <c r="F11073" s="163"/>
      <c r="G11073" s="163"/>
      <c r="H11073" s="163"/>
    </row>
    <row r="11074" spans="1:8" x14ac:dyDescent="0.3">
      <c r="A11074" s="163"/>
      <c r="B11074" s="163"/>
      <c r="C11074" s="163"/>
      <c r="D11074" s="163"/>
      <c r="E11074" s="163"/>
      <c r="F11074" s="163"/>
      <c r="G11074" s="163"/>
      <c r="H11074" s="163"/>
    </row>
    <row r="11075" spans="1:8" x14ac:dyDescent="0.3">
      <c r="A11075" s="258"/>
      <c r="B11075" s="257"/>
      <c r="C11075" s="258"/>
      <c r="D11075" s="86"/>
      <c r="E11075" s="55"/>
      <c r="F11075" s="259"/>
      <c r="G11075" s="259"/>
      <c r="H11075" s="258"/>
    </row>
    <row r="11076" spans="1:8" x14ac:dyDescent="0.3">
      <c r="A11076" s="55"/>
      <c r="B11076" s="84"/>
      <c r="C11076" s="55"/>
      <c r="D11076" s="55"/>
      <c r="E11076" s="55"/>
      <c r="F11076" s="55"/>
      <c r="G11076" s="55"/>
      <c r="H11076" s="55"/>
    </row>
    <row r="11077" spans="1:8" x14ac:dyDescent="0.3">
      <c r="A11077" s="163"/>
      <c r="B11077" s="163"/>
      <c r="C11077" s="163"/>
      <c r="D11077" s="163"/>
      <c r="E11077" s="163"/>
      <c r="F11077" s="163"/>
      <c r="G11077" s="163"/>
      <c r="H11077" s="163"/>
    </row>
    <row r="11078" spans="1:8" x14ac:dyDescent="0.3">
      <c r="A11078" s="55"/>
      <c r="B11078" s="257"/>
      <c r="C11078" s="55"/>
      <c r="D11078" s="55"/>
      <c r="E11078" s="55"/>
      <c r="F11078" s="55"/>
      <c r="G11078" s="55"/>
      <c r="H11078" s="55"/>
    </row>
    <row r="11079" spans="1:8" x14ac:dyDescent="0.3">
      <c r="A11079" s="57"/>
      <c r="B11079" s="84"/>
      <c r="C11079" s="85"/>
      <c r="D11079" s="86"/>
      <c r="E11079" s="87"/>
      <c r="F11079" s="47"/>
      <c r="G11079" s="47"/>
      <c r="H11079" s="47"/>
    </row>
    <row r="11080" spans="1:8" x14ac:dyDescent="0.3">
      <c r="A11080" s="57"/>
      <c r="B11080" s="84"/>
      <c r="C11080" s="85"/>
      <c r="D11080" s="86"/>
      <c r="E11080" s="47"/>
      <c r="F11080" s="47"/>
      <c r="G11080" s="47"/>
      <c r="H11080" s="47"/>
    </row>
    <row r="11081" spans="1:8" x14ac:dyDescent="0.3">
      <c r="A11081" s="55"/>
      <c r="B11081" s="84"/>
      <c r="C11081" s="55"/>
      <c r="D11081" s="86"/>
      <c r="E11081" s="47"/>
      <c r="F11081" s="47"/>
      <c r="G11081" s="47"/>
      <c r="H11081" s="47"/>
    </row>
    <row r="11082" spans="1:8" x14ac:dyDescent="0.3">
      <c r="A11082" s="27"/>
      <c r="B11082" s="28"/>
      <c r="C11082" s="24"/>
      <c r="D11082" s="25"/>
      <c r="E11082" s="25"/>
      <c r="F11082" s="28"/>
      <c r="G11082" s="28"/>
      <c r="H11082" s="32"/>
    </row>
    <row r="11083" spans="1:8" ht="15.6" x14ac:dyDescent="0.3">
      <c r="A11083" s="448" t="s">
        <v>45</v>
      </c>
      <c r="B11083" s="449"/>
      <c r="C11083" s="24"/>
      <c r="D11083" s="25"/>
      <c r="E11083" s="25"/>
      <c r="F11083" s="447" t="s">
        <v>46</v>
      </c>
      <c r="G11083" s="447"/>
      <c r="H11083" s="66">
        <v>19720</v>
      </c>
    </row>
    <row r="11084" spans="1:8" ht="15.6" x14ac:dyDescent="0.3">
      <c r="A11084" s="497" t="s">
        <v>1821</v>
      </c>
      <c r="B11084" s="498"/>
      <c r="C11084" s="498"/>
      <c r="D11084" s="498"/>
      <c r="E11084" s="498"/>
      <c r="F11084" s="447" t="s">
        <v>47</v>
      </c>
      <c r="G11084" s="447"/>
      <c r="H11084" s="66">
        <f>H11083*9%</f>
        <v>1774.8</v>
      </c>
    </row>
    <row r="11085" spans="1:8" ht="15.6" x14ac:dyDescent="0.3">
      <c r="A11085" s="27"/>
      <c r="B11085" s="28"/>
      <c r="C11085" s="24"/>
      <c r="D11085" s="25"/>
      <c r="E11085" s="25"/>
      <c r="F11085" s="447" t="s">
        <v>48</v>
      </c>
      <c r="G11085" s="447"/>
      <c r="H11085" s="66">
        <f>H11084</f>
        <v>1774.8</v>
      </c>
    </row>
    <row r="11086" spans="1:8" ht="15.6" x14ac:dyDescent="0.3">
      <c r="A11086" s="64" t="s">
        <v>49</v>
      </c>
      <c r="B11086" s="65"/>
      <c r="C11086" s="24"/>
      <c r="D11086" s="25"/>
      <c r="E11086" s="25"/>
      <c r="F11086" s="447" t="s">
        <v>50</v>
      </c>
      <c r="G11086" s="447"/>
      <c r="H11086" s="66">
        <v>23270</v>
      </c>
    </row>
    <row r="11087" spans="1:8" ht="27" x14ac:dyDescent="0.3">
      <c r="A11087" s="68" t="s">
        <v>22</v>
      </c>
      <c r="B11087" s="30" t="s">
        <v>51</v>
      </c>
      <c r="C11087" s="70" t="s">
        <v>24</v>
      </c>
      <c r="D11087" s="31" t="s">
        <v>25</v>
      </c>
      <c r="E11087" s="450" t="s">
        <v>52</v>
      </c>
      <c r="F11087" s="450"/>
      <c r="G11087" s="28"/>
      <c r="H11087" s="32"/>
    </row>
    <row r="11088" spans="1:8" x14ac:dyDescent="0.3">
      <c r="A11088" s="72">
        <v>0.18</v>
      </c>
      <c r="B11088" s="73">
        <f>H11083</f>
        <v>19720</v>
      </c>
      <c r="C11088" s="91">
        <f>H11084</f>
        <v>1774.8</v>
      </c>
      <c r="D11088" s="91">
        <f>H11084</f>
        <v>1774.8</v>
      </c>
      <c r="E11088" s="506">
        <f>C11088+D11088</f>
        <v>3549.6</v>
      </c>
      <c r="F11088" s="507"/>
      <c r="G11088" s="74"/>
      <c r="H11088" s="75"/>
    </row>
    <row r="11089" spans="1:8" x14ac:dyDescent="0.3">
      <c r="A11089" s="508" t="s">
        <v>1822</v>
      </c>
      <c r="B11089" s="509"/>
      <c r="C11089" s="509"/>
      <c r="D11089" s="509"/>
      <c r="E11089" s="453"/>
      <c r="F11089" s="453"/>
      <c r="G11089" s="453"/>
      <c r="H11089" s="454"/>
    </row>
    <row r="11090" spans="1:8" ht="15.6" x14ac:dyDescent="0.3">
      <c r="A11090" s="455" t="s">
        <v>53</v>
      </c>
      <c r="B11090" s="456"/>
      <c r="C11090" s="456"/>
      <c r="D11090" s="457"/>
      <c r="E11090" s="458" t="s">
        <v>54</v>
      </c>
      <c r="F11090" s="459"/>
      <c r="G11090" s="459"/>
      <c r="H11090" s="460"/>
    </row>
    <row r="11091" spans="1:8" x14ac:dyDescent="0.3">
      <c r="A11091" s="461" t="s">
        <v>55</v>
      </c>
      <c r="B11091" s="462"/>
      <c r="C11091" s="462"/>
      <c r="D11091" s="463"/>
      <c r="E11091" s="39"/>
      <c r="F11091" s="28"/>
      <c r="G11091" s="28"/>
      <c r="H11091" s="32"/>
    </row>
    <row r="11092" spans="1:8" x14ac:dyDescent="0.3">
      <c r="A11092" s="461" t="s">
        <v>56</v>
      </c>
      <c r="B11092" s="462"/>
      <c r="C11092" s="462"/>
      <c r="D11092" s="463"/>
      <c r="E11092" s="39"/>
      <c r="F11092" s="28"/>
      <c r="G11092" s="28"/>
      <c r="H11092" s="32"/>
    </row>
    <row r="11093" spans="1:8" x14ac:dyDescent="0.3">
      <c r="A11093" s="461" t="s">
        <v>57</v>
      </c>
      <c r="B11093" s="462"/>
      <c r="C11093" s="462"/>
      <c r="D11093" s="463"/>
      <c r="E11093" s="39"/>
      <c r="F11093" s="28"/>
      <c r="G11093" s="28"/>
      <c r="H11093" s="32"/>
    </row>
    <row r="11094" spans="1:8" ht="15.6" x14ac:dyDescent="0.3">
      <c r="A11094" s="464" t="s">
        <v>58</v>
      </c>
      <c r="B11094" s="465"/>
      <c r="C11094" s="465"/>
      <c r="D11094" s="465"/>
      <c r="E11094" s="466" t="s">
        <v>59</v>
      </c>
      <c r="F11094" s="467"/>
      <c r="G11094" s="467"/>
      <c r="H11094" s="468"/>
    </row>
    <row r="11099" spans="1:8" ht="44.4" x14ac:dyDescent="0.7">
      <c r="A11099" s="469" t="s">
        <v>0</v>
      </c>
      <c r="B11099" s="470"/>
      <c r="C11099" s="470"/>
      <c r="D11099" s="470"/>
      <c r="E11099" s="531" t="s">
        <v>1</v>
      </c>
      <c r="F11099" s="544"/>
      <c r="G11099" s="544"/>
      <c r="H11099" s="545"/>
    </row>
    <row r="11100" spans="1:8" ht="20.399999999999999" x14ac:dyDescent="0.35">
      <c r="A11100" s="1"/>
      <c r="B11100" s="476" t="s">
        <v>2</v>
      </c>
      <c r="C11100" s="476"/>
      <c r="D11100" s="476"/>
      <c r="E11100" s="546"/>
      <c r="F11100" s="546"/>
      <c r="G11100" s="546"/>
      <c r="H11100" s="547"/>
    </row>
    <row r="11101" spans="1:8" x14ac:dyDescent="0.3">
      <c r="A11101" s="477" t="s">
        <v>3</v>
      </c>
      <c r="B11101" s="478"/>
      <c r="C11101" s="479" t="s">
        <v>4</v>
      </c>
      <c r="D11101" s="479"/>
      <c r="E11101" s="654" t="s">
        <v>5</v>
      </c>
      <c r="F11101" s="654"/>
      <c r="G11101" s="654"/>
      <c r="H11101" s="654"/>
    </row>
    <row r="11102" spans="1:8" ht="15.6" x14ac:dyDescent="0.3">
      <c r="A11102" s="4" t="s">
        <v>6</v>
      </c>
      <c r="B11102" s="5"/>
      <c r="C11102" s="481" t="s">
        <v>7</v>
      </c>
      <c r="D11102" s="481"/>
      <c r="E11102" s="482">
        <v>240</v>
      </c>
      <c r="F11102" s="482"/>
      <c r="G11102" s="7" t="s">
        <v>8</v>
      </c>
      <c r="H11102" s="250" t="s">
        <v>1778</v>
      </c>
    </row>
    <row r="11103" spans="1:8" ht="15.6" x14ac:dyDescent="0.3">
      <c r="A11103" s="551" t="s">
        <v>458</v>
      </c>
      <c r="B11103" s="552"/>
      <c r="C11103" s="481" t="s">
        <v>10</v>
      </c>
      <c r="D11103" s="481"/>
      <c r="E11103" s="482">
        <v>72</v>
      </c>
      <c r="F11103" s="482"/>
      <c r="G11103" s="7" t="s">
        <v>8</v>
      </c>
      <c r="H11103" s="250">
        <v>46266</v>
      </c>
    </row>
    <row r="11104" spans="1:8" ht="25.5" customHeight="1" x14ac:dyDescent="0.3">
      <c r="A11104" s="560" t="s">
        <v>459</v>
      </c>
      <c r="B11104" s="561"/>
      <c r="C11104" s="483" t="s">
        <v>12</v>
      </c>
      <c r="D11104" s="484"/>
      <c r="E11104" s="652" t="s">
        <v>466</v>
      </c>
      <c r="F11104" s="653"/>
      <c r="G11104" s="10" t="s">
        <v>8</v>
      </c>
      <c r="H11104" s="252" t="s">
        <v>465</v>
      </c>
    </row>
    <row r="11105" spans="1:9" ht="15.6" x14ac:dyDescent="0.3">
      <c r="A11105" s="253" t="s">
        <v>460</v>
      </c>
      <c r="B11105" s="254"/>
      <c r="C11105" s="481" t="s">
        <v>15</v>
      </c>
      <c r="D11105" s="481"/>
      <c r="E11105" s="489" t="s">
        <v>461</v>
      </c>
      <c r="F11105" s="490"/>
      <c r="G11105" s="490"/>
      <c r="H11105" s="491"/>
    </row>
    <row r="11106" spans="1:9" ht="15.6" x14ac:dyDescent="0.3">
      <c r="A11106" s="255" t="s">
        <v>1824</v>
      </c>
      <c r="B11106" s="256"/>
      <c r="C11106" s="489"/>
      <c r="D11106" s="490"/>
      <c r="E11106" s="490"/>
      <c r="F11106" s="490"/>
      <c r="G11106" s="490"/>
      <c r="H11106" s="491"/>
    </row>
    <row r="11107" spans="1:9" ht="15" x14ac:dyDescent="0.3">
      <c r="A11107" s="492" t="s">
        <v>17</v>
      </c>
      <c r="B11107" s="494" t="s">
        <v>18</v>
      </c>
      <c r="C11107" s="494" t="s">
        <v>19</v>
      </c>
      <c r="D11107" s="495" t="s">
        <v>20</v>
      </c>
      <c r="E11107" s="494" t="s">
        <v>21</v>
      </c>
      <c r="F11107" s="494" t="s">
        <v>22</v>
      </c>
      <c r="G11107" s="494"/>
      <c r="H11107" s="492" t="s">
        <v>23</v>
      </c>
    </row>
    <row r="11108" spans="1:9" ht="27.6" x14ac:dyDescent="0.3">
      <c r="A11108" s="492"/>
      <c r="B11108" s="494"/>
      <c r="C11108" s="494"/>
      <c r="D11108" s="505"/>
      <c r="E11108" s="494"/>
      <c r="F11108" s="53" t="s">
        <v>24</v>
      </c>
      <c r="G11108" s="53" t="s">
        <v>25</v>
      </c>
      <c r="H11108" s="492"/>
    </row>
    <row r="11109" spans="1:9" ht="15" x14ac:dyDescent="0.3">
      <c r="A11109" s="353">
        <v>1</v>
      </c>
      <c r="B11109" s="84" t="s">
        <v>1825</v>
      </c>
      <c r="C11109" s="430">
        <v>1</v>
      </c>
      <c r="D11109" s="86">
        <v>998719</v>
      </c>
      <c r="E11109" s="352">
        <v>2500</v>
      </c>
      <c r="F11109" s="55">
        <f t="shared" ref="F11109:F11119" si="309">E11109*C11109*9%</f>
        <v>225</v>
      </c>
      <c r="G11109" s="55">
        <f t="shared" ref="G11109:G11119" si="310">F11109</f>
        <v>225</v>
      </c>
      <c r="H11109" s="55">
        <f t="shared" ref="H11109:H11119" si="311">G11109+F11109+E11109*C11109</f>
        <v>2950</v>
      </c>
      <c r="I11109" s="362">
        <f t="shared" ref="I11109:I11121" si="312">E11109*C11109</f>
        <v>2500</v>
      </c>
    </row>
    <row r="11110" spans="1:9" x14ac:dyDescent="0.3">
      <c r="A11110" s="55">
        <v>2</v>
      </c>
      <c r="B11110" s="84" t="s">
        <v>1055</v>
      </c>
      <c r="C11110" s="431">
        <v>19</v>
      </c>
      <c r="D11110" s="86">
        <v>998719</v>
      </c>
      <c r="E11110" s="55">
        <v>2500</v>
      </c>
      <c r="F11110" s="55">
        <f t="shared" si="309"/>
        <v>4275</v>
      </c>
      <c r="G11110" s="55">
        <f t="shared" si="310"/>
        <v>4275</v>
      </c>
      <c r="H11110" s="55">
        <f t="shared" si="311"/>
        <v>56050</v>
      </c>
      <c r="I11110" s="362">
        <f t="shared" si="312"/>
        <v>47500</v>
      </c>
    </row>
    <row r="11111" spans="1:9" ht="15" x14ac:dyDescent="0.3">
      <c r="A11111" s="353">
        <v>3</v>
      </c>
      <c r="B11111" s="84" t="s">
        <v>1057</v>
      </c>
      <c r="C11111" s="431">
        <v>9</v>
      </c>
      <c r="D11111" s="86">
        <v>998719</v>
      </c>
      <c r="E11111" s="55">
        <v>2500</v>
      </c>
      <c r="F11111" s="55">
        <f t="shared" si="309"/>
        <v>2025</v>
      </c>
      <c r="G11111" s="55">
        <f t="shared" si="310"/>
        <v>2025</v>
      </c>
      <c r="H11111" s="55">
        <f t="shared" si="311"/>
        <v>26550</v>
      </c>
      <c r="I11111" s="362">
        <f t="shared" si="312"/>
        <v>22500</v>
      </c>
    </row>
    <row r="11112" spans="1:9" ht="15" x14ac:dyDescent="0.3">
      <c r="A11112" s="353">
        <v>4</v>
      </c>
      <c r="B11112" s="84" t="s">
        <v>689</v>
      </c>
      <c r="C11112" s="431">
        <v>2</v>
      </c>
      <c r="D11112" s="86">
        <v>998719</v>
      </c>
      <c r="E11112" s="55">
        <v>3000</v>
      </c>
      <c r="F11112" s="55">
        <f t="shared" si="309"/>
        <v>540</v>
      </c>
      <c r="G11112" s="55">
        <f t="shared" si="310"/>
        <v>540</v>
      </c>
      <c r="H11112" s="55">
        <f t="shared" si="311"/>
        <v>7080</v>
      </c>
      <c r="I11112" s="362">
        <f t="shared" si="312"/>
        <v>6000</v>
      </c>
    </row>
    <row r="11113" spans="1:9" x14ac:dyDescent="0.3">
      <c r="A11113" s="55">
        <v>5</v>
      </c>
      <c r="B11113" s="84" t="s">
        <v>690</v>
      </c>
      <c r="C11113" s="431">
        <v>10</v>
      </c>
      <c r="D11113" s="86">
        <v>998719</v>
      </c>
      <c r="E11113" s="55">
        <v>3000</v>
      </c>
      <c r="F11113" s="55">
        <f t="shared" si="309"/>
        <v>2700</v>
      </c>
      <c r="G11113" s="55">
        <f t="shared" si="310"/>
        <v>2700</v>
      </c>
      <c r="H11113" s="55">
        <f t="shared" si="311"/>
        <v>35400</v>
      </c>
      <c r="I11113" s="362">
        <f t="shared" si="312"/>
        <v>30000</v>
      </c>
    </row>
    <row r="11114" spans="1:9" ht="15" x14ac:dyDescent="0.3">
      <c r="A11114" s="353">
        <v>6</v>
      </c>
      <c r="B11114" s="84" t="s">
        <v>1058</v>
      </c>
      <c r="C11114" s="431">
        <v>5</v>
      </c>
      <c r="D11114" s="86">
        <v>998719</v>
      </c>
      <c r="E11114" s="55">
        <v>4000</v>
      </c>
      <c r="F11114" s="55">
        <f t="shared" si="309"/>
        <v>1800</v>
      </c>
      <c r="G11114" s="55">
        <f t="shared" si="310"/>
        <v>1800</v>
      </c>
      <c r="H11114" s="55">
        <f t="shared" si="311"/>
        <v>23600</v>
      </c>
      <c r="I11114" s="362">
        <f t="shared" si="312"/>
        <v>20000</v>
      </c>
    </row>
    <row r="11115" spans="1:9" ht="15" x14ac:dyDescent="0.3">
      <c r="A11115" s="353">
        <v>7</v>
      </c>
      <c r="B11115" s="84" t="s">
        <v>692</v>
      </c>
      <c r="C11115" s="432">
        <v>12</v>
      </c>
      <c r="D11115" s="86">
        <v>998719</v>
      </c>
      <c r="E11115" s="55">
        <v>4300</v>
      </c>
      <c r="F11115" s="55">
        <f t="shared" si="309"/>
        <v>4644</v>
      </c>
      <c r="G11115" s="55">
        <f t="shared" si="310"/>
        <v>4644</v>
      </c>
      <c r="H11115" s="55">
        <f t="shared" si="311"/>
        <v>60888</v>
      </c>
      <c r="I11115" s="362">
        <f t="shared" si="312"/>
        <v>51600</v>
      </c>
    </row>
    <row r="11116" spans="1:9" x14ac:dyDescent="0.3">
      <c r="A11116" s="55">
        <v>8</v>
      </c>
      <c r="B11116" s="257" t="s">
        <v>1059</v>
      </c>
      <c r="C11116" s="432">
        <v>106</v>
      </c>
      <c r="D11116" s="86">
        <v>998719</v>
      </c>
      <c r="E11116" s="55">
        <v>750</v>
      </c>
      <c r="F11116" s="55">
        <f t="shared" si="309"/>
        <v>7155</v>
      </c>
      <c r="G11116" s="55">
        <f t="shared" si="310"/>
        <v>7155</v>
      </c>
      <c r="H11116" s="55">
        <f t="shared" si="311"/>
        <v>93810</v>
      </c>
      <c r="I11116" s="362">
        <f t="shared" si="312"/>
        <v>79500</v>
      </c>
    </row>
    <row r="11117" spans="1:9" ht="15" x14ac:dyDescent="0.3">
      <c r="A11117" s="353">
        <v>9</v>
      </c>
      <c r="B11117" s="257" t="s">
        <v>1060</v>
      </c>
      <c r="C11117" s="432">
        <v>4</v>
      </c>
      <c r="D11117" s="86">
        <v>998719</v>
      </c>
      <c r="E11117" s="55">
        <v>4500</v>
      </c>
      <c r="F11117" s="55">
        <f t="shared" si="309"/>
        <v>1620</v>
      </c>
      <c r="G11117" s="55">
        <f t="shared" si="310"/>
        <v>1620</v>
      </c>
      <c r="H11117" s="55">
        <f t="shared" si="311"/>
        <v>21240</v>
      </c>
      <c r="I11117" s="362">
        <f t="shared" si="312"/>
        <v>18000</v>
      </c>
    </row>
    <row r="11118" spans="1:9" ht="15" x14ac:dyDescent="0.3">
      <c r="A11118" s="353">
        <v>10</v>
      </c>
      <c r="B11118" s="257" t="s">
        <v>1826</v>
      </c>
      <c r="C11118" s="432">
        <v>1</v>
      </c>
      <c r="D11118" s="86">
        <v>998719</v>
      </c>
      <c r="E11118" s="55">
        <v>4500</v>
      </c>
      <c r="F11118" s="55">
        <f t="shared" si="309"/>
        <v>405</v>
      </c>
      <c r="G11118" s="55">
        <f t="shared" si="310"/>
        <v>405</v>
      </c>
      <c r="H11118" s="55">
        <f t="shared" si="311"/>
        <v>5310</v>
      </c>
      <c r="I11118" s="362">
        <f t="shared" si="312"/>
        <v>4500</v>
      </c>
    </row>
    <row r="11119" spans="1:9" x14ac:dyDescent="0.3">
      <c r="A11119" s="55">
        <v>11</v>
      </c>
      <c r="B11119" s="257" t="s">
        <v>1827</v>
      </c>
      <c r="C11119" s="20">
        <v>1</v>
      </c>
      <c r="D11119" s="86">
        <v>998719</v>
      </c>
      <c r="E11119" s="55">
        <v>4500</v>
      </c>
      <c r="F11119" s="55">
        <f t="shared" si="309"/>
        <v>405</v>
      </c>
      <c r="G11119" s="55">
        <f t="shared" si="310"/>
        <v>405</v>
      </c>
      <c r="H11119" s="55">
        <f t="shared" si="311"/>
        <v>5310</v>
      </c>
      <c r="I11119" s="362">
        <f t="shared" si="312"/>
        <v>4500</v>
      </c>
    </row>
    <row r="11120" spans="1:9" ht="15" x14ac:dyDescent="0.3">
      <c r="A11120" s="353">
        <v>12</v>
      </c>
      <c r="B11120" s="84" t="s">
        <v>1598</v>
      </c>
      <c r="C11120" s="55">
        <v>6</v>
      </c>
      <c r="D11120" s="86">
        <v>998719</v>
      </c>
      <c r="E11120" s="55">
        <v>1200</v>
      </c>
      <c r="F11120" s="55">
        <f>E11120*C11120*9%</f>
        <v>648</v>
      </c>
      <c r="G11120" s="55">
        <f>F11120</f>
        <v>648</v>
      </c>
      <c r="H11120" s="55">
        <f>G11120+F11120+E11120*C11120</f>
        <v>8496</v>
      </c>
      <c r="I11120" s="362">
        <f t="shared" si="312"/>
        <v>7200</v>
      </c>
    </row>
    <row r="11121" spans="1:9" ht="15" x14ac:dyDescent="0.3">
      <c r="A11121" s="353">
        <v>13</v>
      </c>
      <c r="B11121" s="257" t="s">
        <v>1828</v>
      </c>
      <c r="C11121" s="20">
        <v>2</v>
      </c>
      <c r="D11121" s="86">
        <v>998719</v>
      </c>
      <c r="E11121" s="55">
        <v>500</v>
      </c>
      <c r="F11121" s="55">
        <f>E11121*C11121*9%</f>
        <v>90</v>
      </c>
      <c r="G11121" s="55">
        <f>F11121</f>
        <v>90</v>
      </c>
      <c r="H11121" s="55">
        <f>G11121+F11121+E11121*C11121</f>
        <v>1180</v>
      </c>
      <c r="I11121" s="362">
        <f t="shared" si="312"/>
        <v>1000</v>
      </c>
    </row>
    <row r="11122" spans="1:9" x14ac:dyDescent="0.3">
      <c r="A11122" s="55"/>
      <c r="B11122" s="257"/>
      <c r="C11122" s="20"/>
      <c r="D11122" s="86"/>
      <c r="E11122" s="55"/>
      <c r="F11122" s="55"/>
      <c r="G11122" s="55"/>
      <c r="H11122" s="55"/>
    </row>
    <row r="11123" spans="1:9" x14ac:dyDescent="0.3">
      <c r="A11123" s="163"/>
      <c r="B11123" s="163"/>
      <c r="C11123" s="163"/>
      <c r="D11123" s="163"/>
      <c r="E11123" s="163"/>
      <c r="F11123" s="163"/>
      <c r="G11123" s="163"/>
      <c r="H11123" s="163"/>
    </row>
    <row r="11124" spans="1:9" x14ac:dyDescent="0.3">
      <c r="A11124" s="55"/>
      <c r="B11124" s="257"/>
      <c r="C11124" s="55"/>
      <c r="D11124" s="55"/>
      <c r="E11124" s="55"/>
      <c r="F11124" s="55"/>
      <c r="G11124" s="55"/>
      <c r="H11124" s="55"/>
    </row>
    <row r="11125" spans="1:9" x14ac:dyDescent="0.3">
      <c r="A11125" s="57"/>
      <c r="B11125" s="84"/>
      <c r="C11125" s="85"/>
      <c r="D11125" s="86"/>
      <c r="E11125" s="87"/>
      <c r="F11125" s="47"/>
      <c r="G11125" s="47"/>
      <c r="H11125" s="47"/>
    </row>
    <row r="11126" spans="1:9" x14ac:dyDescent="0.3">
      <c r="A11126" s="57"/>
      <c r="B11126" s="84"/>
      <c r="C11126" s="85"/>
      <c r="D11126" s="86"/>
      <c r="E11126" s="47"/>
      <c r="F11126" s="47"/>
      <c r="G11126" s="47"/>
      <c r="H11126" s="47"/>
    </row>
    <row r="11127" spans="1:9" x14ac:dyDescent="0.3">
      <c r="A11127" s="55"/>
      <c r="B11127" s="84"/>
      <c r="C11127" s="55"/>
      <c r="D11127" s="86"/>
      <c r="E11127" s="47"/>
      <c r="F11127" s="47"/>
      <c r="G11127" s="47"/>
      <c r="H11127" s="47"/>
    </row>
    <row r="11128" spans="1:9" x14ac:dyDescent="0.3">
      <c r="A11128" s="27"/>
      <c r="B11128" s="28"/>
      <c r="C11128" s="24"/>
      <c r="D11128" s="25"/>
      <c r="E11128" s="25"/>
      <c r="F11128" s="28"/>
      <c r="G11128" s="28"/>
      <c r="H11128" s="32"/>
    </row>
    <row r="11129" spans="1:9" ht="15.6" x14ac:dyDescent="0.3">
      <c r="A11129" s="448" t="s">
        <v>45</v>
      </c>
      <c r="B11129" s="449"/>
      <c r="C11129" s="24"/>
      <c r="D11129" s="25"/>
      <c r="E11129" s="25"/>
      <c r="F11129" s="447" t="s">
        <v>46</v>
      </c>
      <c r="G11129" s="447"/>
      <c r="H11129" s="66">
        <v>294800</v>
      </c>
    </row>
    <row r="11130" spans="1:9" ht="15.6" x14ac:dyDescent="0.3">
      <c r="A11130" s="497" t="s">
        <v>1885</v>
      </c>
      <c r="B11130" s="498"/>
      <c r="C11130" s="498"/>
      <c r="D11130" s="498"/>
      <c r="E11130" s="498"/>
      <c r="F11130" s="447" t="s">
        <v>47</v>
      </c>
      <c r="G11130" s="447"/>
      <c r="H11130" s="66">
        <f>H11129*9%</f>
        <v>26532</v>
      </c>
    </row>
    <row r="11131" spans="1:9" ht="15.6" x14ac:dyDescent="0.3">
      <c r="A11131" s="27"/>
      <c r="B11131" s="28" t="s">
        <v>687</v>
      </c>
      <c r="C11131" s="24"/>
      <c r="D11131" s="25"/>
      <c r="E11131" s="25"/>
      <c r="F11131" s="447" t="s">
        <v>48</v>
      </c>
      <c r="G11131" s="447"/>
      <c r="H11131" s="66">
        <f>H11130</f>
        <v>26532</v>
      </c>
    </row>
    <row r="11132" spans="1:9" ht="15.6" x14ac:dyDescent="0.3">
      <c r="A11132" s="64" t="s">
        <v>49</v>
      </c>
      <c r="B11132" s="65"/>
      <c r="C11132" s="24"/>
      <c r="D11132" s="25"/>
      <c r="E11132" s="25"/>
      <c r="F11132" s="447" t="s">
        <v>50</v>
      </c>
      <c r="G11132" s="447"/>
      <c r="H11132" s="66">
        <f>H11129+H11130+H11131</f>
        <v>347864</v>
      </c>
    </row>
    <row r="11133" spans="1:9" ht="27" x14ac:dyDescent="0.3">
      <c r="A11133" s="68" t="s">
        <v>22</v>
      </c>
      <c r="B11133" s="30" t="s">
        <v>51</v>
      </c>
      <c r="C11133" s="70" t="s">
        <v>24</v>
      </c>
      <c r="D11133" s="31" t="s">
        <v>25</v>
      </c>
      <c r="E11133" s="450" t="s">
        <v>52</v>
      </c>
      <c r="F11133" s="450"/>
      <c r="G11133" s="28"/>
      <c r="H11133" s="32"/>
    </row>
    <row r="11134" spans="1:9" x14ac:dyDescent="0.3">
      <c r="A11134" s="72">
        <v>0.18</v>
      </c>
      <c r="B11134" s="73">
        <f>H11129</f>
        <v>294800</v>
      </c>
      <c r="C11134" s="91">
        <f>H11130</f>
        <v>26532</v>
      </c>
      <c r="D11134" s="91">
        <f>H11130</f>
        <v>26532</v>
      </c>
      <c r="E11134" s="506">
        <f>C11134+D11134</f>
        <v>53064</v>
      </c>
      <c r="F11134" s="507"/>
      <c r="G11134" s="74"/>
      <c r="H11134" s="75"/>
    </row>
    <row r="11135" spans="1:9" x14ac:dyDescent="0.3">
      <c r="A11135" s="508" t="s">
        <v>1886</v>
      </c>
      <c r="B11135" s="509"/>
      <c r="C11135" s="509"/>
      <c r="D11135" s="509"/>
      <c r="E11135" s="453"/>
      <c r="F11135" s="453"/>
      <c r="G11135" s="453"/>
      <c r="H11135" s="454"/>
    </row>
    <row r="11136" spans="1:9" ht="15.6" x14ac:dyDescent="0.3">
      <c r="A11136" s="455" t="s">
        <v>53</v>
      </c>
      <c r="B11136" s="456"/>
      <c r="C11136" s="456"/>
      <c r="D11136" s="457"/>
      <c r="E11136" s="458" t="s">
        <v>54</v>
      </c>
      <c r="F11136" s="459"/>
      <c r="G11136" s="459"/>
      <c r="H11136" s="460"/>
    </row>
    <row r="11137" spans="1:12" x14ac:dyDescent="0.3">
      <c r="A11137" s="461" t="s">
        <v>55</v>
      </c>
      <c r="B11137" s="462"/>
      <c r="C11137" s="462"/>
      <c r="D11137" s="463"/>
      <c r="E11137" s="39"/>
      <c r="F11137" s="28"/>
      <c r="G11137" s="28"/>
      <c r="H11137" s="32"/>
    </row>
    <row r="11138" spans="1:12" x14ac:dyDescent="0.3">
      <c r="A11138" s="461" t="s">
        <v>56</v>
      </c>
      <c r="B11138" s="462"/>
      <c r="C11138" s="462"/>
      <c r="D11138" s="463"/>
      <c r="E11138" s="39"/>
      <c r="F11138" s="28"/>
      <c r="G11138" s="28"/>
      <c r="H11138" s="32"/>
    </row>
    <row r="11139" spans="1:12" x14ac:dyDescent="0.3">
      <c r="A11139" s="461" t="s">
        <v>57</v>
      </c>
      <c r="B11139" s="462"/>
      <c r="C11139" s="462"/>
      <c r="D11139" s="463"/>
      <c r="E11139" s="39"/>
      <c r="F11139" s="28"/>
      <c r="G11139" s="28"/>
      <c r="H11139" s="32"/>
    </row>
    <row r="11140" spans="1:12" ht="15.6" x14ac:dyDescent="0.3">
      <c r="A11140" s="464" t="s">
        <v>58</v>
      </c>
      <c r="B11140" s="465"/>
      <c r="C11140" s="465"/>
      <c r="D11140" s="465"/>
      <c r="E11140" s="466" t="s">
        <v>59</v>
      </c>
      <c r="F11140" s="467"/>
      <c r="G11140" s="467"/>
      <c r="H11140" s="468"/>
    </row>
    <row r="11145" spans="1:12" ht="44.4" x14ac:dyDescent="0.7">
      <c r="A11145" s="469" t="s">
        <v>0</v>
      </c>
      <c r="B11145" s="470"/>
      <c r="C11145" s="470"/>
      <c r="D11145" s="470"/>
      <c r="E11145" s="531" t="s">
        <v>1</v>
      </c>
      <c r="F11145" s="544"/>
      <c r="G11145" s="544"/>
      <c r="H11145" s="545"/>
    </row>
    <row r="11146" spans="1:12" ht="20.399999999999999" x14ac:dyDescent="0.35">
      <c r="A11146" s="1"/>
      <c r="B11146" s="476" t="s">
        <v>2</v>
      </c>
      <c r="C11146" s="476"/>
      <c r="D11146" s="476"/>
      <c r="E11146" s="546"/>
      <c r="F11146" s="546"/>
      <c r="G11146" s="546"/>
      <c r="H11146" s="547"/>
    </row>
    <row r="11147" spans="1:12" x14ac:dyDescent="0.3">
      <c r="A11147" s="477" t="s">
        <v>3</v>
      </c>
      <c r="B11147" s="478"/>
      <c r="C11147" s="479" t="s">
        <v>4</v>
      </c>
      <c r="D11147" s="479"/>
      <c r="E11147" s="654" t="s">
        <v>5</v>
      </c>
      <c r="F11147" s="654"/>
      <c r="G11147" s="654"/>
      <c r="H11147" s="654"/>
    </row>
    <row r="11148" spans="1:12" ht="15.6" x14ac:dyDescent="0.3">
      <c r="A11148" s="4" t="s">
        <v>6</v>
      </c>
      <c r="B11148" s="5"/>
      <c r="C11148" s="481" t="s">
        <v>7</v>
      </c>
      <c r="D11148" s="481"/>
      <c r="E11148" s="482">
        <v>241</v>
      </c>
      <c r="F11148" s="482"/>
      <c r="G11148" s="7" t="s">
        <v>8</v>
      </c>
      <c r="H11148" s="250" t="s">
        <v>1833</v>
      </c>
    </row>
    <row r="11149" spans="1:12" ht="15.6" x14ac:dyDescent="0.3">
      <c r="A11149" s="551" t="s">
        <v>458</v>
      </c>
      <c r="B11149" s="552"/>
      <c r="C11149" s="481" t="s">
        <v>10</v>
      </c>
      <c r="D11149" s="481"/>
      <c r="E11149" s="482">
        <v>71</v>
      </c>
      <c r="F11149" s="482"/>
      <c r="G11149" s="7" t="s">
        <v>8</v>
      </c>
      <c r="H11149" s="250">
        <v>46268</v>
      </c>
      <c r="L11149" t="s">
        <v>546</v>
      </c>
    </row>
    <row r="11150" spans="1:12" ht="23.25" customHeight="1" x14ac:dyDescent="0.3">
      <c r="A11150" s="560" t="s">
        <v>459</v>
      </c>
      <c r="B11150" s="561"/>
      <c r="C11150" s="483" t="s">
        <v>12</v>
      </c>
      <c r="D11150" s="484"/>
      <c r="E11150" s="652" t="s">
        <v>466</v>
      </c>
      <c r="F11150" s="653"/>
      <c r="G11150" s="10" t="s">
        <v>8</v>
      </c>
      <c r="H11150" s="252" t="s">
        <v>465</v>
      </c>
    </row>
    <row r="11151" spans="1:12" ht="15.6" x14ac:dyDescent="0.3">
      <c r="A11151" s="253" t="s">
        <v>460</v>
      </c>
      <c r="B11151" s="254"/>
      <c r="C11151" s="481" t="s">
        <v>15</v>
      </c>
      <c r="D11151" s="481"/>
      <c r="E11151" s="489" t="s">
        <v>461</v>
      </c>
      <c r="F11151" s="490"/>
      <c r="G11151" s="490"/>
      <c r="H11151" s="491"/>
    </row>
    <row r="11152" spans="1:12" ht="15.6" x14ac:dyDescent="0.3">
      <c r="A11152" s="255" t="s">
        <v>1053</v>
      </c>
      <c r="B11152" s="256"/>
      <c r="C11152" s="489"/>
      <c r="D11152" s="490"/>
      <c r="E11152" s="490"/>
      <c r="F11152" s="490"/>
      <c r="G11152" s="490"/>
      <c r="H11152" s="491"/>
    </row>
    <row r="11153" spans="1:9" ht="15" x14ac:dyDescent="0.3">
      <c r="A11153" s="492" t="s">
        <v>17</v>
      </c>
      <c r="B11153" s="494" t="s">
        <v>18</v>
      </c>
      <c r="C11153" s="494" t="s">
        <v>19</v>
      </c>
      <c r="D11153" s="495" t="s">
        <v>20</v>
      </c>
      <c r="E11153" s="494" t="s">
        <v>21</v>
      </c>
      <c r="F11153" s="494" t="s">
        <v>22</v>
      </c>
      <c r="G11153" s="494"/>
      <c r="H11153" s="492" t="s">
        <v>23</v>
      </c>
    </row>
    <row r="11154" spans="1:9" ht="27.6" x14ac:dyDescent="0.3">
      <c r="A11154" s="492"/>
      <c r="B11154" s="494"/>
      <c r="C11154" s="494"/>
      <c r="D11154" s="505"/>
      <c r="E11154" s="494"/>
      <c r="F11154" s="53" t="s">
        <v>24</v>
      </c>
      <c r="G11154" s="53" t="s">
        <v>25</v>
      </c>
      <c r="H11154" s="492"/>
    </row>
    <row r="11155" spans="1:9" ht="15" x14ac:dyDescent="0.3">
      <c r="A11155" s="353">
        <v>1</v>
      </c>
      <c r="B11155" s="84" t="s">
        <v>1834</v>
      </c>
      <c r="C11155" s="430">
        <v>1</v>
      </c>
      <c r="D11155" s="385">
        <v>85389000</v>
      </c>
      <c r="E11155" s="352">
        <v>8500</v>
      </c>
      <c r="F11155" s="55">
        <f t="shared" ref="F11155:F11159" si="313">E11155*C11155*9%</f>
        <v>765</v>
      </c>
      <c r="G11155" s="55">
        <f t="shared" ref="G11155:G11159" si="314">F11155</f>
        <v>765</v>
      </c>
      <c r="H11155" s="55">
        <f t="shared" ref="H11155:H11159" si="315">G11155+F11155+E11155*C11155</f>
        <v>10030</v>
      </c>
      <c r="I11155" s="362">
        <f>E11155*C11155</f>
        <v>8500</v>
      </c>
    </row>
    <row r="11156" spans="1:9" x14ac:dyDescent="0.3">
      <c r="A11156" s="55">
        <v>2</v>
      </c>
      <c r="B11156" s="84" t="s">
        <v>1835</v>
      </c>
      <c r="C11156" s="431">
        <v>17</v>
      </c>
      <c r="D11156" s="86">
        <v>998719</v>
      </c>
      <c r="E11156" s="55">
        <v>80</v>
      </c>
      <c r="F11156" s="55">
        <f t="shared" si="313"/>
        <v>122.39999999999999</v>
      </c>
      <c r="G11156" s="55">
        <f t="shared" si="314"/>
        <v>122.39999999999999</v>
      </c>
      <c r="H11156" s="55">
        <f t="shared" si="315"/>
        <v>1604.8</v>
      </c>
      <c r="I11156" s="362">
        <f t="shared" ref="I11156:I11160" si="316">E11156*C11156</f>
        <v>1360</v>
      </c>
    </row>
    <row r="11157" spans="1:9" ht="15" x14ac:dyDescent="0.3">
      <c r="A11157" s="353">
        <v>3</v>
      </c>
      <c r="B11157" s="84" t="s">
        <v>1237</v>
      </c>
      <c r="C11157" s="431">
        <v>2</v>
      </c>
      <c r="D11157" s="86">
        <v>998719</v>
      </c>
      <c r="E11157" s="55">
        <v>800</v>
      </c>
      <c r="F11157" s="55">
        <f t="shared" si="313"/>
        <v>144</v>
      </c>
      <c r="G11157" s="55">
        <f t="shared" si="314"/>
        <v>144</v>
      </c>
      <c r="H11157" s="55">
        <f t="shared" si="315"/>
        <v>1888</v>
      </c>
      <c r="I11157" s="362">
        <f t="shared" si="316"/>
        <v>1600</v>
      </c>
    </row>
    <row r="11158" spans="1:9" ht="15" x14ac:dyDescent="0.3">
      <c r="A11158" s="353">
        <v>4</v>
      </c>
      <c r="B11158" s="84" t="s">
        <v>1836</v>
      </c>
      <c r="C11158" s="431">
        <v>20</v>
      </c>
      <c r="D11158" s="385">
        <v>76269099</v>
      </c>
      <c r="E11158" s="55">
        <v>135</v>
      </c>
      <c r="F11158" s="55">
        <f t="shared" si="313"/>
        <v>243</v>
      </c>
      <c r="G11158" s="55">
        <f t="shared" si="314"/>
        <v>243</v>
      </c>
      <c r="H11158" s="55">
        <f t="shared" si="315"/>
        <v>3186</v>
      </c>
      <c r="I11158" s="362">
        <f t="shared" si="316"/>
        <v>2700</v>
      </c>
    </row>
    <row r="11159" spans="1:9" x14ac:dyDescent="0.3">
      <c r="A11159" s="55">
        <v>5</v>
      </c>
      <c r="B11159" s="84" t="s">
        <v>1837</v>
      </c>
      <c r="C11159" s="431">
        <v>6</v>
      </c>
      <c r="D11159" s="385">
        <v>85369090</v>
      </c>
      <c r="E11159" s="55">
        <v>530</v>
      </c>
      <c r="F11159" s="55">
        <f t="shared" si="313"/>
        <v>286.2</v>
      </c>
      <c r="G11159" s="55">
        <f t="shared" si="314"/>
        <v>286.2</v>
      </c>
      <c r="H11159" s="55">
        <f t="shared" si="315"/>
        <v>3752.4</v>
      </c>
      <c r="I11159" s="362">
        <f t="shared" si="316"/>
        <v>3180</v>
      </c>
    </row>
    <row r="11160" spans="1:9" ht="15" x14ac:dyDescent="0.3">
      <c r="A11160" s="353"/>
      <c r="B11160" s="84"/>
      <c r="C11160" s="431"/>
      <c r="D11160" s="86"/>
      <c r="E11160" s="55"/>
      <c r="F11160" s="55"/>
      <c r="G11160" s="55"/>
      <c r="H11160" s="55"/>
      <c r="I11160" s="362">
        <f t="shared" si="316"/>
        <v>0</v>
      </c>
    </row>
    <row r="11161" spans="1:9" ht="15" x14ac:dyDescent="0.3">
      <c r="A11161" s="353"/>
      <c r="B11161" s="84"/>
      <c r="C11161" s="432"/>
      <c r="D11161" s="86"/>
      <c r="E11161" s="55"/>
      <c r="F11161" s="55"/>
      <c r="G11161" s="55"/>
      <c r="H11161" s="55"/>
    </row>
    <row r="11162" spans="1:9" x14ac:dyDescent="0.3">
      <c r="A11162" s="55"/>
      <c r="B11162" s="257"/>
      <c r="C11162" s="432"/>
      <c r="D11162" s="86"/>
      <c r="E11162" s="55"/>
      <c r="F11162" s="55"/>
      <c r="G11162" s="55"/>
      <c r="H11162" s="55"/>
    </row>
    <row r="11163" spans="1:9" ht="15" x14ac:dyDescent="0.3">
      <c r="A11163" s="353"/>
      <c r="B11163" s="257"/>
      <c r="C11163" s="432"/>
      <c r="D11163" s="86"/>
      <c r="E11163" s="55"/>
      <c r="F11163" s="55"/>
      <c r="G11163" s="55"/>
      <c r="H11163" s="55"/>
    </row>
    <row r="11164" spans="1:9" ht="15" x14ac:dyDescent="0.3">
      <c r="A11164" s="353"/>
      <c r="B11164" s="257"/>
      <c r="C11164" s="432"/>
      <c r="D11164" s="86"/>
      <c r="E11164" s="55"/>
      <c r="F11164" s="55"/>
      <c r="G11164" s="55"/>
      <c r="H11164" s="55"/>
    </row>
    <row r="11165" spans="1:9" x14ac:dyDescent="0.3">
      <c r="A11165" s="55"/>
      <c r="B11165" s="257"/>
      <c r="C11165" s="20"/>
      <c r="D11165" s="86"/>
      <c r="E11165" s="55"/>
      <c r="F11165" s="55"/>
      <c r="G11165" s="55"/>
      <c r="H11165" s="55"/>
    </row>
    <row r="11166" spans="1:9" ht="15" x14ac:dyDescent="0.3">
      <c r="A11166" s="353"/>
      <c r="B11166" s="84"/>
      <c r="C11166" s="55"/>
      <c r="D11166" s="86"/>
      <c r="E11166" s="55"/>
      <c r="F11166" s="55"/>
      <c r="G11166" s="55"/>
      <c r="H11166" s="55"/>
    </row>
    <row r="11167" spans="1:9" ht="15" x14ac:dyDescent="0.3">
      <c r="A11167" s="353"/>
      <c r="B11167" s="257"/>
      <c r="C11167" s="20"/>
      <c r="D11167" s="86"/>
      <c r="E11167" s="55"/>
      <c r="F11167" s="55"/>
      <c r="G11167" s="55"/>
      <c r="H11167" s="55"/>
    </row>
    <row r="11168" spans="1:9" x14ac:dyDescent="0.3">
      <c r="A11168" s="55"/>
      <c r="B11168" s="257"/>
      <c r="C11168" s="20"/>
      <c r="D11168" s="86"/>
      <c r="E11168" s="55"/>
      <c r="F11168" s="55"/>
      <c r="G11168" s="55"/>
      <c r="H11168" s="55"/>
    </row>
    <row r="11169" spans="1:8" x14ac:dyDescent="0.3">
      <c r="A11169" s="163"/>
      <c r="B11169" s="163"/>
      <c r="C11169" s="163"/>
      <c r="D11169" s="163"/>
      <c r="E11169" s="163"/>
      <c r="F11169" s="163"/>
      <c r="G11169" s="163"/>
      <c r="H11169" s="163"/>
    </row>
    <row r="11170" spans="1:8" x14ac:dyDescent="0.3">
      <c r="A11170" s="55"/>
      <c r="B11170" s="257"/>
      <c r="C11170" s="55"/>
      <c r="D11170" s="55"/>
      <c r="E11170" s="55"/>
      <c r="F11170" s="55"/>
      <c r="G11170" s="55"/>
      <c r="H11170" s="55"/>
    </row>
    <row r="11171" spans="1:8" x14ac:dyDescent="0.3">
      <c r="A11171" s="57"/>
      <c r="B11171" s="84"/>
      <c r="C11171" s="85"/>
      <c r="D11171" s="86"/>
      <c r="E11171" s="87"/>
      <c r="F11171" s="47"/>
      <c r="G11171" s="47"/>
      <c r="H11171" s="47"/>
    </row>
    <row r="11172" spans="1:8" x14ac:dyDescent="0.3">
      <c r="A11172" s="57"/>
      <c r="B11172" s="84"/>
      <c r="C11172" s="85"/>
      <c r="D11172" s="86"/>
      <c r="E11172" s="47"/>
      <c r="F11172" s="47"/>
      <c r="G11172" s="47"/>
      <c r="H11172" s="47"/>
    </row>
    <row r="11173" spans="1:8" x14ac:dyDescent="0.3">
      <c r="A11173" s="55"/>
      <c r="B11173" s="84"/>
      <c r="C11173" s="55"/>
      <c r="D11173" s="86"/>
      <c r="E11173" s="47"/>
      <c r="F11173" s="47"/>
      <c r="G11173" s="47"/>
      <c r="H11173" s="47"/>
    </row>
    <row r="11174" spans="1:8" x14ac:dyDescent="0.3">
      <c r="A11174" s="27"/>
      <c r="B11174" s="28"/>
      <c r="C11174" s="24"/>
      <c r="D11174" s="25"/>
      <c r="E11174" s="25"/>
      <c r="F11174" s="28"/>
      <c r="G11174" s="28"/>
      <c r="H11174" s="32"/>
    </row>
    <row r="11175" spans="1:8" ht="15.6" x14ac:dyDescent="0.3">
      <c r="A11175" s="448" t="s">
        <v>45</v>
      </c>
      <c r="B11175" s="449"/>
      <c r="C11175" s="24"/>
      <c r="D11175" s="25"/>
      <c r="E11175" s="25"/>
      <c r="F11175" s="447" t="s">
        <v>46</v>
      </c>
      <c r="G11175" s="447"/>
      <c r="H11175" s="66">
        <v>17340</v>
      </c>
    </row>
    <row r="11176" spans="1:8" ht="15.6" x14ac:dyDescent="0.3">
      <c r="A11176" s="497" t="s">
        <v>1839</v>
      </c>
      <c r="B11176" s="498"/>
      <c r="C11176" s="498"/>
      <c r="D11176" s="498"/>
      <c r="E11176" s="498"/>
      <c r="F11176" s="447" t="s">
        <v>47</v>
      </c>
      <c r="G11176" s="447"/>
      <c r="H11176" s="66">
        <f>H11175*9%</f>
        <v>1560.6</v>
      </c>
    </row>
    <row r="11177" spans="1:8" ht="15.6" x14ac:dyDescent="0.3">
      <c r="A11177" s="27"/>
      <c r="B11177" s="28" t="s">
        <v>687</v>
      </c>
      <c r="C11177" s="24"/>
      <c r="D11177" s="25"/>
      <c r="E11177" s="25"/>
      <c r="F11177" s="447" t="s">
        <v>48</v>
      </c>
      <c r="G11177" s="447"/>
      <c r="H11177" s="66">
        <f>H11176</f>
        <v>1560.6</v>
      </c>
    </row>
    <row r="11178" spans="1:8" ht="15.6" x14ac:dyDescent="0.3">
      <c r="A11178" s="64" t="s">
        <v>49</v>
      </c>
      <c r="B11178" s="65"/>
      <c r="C11178" s="24"/>
      <c r="D11178" s="25"/>
      <c r="E11178" s="25"/>
      <c r="F11178" s="447" t="s">
        <v>50</v>
      </c>
      <c r="G11178" s="447"/>
      <c r="H11178" s="66">
        <f>H11175+H11176+H11177</f>
        <v>20461.199999999997</v>
      </c>
    </row>
    <row r="11179" spans="1:8" ht="27" x14ac:dyDescent="0.3">
      <c r="A11179" s="68" t="s">
        <v>22</v>
      </c>
      <c r="B11179" s="30" t="s">
        <v>51</v>
      </c>
      <c r="C11179" s="70" t="s">
        <v>24</v>
      </c>
      <c r="D11179" s="31" t="s">
        <v>25</v>
      </c>
      <c r="E11179" s="450" t="s">
        <v>52</v>
      </c>
      <c r="F11179" s="450"/>
      <c r="G11179" s="28"/>
      <c r="H11179" s="32"/>
    </row>
    <row r="11180" spans="1:8" x14ac:dyDescent="0.3">
      <c r="A11180" s="72">
        <v>0.18</v>
      </c>
      <c r="B11180" s="73">
        <f>H11175</f>
        <v>17340</v>
      </c>
      <c r="C11180" s="91">
        <f>H11176</f>
        <v>1560.6</v>
      </c>
      <c r="D11180" s="91">
        <f>H11176</f>
        <v>1560.6</v>
      </c>
      <c r="E11180" s="506">
        <f>C11180+D11180</f>
        <v>3121.2</v>
      </c>
      <c r="F11180" s="507"/>
      <c r="G11180" s="74"/>
      <c r="H11180" s="75"/>
    </row>
    <row r="11181" spans="1:8" x14ac:dyDescent="0.3">
      <c r="A11181" s="508" t="s">
        <v>1838</v>
      </c>
      <c r="B11181" s="509"/>
      <c r="C11181" s="509"/>
      <c r="D11181" s="509"/>
      <c r="E11181" s="453"/>
      <c r="F11181" s="453"/>
      <c r="G11181" s="453"/>
      <c r="H11181" s="454"/>
    </row>
    <row r="11182" spans="1:8" ht="15.6" x14ac:dyDescent="0.3">
      <c r="A11182" s="455" t="s">
        <v>53</v>
      </c>
      <c r="B11182" s="456"/>
      <c r="C11182" s="456"/>
      <c r="D11182" s="457"/>
      <c r="E11182" s="458" t="s">
        <v>54</v>
      </c>
      <c r="F11182" s="459"/>
      <c r="G11182" s="459"/>
      <c r="H11182" s="460"/>
    </row>
    <row r="11183" spans="1:8" x14ac:dyDescent="0.3">
      <c r="A11183" s="461" t="s">
        <v>55</v>
      </c>
      <c r="B11183" s="462"/>
      <c r="C11183" s="462"/>
      <c r="D11183" s="463"/>
      <c r="E11183" s="39"/>
      <c r="F11183" s="28"/>
      <c r="G11183" s="28"/>
      <c r="H11183" s="32"/>
    </row>
    <row r="11184" spans="1:8" x14ac:dyDescent="0.3">
      <c r="A11184" s="461" t="s">
        <v>56</v>
      </c>
      <c r="B11184" s="462"/>
      <c r="C11184" s="462"/>
      <c r="D11184" s="463"/>
      <c r="E11184" s="39"/>
      <c r="F11184" s="28"/>
      <c r="G11184" s="28"/>
      <c r="H11184" s="32"/>
    </row>
    <row r="11185" spans="1:9" x14ac:dyDescent="0.3">
      <c r="A11185" s="461" t="s">
        <v>57</v>
      </c>
      <c r="B11185" s="462"/>
      <c r="C11185" s="462"/>
      <c r="D11185" s="463"/>
      <c r="E11185" s="39"/>
      <c r="F11185" s="28"/>
      <c r="G11185" s="28"/>
      <c r="H11185" s="32"/>
    </row>
    <row r="11186" spans="1:9" ht="15.6" x14ac:dyDescent="0.3">
      <c r="A11186" s="464" t="s">
        <v>58</v>
      </c>
      <c r="B11186" s="465"/>
      <c r="C11186" s="465"/>
      <c r="D11186" s="465"/>
      <c r="E11186" s="466" t="s">
        <v>59</v>
      </c>
      <c r="F11186" s="467"/>
      <c r="G11186" s="467"/>
      <c r="H11186" s="468"/>
    </row>
    <row r="11190" spans="1:9" ht="44.4" x14ac:dyDescent="0.7">
      <c r="A11190" s="469" t="s">
        <v>0</v>
      </c>
      <c r="B11190" s="470"/>
      <c r="C11190" s="470"/>
      <c r="D11190" s="470"/>
      <c r="E11190" s="531" t="s">
        <v>1</v>
      </c>
      <c r="F11190" s="544"/>
      <c r="G11190" s="544"/>
      <c r="H11190" s="545"/>
    </row>
    <row r="11191" spans="1:9" ht="20.399999999999999" x14ac:dyDescent="0.35">
      <c r="A11191" s="1"/>
      <c r="B11191" s="476" t="s">
        <v>2</v>
      </c>
      <c r="C11191" s="476"/>
      <c r="D11191" s="476"/>
      <c r="E11191" s="546"/>
      <c r="F11191" s="546"/>
      <c r="G11191" s="546"/>
      <c r="H11191" s="547"/>
    </row>
    <row r="11192" spans="1:9" x14ac:dyDescent="0.3">
      <c r="A11192" s="477" t="s">
        <v>3</v>
      </c>
      <c r="B11192" s="478"/>
      <c r="C11192" s="479" t="s">
        <v>4</v>
      </c>
      <c r="D11192" s="479"/>
      <c r="E11192" s="654" t="s">
        <v>5</v>
      </c>
      <c r="F11192" s="654"/>
      <c r="G11192" s="654"/>
      <c r="H11192" s="654"/>
    </row>
    <row r="11193" spans="1:9" ht="15.6" x14ac:dyDescent="0.3">
      <c r="A11193" s="4" t="s">
        <v>6</v>
      </c>
      <c r="B11193" s="5"/>
      <c r="C11193" s="481" t="s">
        <v>7</v>
      </c>
      <c r="D11193" s="481"/>
      <c r="E11193" s="482">
        <v>242</v>
      </c>
      <c r="F11193" s="482"/>
      <c r="G11193" s="7" t="s">
        <v>8</v>
      </c>
      <c r="H11193" s="250" t="s">
        <v>1833</v>
      </c>
    </row>
    <row r="11194" spans="1:9" ht="15.6" x14ac:dyDescent="0.3">
      <c r="A11194" s="551" t="s">
        <v>458</v>
      </c>
      <c r="B11194" s="552"/>
      <c r="C11194" s="481" t="s">
        <v>10</v>
      </c>
      <c r="D11194" s="481"/>
      <c r="E11194" s="482">
        <v>71</v>
      </c>
      <c r="F11194" s="482"/>
      <c r="G11194" s="7" t="s">
        <v>8</v>
      </c>
      <c r="H11194" s="250" t="s">
        <v>1841</v>
      </c>
    </row>
    <row r="11195" spans="1:9" ht="25.5" customHeight="1" x14ac:dyDescent="0.3">
      <c r="A11195" s="560" t="s">
        <v>459</v>
      </c>
      <c r="B11195" s="561"/>
      <c r="C11195" s="483" t="s">
        <v>12</v>
      </c>
      <c r="D11195" s="484"/>
      <c r="E11195" s="652" t="s">
        <v>466</v>
      </c>
      <c r="F11195" s="653"/>
      <c r="G11195" s="10" t="s">
        <v>8</v>
      </c>
      <c r="H11195" s="252" t="s">
        <v>465</v>
      </c>
    </row>
    <row r="11196" spans="1:9" ht="15.6" x14ac:dyDescent="0.3">
      <c r="A11196" s="253" t="s">
        <v>460</v>
      </c>
      <c r="B11196" s="254"/>
      <c r="C11196" s="481" t="s">
        <v>15</v>
      </c>
      <c r="D11196" s="481"/>
      <c r="E11196" s="489" t="s">
        <v>461</v>
      </c>
      <c r="F11196" s="490"/>
      <c r="G11196" s="490"/>
      <c r="H11196" s="491"/>
    </row>
    <row r="11197" spans="1:9" ht="15.6" x14ac:dyDescent="0.3">
      <c r="A11197" s="255" t="s">
        <v>1840</v>
      </c>
      <c r="B11197" s="256"/>
      <c r="C11197" s="489"/>
      <c r="D11197" s="490"/>
      <c r="E11197" s="490"/>
      <c r="F11197" s="490"/>
      <c r="G11197" s="490"/>
      <c r="H11197" s="491"/>
    </row>
    <row r="11198" spans="1:9" ht="15" x14ac:dyDescent="0.3">
      <c r="A11198" s="492" t="s">
        <v>17</v>
      </c>
      <c r="B11198" s="494" t="s">
        <v>18</v>
      </c>
      <c r="C11198" s="494" t="s">
        <v>19</v>
      </c>
      <c r="D11198" s="495" t="s">
        <v>20</v>
      </c>
      <c r="E11198" s="494" t="s">
        <v>21</v>
      </c>
      <c r="F11198" s="494" t="s">
        <v>22</v>
      </c>
      <c r="G11198" s="494"/>
      <c r="H11198" s="492" t="s">
        <v>23</v>
      </c>
    </row>
    <row r="11199" spans="1:9" ht="27.6" x14ac:dyDescent="0.3">
      <c r="A11199" s="492"/>
      <c r="B11199" s="494"/>
      <c r="C11199" s="494"/>
      <c r="D11199" s="505"/>
      <c r="E11199" s="494"/>
      <c r="F11199" s="53" t="s">
        <v>24</v>
      </c>
      <c r="G11199" s="53" t="s">
        <v>25</v>
      </c>
      <c r="H11199" s="492"/>
    </row>
    <row r="11200" spans="1:9" ht="15" x14ac:dyDescent="0.3">
      <c r="A11200" s="353">
        <v>1</v>
      </c>
      <c r="B11200" s="84" t="s">
        <v>1842</v>
      </c>
      <c r="C11200" s="430">
        <v>8</v>
      </c>
      <c r="D11200" s="86">
        <v>998719</v>
      </c>
      <c r="E11200" s="352">
        <v>400</v>
      </c>
      <c r="F11200" s="55">
        <f t="shared" ref="F11200:F11202" si="317">E11200*C11200*9%</f>
        <v>288</v>
      </c>
      <c r="G11200" s="55">
        <f t="shared" ref="G11200:G11202" si="318">F11200</f>
        <v>288</v>
      </c>
      <c r="H11200" s="55">
        <f t="shared" ref="H11200:H11202" si="319">G11200+F11200+E11200*C11200</f>
        <v>3776</v>
      </c>
      <c r="I11200" s="362">
        <f>E11200*C11200</f>
        <v>3200</v>
      </c>
    </row>
    <row r="11201" spans="1:9" x14ac:dyDescent="0.3">
      <c r="A11201" s="55">
        <v>2</v>
      </c>
      <c r="B11201" s="84" t="s">
        <v>1843</v>
      </c>
      <c r="C11201" s="431">
        <v>29</v>
      </c>
      <c r="D11201" s="86">
        <v>998719</v>
      </c>
      <c r="E11201" s="55">
        <v>750</v>
      </c>
      <c r="F11201" s="55">
        <f t="shared" si="317"/>
        <v>1957.5</v>
      </c>
      <c r="G11201" s="55">
        <f t="shared" si="318"/>
        <v>1957.5</v>
      </c>
      <c r="H11201" s="55">
        <f t="shared" si="319"/>
        <v>25665</v>
      </c>
      <c r="I11201" s="362">
        <f t="shared" ref="I11201:I11202" si="320">E11201*C11201</f>
        <v>21750</v>
      </c>
    </row>
    <row r="11202" spans="1:9" ht="15" x14ac:dyDescent="0.3">
      <c r="A11202" s="353">
        <v>3</v>
      </c>
      <c r="B11202" s="84" t="s">
        <v>1844</v>
      </c>
      <c r="C11202" s="431">
        <v>1</v>
      </c>
      <c r="D11202" s="86">
        <v>998719</v>
      </c>
      <c r="E11202" s="55">
        <v>2500</v>
      </c>
      <c r="F11202" s="55">
        <f t="shared" si="317"/>
        <v>225</v>
      </c>
      <c r="G11202" s="55">
        <f t="shared" si="318"/>
        <v>225</v>
      </c>
      <c r="H11202" s="55">
        <f t="shared" si="319"/>
        <v>2950</v>
      </c>
      <c r="I11202" s="362">
        <f t="shared" si="320"/>
        <v>2500</v>
      </c>
    </row>
    <row r="11203" spans="1:9" ht="15" x14ac:dyDescent="0.3">
      <c r="A11203" s="353"/>
      <c r="B11203" s="84"/>
      <c r="C11203" s="431"/>
      <c r="D11203" s="385"/>
      <c r="E11203" s="55"/>
      <c r="F11203" s="55"/>
      <c r="G11203" s="55"/>
      <c r="H11203" s="55"/>
    </row>
    <row r="11204" spans="1:9" x14ac:dyDescent="0.3">
      <c r="A11204" s="55"/>
      <c r="B11204" s="84"/>
      <c r="C11204" s="431"/>
      <c r="D11204" s="385"/>
      <c r="E11204" s="55"/>
      <c r="F11204" s="55"/>
      <c r="G11204" s="55"/>
      <c r="H11204" s="55"/>
    </row>
    <row r="11205" spans="1:9" ht="15" x14ac:dyDescent="0.3">
      <c r="A11205" s="353"/>
      <c r="B11205" s="84"/>
      <c r="C11205" s="431"/>
      <c r="D11205" s="86"/>
      <c r="E11205" s="55"/>
      <c r="F11205" s="55"/>
      <c r="G11205" s="55"/>
      <c r="H11205" s="55"/>
    </row>
    <row r="11206" spans="1:9" ht="15" x14ac:dyDescent="0.3">
      <c r="A11206" s="353"/>
      <c r="B11206" s="84"/>
      <c r="C11206" s="432"/>
      <c r="D11206" s="86"/>
      <c r="E11206" s="55"/>
      <c r="F11206" s="55"/>
      <c r="G11206" s="55"/>
      <c r="H11206" s="55"/>
    </row>
    <row r="11207" spans="1:9" x14ac:dyDescent="0.3">
      <c r="A11207" s="55"/>
      <c r="B11207" s="257"/>
      <c r="C11207" s="432"/>
      <c r="D11207" s="86"/>
      <c r="E11207" s="55"/>
      <c r="F11207" s="55"/>
      <c r="G11207" s="55"/>
      <c r="H11207" s="55"/>
    </row>
    <row r="11208" spans="1:9" ht="15" x14ac:dyDescent="0.3">
      <c r="A11208" s="353"/>
      <c r="B11208" s="257"/>
      <c r="C11208" s="432"/>
      <c r="D11208" s="86"/>
      <c r="E11208" s="55"/>
      <c r="F11208" s="55"/>
      <c r="G11208" s="55"/>
      <c r="H11208" s="55"/>
    </row>
    <row r="11209" spans="1:9" ht="15" x14ac:dyDescent="0.3">
      <c r="A11209" s="353"/>
      <c r="B11209" s="257"/>
      <c r="C11209" s="432"/>
      <c r="D11209" s="86"/>
      <c r="E11209" s="55"/>
      <c r="F11209" s="55"/>
      <c r="G11209" s="55"/>
      <c r="H11209" s="55"/>
    </row>
    <row r="11210" spans="1:9" x14ac:dyDescent="0.3">
      <c r="A11210" s="55"/>
      <c r="B11210" s="257"/>
      <c r="C11210" s="20"/>
      <c r="D11210" s="86"/>
      <c r="E11210" s="55"/>
      <c r="F11210" s="55"/>
      <c r="G11210" s="55"/>
      <c r="H11210" s="55"/>
    </row>
    <row r="11211" spans="1:9" ht="15" x14ac:dyDescent="0.3">
      <c r="A11211" s="353"/>
      <c r="B11211" s="84"/>
      <c r="C11211" s="55"/>
      <c r="D11211" s="86"/>
      <c r="E11211" s="55"/>
      <c r="F11211" s="55"/>
      <c r="G11211" s="55"/>
      <c r="H11211" s="55"/>
    </row>
    <row r="11212" spans="1:9" ht="15" x14ac:dyDescent="0.3">
      <c r="A11212" s="353"/>
      <c r="B11212" s="257"/>
      <c r="C11212" s="20"/>
      <c r="D11212" s="86"/>
      <c r="E11212" s="55"/>
      <c r="F11212" s="55"/>
      <c r="G11212" s="55"/>
      <c r="H11212" s="55"/>
    </row>
    <row r="11213" spans="1:9" x14ac:dyDescent="0.3">
      <c r="A11213" s="55"/>
      <c r="B11213" s="257"/>
      <c r="C11213" s="20"/>
      <c r="D11213" s="86"/>
      <c r="E11213" s="55"/>
      <c r="F11213" s="55"/>
      <c r="G11213" s="55"/>
      <c r="H11213" s="55"/>
    </row>
    <row r="11214" spans="1:9" x14ac:dyDescent="0.3">
      <c r="A11214" s="163"/>
      <c r="B11214" s="163"/>
      <c r="C11214" s="163"/>
      <c r="D11214" s="163"/>
      <c r="E11214" s="163"/>
      <c r="F11214" s="163"/>
      <c r="G11214" s="163"/>
      <c r="H11214" s="163"/>
    </row>
    <row r="11215" spans="1:9" x14ac:dyDescent="0.3">
      <c r="A11215" s="55"/>
      <c r="B11215" s="257"/>
      <c r="C11215" s="55"/>
      <c r="D11215" s="55"/>
      <c r="E11215" s="55"/>
      <c r="F11215" s="55"/>
      <c r="G11215" s="55"/>
      <c r="H11215" s="55"/>
    </row>
    <row r="11216" spans="1:9" x14ac:dyDescent="0.3">
      <c r="A11216" s="57"/>
      <c r="B11216" s="84"/>
      <c r="C11216" s="85"/>
      <c r="D11216" s="86"/>
      <c r="E11216" s="87"/>
      <c r="F11216" s="47"/>
      <c r="G11216" s="47"/>
      <c r="H11216" s="47"/>
    </row>
    <row r="11217" spans="1:8" x14ac:dyDescent="0.3">
      <c r="A11217" s="57"/>
      <c r="B11217" s="84"/>
      <c r="C11217" s="85"/>
      <c r="D11217" s="86"/>
      <c r="E11217" s="47"/>
      <c r="F11217" s="47"/>
      <c r="G11217" s="47"/>
      <c r="H11217" s="47"/>
    </row>
    <row r="11218" spans="1:8" x14ac:dyDescent="0.3">
      <c r="A11218" s="55"/>
      <c r="B11218" s="84"/>
      <c r="C11218" s="55"/>
      <c r="D11218" s="86"/>
      <c r="E11218" s="47"/>
      <c r="F11218" s="47"/>
      <c r="G11218" s="47"/>
      <c r="H11218" s="47"/>
    </row>
    <row r="11219" spans="1:8" x14ac:dyDescent="0.3">
      <c r="A11219" s="27"/>
      <c r="B11219" s="28"/>
      <c r="C11219" s="24"/>
      <c r="D11219" s="25"/>
      <c r="E11219" s="25"/>
      <c r="F11219" s="28"/>
      <c r="G11219" s="28"/>
      <c r="H11219" s="32"/>
    </row>
    <row r="11220" spans="1:8" ht="15.6" x14ac:dyDescent="0.3">
      <c r="A11220" s="448" t="s">
        <v>45</v>
      </c>
      <c r="B11220" s="449"/>
      <c r="C11220" s="24"/>
      <c r="D11220" s="25"/>
      <c r="E11220" s="25"/>
      <c r="F11220" s="447" t="s">
        <v>46</v>
      </c>
      <c r="G11220" s="447"/>
      <c r="H11220" s="66">
        <v>27450</v>
      </c>
    </row>
    <row r="11221" spans="1:8" ht="15.6" x14ac:dyDescent="0.3">
      <c r="A11221" s="497" t="s">
        <v>1845</v>
      </c>
      <c r="B11221" s="498"/>
      <c r="C11221" s="498"/>
      <c r="D11221" s="498"/>
      <c r="E11221" s="498"/>
      <c r="F11221" s="447" t="s">
        <v>47</v>
      </c>
      <c r="G11221" s="447"/>
      <c r="H11221" s="66">
        <f>H11220*9%</f>
        <v>2470.5</v>
      </c>
    </row>
    <row r="11222" spans="1:8" ht="15.6" x14ac:dyDescent="0.3">
      <c r="A11222" s="27"/>
      <c r="B11222" s="28" t="s">
        <v>687</v>
      </c>
      <c r="C11222" s="24"/>
      <c r="D11222" s="25"/>
      <c r="E11222" s="25"/>
      <c r="F11222" s="447" t="s">
        <v>48</v>
      </c>
      <c r="G11222" s="447"/>
      <c r="H11222" s="66">
        <f>H11221</f>
        <v>2470.5</v>
      </c>
    </row>
    <row r="11223" spans="1:8" ht="15.6" x14ac:dyDescent="0.3">
      <c r="A11223" s="64" t="s">
        <v>49</v>
      </c>
      <c r="B11223" s="65"/>
      <c r="C11223" s="24"/>
      <c r="D11223" s="25"/>
      <c r="E11223" s="25"/>
      <c r="F11223" s="447" t="s">
        <v>50</v>
      </c>
      <c r="G11223" s="447"/>
      <c r="H11223" s="66">
        <f>H11220+H11221+H11222</f>
        <v>32391</v>
      </c>
    </row>
    <row r="11224" spans="1:8" ht="27" x14ac:dyDescent="0.3">
      <c r="A11224" s="68" t="s">
        <v>22</v>
      </c>
      <c r="B11224" s="30" t="s">
        <v>51</v>
      </c>
      <c r="C11224" s="70" t="s">
        <v>24</v>
      </c>
      <c r="D11224" s="31" t="s">
        <v>25</v>
      </c>
      <c r="E11224" s="450" t="s">
        <v>52</v>
      </c>
      <c r="F11224" s="450"/>
      <c r="G11224" s="28"/>
      <c r="H11224" s="32"/>
    </row>
    <row r="11225" spans="1:8" x14ac:dyDescent="0.3">
      <c r="A11225" s="72">
        <v>0.18</v>
      </c>
      <c r="B11225" s="73">
        <f>H11220</f>
        <v>27450</v>
      </c>
      <c r="C11225" s="91">
        <f>H11221</f>
        <v>2470.5</v>
      </c>
      <c r="D11225" s="91">
        <f>H11221</f>
        <v>2470.5</v>
      </c>
      <c r="E11225" s="506">
        <f>C11225+D11225</f>
        <v>4941</v>
      </c>
      <c r="F11225" s="507"/>
      <c r="G11225" s="74"/>
      <c r="H11225" s="75"/>
    </row>
    <row r="11226" spans="1:8" x14ac:dyDescent="0.3">
      <c r="A11226" s="508" t="s">
        <v>1846</v>
      </c>
      <c r="B11226" s="509"/>
      <c r="C11226" s="509"/>
      <c r="D11226" s="509"/>
      <c r="E11226" s="453"/>
      <c r="F11226" s="453"/>
      <c r="G11226" s="453"/>
      <c r="H11226" s="454"/>
    </row>
    <row r="11227" spans="1:8" ht="15.6" x14ac:dyDescent="0.3">
      <c r="A11227" s="455" t="s">
        <v>53</v>
      </c>
      <c r="B11227" s="456"/>
      <c r="C11227" s="456"/>
      <c r="D11227" s="457"/>
      <c r="E11227" s="458" t="s">
        <v>54</v>
      </c>
      <c r="F11227" s="459"/>
      <c r="G11227" s="459"/>
      <c r="H11227" s="460"/>
    </row>
    <row r="11228" spans="1:8" x14ac:dyDescent="0.3">
      <c r="A11228" s="461" t="s">
        <v>55</v>
      </c>
      <c r="B11228" s="462"/>
      <c r="C11228" s="462"/>
      <c r="D11228" s="463"/>
      <c r="E11228" s="39"/>
      <c r="F11228" s="28"/>
      <c r="G11228" s="28"/>
      <c r="H11228" s="32"/>
    </row>
    <row r="11229" spans="1:8" x14ac:dyDescent="0.3">
      <c r="A11229" s="461" t="s">
        <v>56</v>
      </c>
      <c r="B11229" s="462"/>
      <c r="C11229" s="462"/>
      <c r="D11229" s="463"/>
      <c r="E11229" s="39"/>
      <c r="F11229" s="28"/>
      <c r="G11229" s="28"/>
      <c r="H11229" s="32"/>
    </row>
    <row r="11230" spans="1:8" x14ac:dyDescent="0.3">
      <c r="A11230" s="461" t="s">
        <v>57</v>
      </c>
      <c r="B11230" s="462"/>
      <c r="C11230" s="462"/>
      <c r="D11230" s="463"/>
      <c r="E11230" s="39"/>
      <c r="F11230" s="28"/>
      <c r="G11230" s="28"/>
      <c r="H11230" s="32"/>
    </row>
    <row r="11231" spans="1:8" ht="15.6" x14ac:dyDescent="0.3">
      <c r="A11231" s="464" t="s">
        <v>58</v>
      </c>
      <c r="B11231" s="465"/>
      <c r="C11231" s="465"/>
      <c r="D11231" s="465"/>
      <c r="E11231" s="466" t="s">
        <v>59</v>
      </c>
      <c r="F11231" s="467"/>
      <c r="G11231" s="467"/>
      <c r="H11231" s="468"/>
    </row>
    <row r="11235" spans="1:9" ht="44.4" x14ac:dyDescent="0.7">
      <c r="A11235" s="469" t="s">
        <v>0</v>
      </c>
      <c r="B11235" s="470"/>
      <c r="C11235" s="470"/>
      <c r="D11235" s="470"/>
      <c r="E11235" s="531" t="s">
        <v>1</v>
      </c>
      <c r="F11235" s="544"/>
      <c r="G11235" s="544"/>
      <c r="H11235" s="545"/>
    </row>
    <row r="11236" spans="1:9" ht="20.399999999999999" x14ac:dyDescent="0.35">
      <c r="A11236" s="1"/>
      <c r="B11236" s="476" t="s">
        <v>2</v>
      </c>
      <c r="C11236" s="476"/>
      <c r="D11236" s="476"/>
      <c r="E11236" s="546"/>
      <c r="F11236" s="546"/>
      <c r="G11236" s="546"/>
      <c r="H11236" s="547"/>
    </row>
    <row r="11237" spans="1:9" x14ac:dyDescent="0.3">
      <c r="A11237" s="477" t="s">
        <v>3</v>
      </c>
      <c r="B11237" s="478"/>
      <c r="C11237" s="479" t="s">
        <v>4</v>
      </c>
      <c r="D11237" s="479"/>
      <c r="E11237" s="654" t="s">
        <v>5</v>
      </c>
      <c r="F11237" s="654"/>
      <c r="G11237" s="654"/>
      <c r="H11237" s="654"/>
    </row>
    <row r="11238" spans="1:9" ht="15.6" x14ac:dyDescent="0.3">
      <c r="A11238" s="4" t="s">
        <v>6</v>
      </c>
      <c r="B11238" s="5"/>
      <c r="C11238" s="481" t="s">
        <v>7</v>
      </c>
      <c r="D11238" s="481"/>
      <c r="E11238" s="482">
        <v>243</v>
      </c>
      <c r="F11238" s="482"/>
      <c r="G11238" s="7" t="s">
        <v>8</v>
      </c>
      <c r="H11238" s="250" t="s">
        <v>1833</v>
      </c>
    </row>
    <row r="11239" spans="1:9" ht="15.6" x14ac:dyDescent="0.3">
      <c r="A11239" s="551" t="s">
        <v>458</v>
      </c>
      <c r="B11239" s="552"/>
      <c r="C11239" s="481" t="s">
        <v>10</v>
      </c>
      <c r="D11239" s="481"/>
      <c r="E11239" s="482">
        <v>80</v>
      </c>
      <c r="F11239" s="482"/>
      <c r="G11239" s="7" t="s">
        <v>8</v>
      </c>
      <c r="H11239" s="250">
        <v>46298</v>
      </c>
    </row>
    <row r="11240" spans="1:9" ht="29.25" customHeight="1" x14ac:dyDescent="0.3">
      <c r="A11240" s="560" t="s">
        <v>459</v>
      </c>
      <c r="B11240" s="561"/>
      <c r="C11240" s="483" t="s">
        <v>12</v>
      </c>
      <c r="D11240" s="484"/>
      <c r="E11240" s="652" t="s">
        <v>466</v>
      </c>
      <c r="F11240" s="653"/>
      <c r="G11240" s="10" t="s">
        <v>8</v>
      </c>
      <c r="H11240" s="252" t="s">
        <v>465</v>
      </c>
    </row>
    <row r="11241" spans="1:9" ht="15.6" x14ac:dyDescent="0.3">
      <c r="A11241" s="253" t="s">
        <v>460</v>
      </c>
      <c r="B11241" s="254"/>
      <c r="C11241" s="481" t="s">
        <v>15</v>
      </c>
      <c r="D11241" s="481"/>
      <c r="E11241" s="489" t="s">
        <v>461</v>
      </c>
      <c r="F11241" s="490"/>
      <c r="G11241" s="490"/>
      <c r="H11241" s="491"/>
    </row>
    <row r="11242" spans="1:9" ht="15.6" x14ac:dyDescent="0.3">
      <c r="A11242" s="255" t="s">
        <v>1840</v>
      </c>
      <c r="B11242" s="256"/>
      <c r="C11242" s="489"/>
      <c r="D11242" s="490"/>
      <c r="E11242" s="490"/>
      <c r="F11242" s="490"/>
      <c r="G11242" s="490"/>
      <c r="H11242" s="491"/>
    </row>
    <row r="11243" spans="1:9" ht="15" x14ac:dyDescent="0.3">
      <c r="A11243" s="492" t="s">
        <v>17</v>
      </c>
      <c r="B11243" s="494" t="s">
        <v>18</v>
      </c>
      <c r="C11243" s="494" t="s">
        <v>19</v>
      </c>
      <c r="D11243" s="495" t="s">
        <v>20</v>
      </c>
      <c r="E11243" s="494" t="s">
        <v>21</v>
      </c>
      <c r="F11243" s="494" t="s">
        <v>22</v>
      </c>
      <c r="G11243" s="494"/>
      <c r="H11243" s="492" t="s">
        <v>23</v>
      </c>
    </row>
    <row r="11244" spans="1:9" ht="27.6" x14ac:dyDescent="0.3">
      <c r="A11244" s="492"/>
      <c r="B11244" s="494"/>
      <c r="C11244" s="494"/>
      <c r="D11244" s="505"/>
      <c r="E11244" s="494"/>
      <c r="F11244" s="53" t="s">
        <v>24</v>
      </c>
      <c r="G11244" s="53" t="s">
        <v>25</v>
      </c>
      <c r="H11244" s="492"/>
    </row>
    <row r="11245" spans="1:9" ht="15" x14ac:dyDescent="0.3">
      <c r="A11245" s="353">
        <v>1</v>
      </c>
      <c r="B11245" s="84" t="s">
        <v>1847</v>
      </c>
      <c r="C11245" s="430">
        <v>1</v>
      </c>
      <c r="D11245" s="86">
        <v>998719</v>
      </c>
      <c r="E11245" s="352">
        <v>3500</v>
      </c>
      <c r="F11245" s="55">
        <f t="shared" ref="F11245:F11247" si="321">E11245*C11245*9%</f>
        <v>315</v>
      </c>
      <c r="G11245" s="55">
        <f t="shared" ref="G11245:G11247" si="322">F11245</f>
        <v>315</v>
      </c>
      <c r="H11245" s="55">
        <f t="shared" ref="H11245:H11247" si="323">G11245+F11245+E11245*C11245</f>
        <v>4130</v>
      </c>
      <c r="I11245" s="362">
        <f>E11245*C11245</f>
        <v>3500</v>
      </c>
    </row>
    <row r="11246" spans="1:9" ht="27.6" x14ac:dyDescent="0.3">
      <c r="A11246" s="55">
        <v>2</v>
      </c>
      <c r="B11246" s="257" t="s">
        <v>1848</v>
      </c>
      <c r="C11246" s="431">
        <v>2</v>
      </c>
      <c r="D11246" s="86">
        <v>998719</v>
      </c>
      <c r="E11246" s="55">
        <v>1600</v>
      </c>
      <c r="F11246" s="55">
        <f t="shared" si="321"/>
        <v>288</v>
      </c>
      <c r="G11246" s="55">
        <f t="shared" si="322"/>
        <v>288</v>
      </c>
      <c r="H11246" s="55">
        <f t="shared" si="323"/>
        <v>3776</v>
      </c>
      <c r="I11246" s="362">
        <f t="shared" ref="I11246:I11247" si="324">E11246*C11246</f>
        <v>3200</v>
      </c>
    </row>
    <row r="11247" spans="1:9" ht="15" x14ac:dyDescent="0.3">
      <c r="A11247" s="353">
        <v>3</v>
      </c>
      <c r="B11247" s="84" t="s">
        <v>1849</v>
      </c>
      <c r="C11247" s="431">
        <v>4</v>
      </c>
      <c r="D11247" s="357">
        <v>854690</v>
      </c>
      <c r="E11247" s="55">
        <v>2000</v>
      </c>
      <c r="F11247" s="55">
        <f t="shared" si="321"/>
        <v>720</v>
      </c>
      <c r="G11247" s="55">
        <f t="shared" si="322"/>
        <v>720</v>
      </c>
      <c r="H11247" s="55">
        <f t="shared" si="323"/>
        <v>9440</v>
      </c>
      <c r="I11247" s="362">
        <f t="shared" si="324"/>
        <v>8000</v>
      </c>
    </row>
    <row r="11248" spans="1:9" ht="15" x14ac:dyDescent="0.3">
      <c r="A11248" s="353"/>
      <c r="B11248" s="84"/>
      <c r="C11248" s="431"/>
      <c r="D11248" s="385"/>
      <c r="E11248" s="55"/>
      <c r="F11248" s="55"/>
      <c r="G11248" s="55"/>
      <c r="H11248" s="55"/>
    </row>
    <row r="11249" spans="1:8" x14ac:dyDescent="0.3">
      <c r="A11249" s="55"/>
      <c r="B11249" s="84"/>
      <c r="C11249" s="431"/>
      <c r="D11249" s="385"/>
      <c r="E11249" s="55"/>
      <c r="F11249" s="55"/>
      <c r="G11249" s="55"/>
      <c r="H11249" s="55"/>
    </row>
    <row r="11250" spans="1:8" ht="15" x14ac:dyDescent="0.3">
      <c r="A11250" s="353"/>
      <c r="B11250" s="84"/>
      <c r="C11250" s="431"/>
      <c r="D11250" s="86"/>
      <c r="E11250" s="55"/>
      <c r="F11250" s="55"/>
      <c r="G11250" s="55"/>
      <c r="H11250" s="55"/>
    </row>
    <row r="11251" spans="1:8" ht="15" x14ac:dyDescent="0.3">
      <c r="A11251" s="353"/>
      <c r="B11251" s="84"/>
      <c r="C11251" s="432"/>
      <c r="D11251" s="86"/>
      <c r="E11251" s="55"/>
      <c r="F11251" s="55"/>
      <c r="G11251" s="55"/>
      <c r="H11251" s="55"/>
    </row>
    <row r="11252" spans="1:8" x14ac:dyDescent="0.3">
      <c r="A11252" s="55"/>
      <c r="B11252" s="257"/>
      <c r="C11252" s="432"/>
      <c r="D11252" s="86"/>
      <c r="E11252" s="55"/>
      <c r="F11252" s="55"/>
      <c r="G11252" s="55"/>
      <c r="H11252" s="55"/>
    </row>
    <row r="11253" spans="1:8" ht="15" x14ac:dyDescent="0.3">
      <c r="A11253" s="353"/>
      <c r="B11253" s="257"/>
      <c r="C11253" s="432"/>
      <c r="D11253" s="86"/>
      <c r="E11253" s="55"/>
      <c r="F11253" s="55"/>
      <c r="G11253" s="55"/>
      <c r="H11253" s="55"/>
    </row>
    <row r="11254" spans="1:8" ht="15" x14ac:dyDescent="0.3">
      <c r="A11254" s="353"/>
      <c r="B11254" s="257"/>
      <c r="C11254" s="432"/>
      <c r="D11254" s="86"/>
      <c r="E11254" s="55"/>
      <c r="F11254" s="55"/>
      <c r="G11254" s="55"/>
      <c r="H11254" s="55"/>
    </row>
    <row r="11255" spans="1:8" x14ac:dyDescent="0.3">
      <c r="A11255" s="55"/>
      <c r="B11255" s="257"/>
      <c r="C11255" s="20"/>
      <c r="D11255" s="86"/>
      <c r="E11255" s="55"/>
      <c r="F11255" s="55"/>
      <c r="G11255" s="55"/>
      <c r="H11255" s="55"/>
    </row>
    <row r="11256" spans="1:8" ht="15" x14ac:dyDescent="0.3">
      <c r="A11256" s="353"/>
      <c r="B11256" s="84"/>
      <c r="C11256" s="55"/>
      <c r="D11256" s="86"/>
      <c r="E11256" s="55"/>
      <c r="F11256" s="55"/>
      <c r="G11256" s="55"/>
      <c r="H11256" s="55"/>
    </row>
    <row r="11257" spans="1:8" ht="15" x14ac:dyDescent="0.3">
      <c r="A11257" s="353"/>
      <c r="B11257" s="257"/>
      <c r="C11257" s="20"/>
      <c r="D11257" s="86"/>
      <c r="E11257" s="55"/>
      <c r="F11257" s="55"/>
      <c r="G11257" s="55"/>
      <c r="H11257" s="55"/>
    </row>
    <row r="11258" spans="1:8" x14ac:dyDescent="0.3">
      <c r="A11258" s="55"/>
      <c r="B11258" s="257"/>
      <c r="C11258" s="20"/>
      <c r="D11258" s="86"/>
      <c r="E11258" s="55"/>
      <c r="F11258" s="55"/>
      <c r="G11258" s="55"/>
      <c r="H11258" s="55"/>
    </row>
    <row r="11259" spans="1:8" x14ac:dyDescent="0.3">
      <c r="A11259" s="163"/>
      <c r="B11259" s="163"/>
      <c r="C11259" s="163"/>
      <c r="D11259" s="163"/>
      <c r="E11259" s="163"/>
      <c r="F11259" s="163"/>
      <c r="G11259" s="163"/>
      <c r="H11259" s="163"/>
    </row>
    <row r="11260" spans="1:8" x14ac:dyDescent="0.3">
      <c r="A11260" s="55"/>
      <c r="B11260" s="257"/>
      <c r="C11260" s="55"/>
      <c r="D11260" s="55"/>
      <c r="E11260" s="55"/>
      <c r="F11260" s="55"/>
      <c r="G11260" s="55"/>
      <c r="H11260" s="55"/>
    </row>
    <row r="11261" spans="1:8" x14ac:dyDescent="0.3">
      <c r="A11261" s="57"/>
      <c r="B11261" s="84"/>
      <c r="C11261" s="85"/>
      <c r="D11261" s="86"/>
      <c r="E11261" s="87"/>
      <c r="F11261" s="47"/>
      <c r="G11261" s="47"/>
      <c r="H11261" s="47"/>
    </row>
    <row r="11262" spans="1:8" x14ac:dyDescent="0.3">
      <c r="A11262" s="57"/>
      <c r="B11262" s="84"/>
      <c r="C11262" s="85"/>
      <c r="D11262" s="86"/>
      <c r="E11262" s="47"/>
      <c r="F11262" s="47"/>
      <c r="G11262" s="47"/>
      <c r="H11262" s="47"/>
    </row>
    <row r="11263" spans="1:8" x14ac:dyDescent="0.3">
      <c r="A11263" s="55"/>
      <c r="B11263" s="84"/>
      <c r="C11263" s="55"/>
      <c r="D11263" s="86"/>
      <c r="E11263" s="47"/>
      <c r="F11263" s="47"/>
      <c r="G11263" s="47"/>
      <c r="H11263" s="47"/>
    </row>
    <row r="11264" spans="1:8" x14ac:dyDescent="0.3">
      <c r="A11264" s="27"/>
      <c r="B11264" s="28"/>
      <c r="C11264" s="24"/>
      <c r="D11264" s="25"/>
      <c r="E11264" s="25"/>
      <c r="F11264" s="28"/>
      <c r="G11264" s="28"/>
      <c r="H11264" s="32"/>
    </row>
    <row r="11265" spans="1:8" ht="15.6" x14ac:dyDescent="0.3">
      <c r="A11265" s="448" t="s">
        <v>45</v>
      </c>
      <c r="B11265" s="449"/>
      <c r="C11265" s="24"/>
      <c r="D11265" s="25"/>
      <c r="E11265" s="25"/>
      <c r="F11265" s="447" t="s">
        <v>46</v>
      </c>
      <c r="G11265" s="447"/>
      <c r="H11265" s="66">
        <v>14700</v>
      </c>
    </row>
    <row r="11266" spans="1:8" ht="15.6" x14ac:dyDescent="0.3">
      <c r="A11266" s="497" t="s">
        <v>1850</v>
      </c>
      <c r="B11266" s="498"/>
      <c r="C11266" s="498"/>
      <c r="D11266" s="498"/>
      <c r="E11266" s="498"/>
      <c r="F11266" s="447" t="s">
        <v>47</v>
      </c>
      <c r="G11266" s="447"/>
      <c r="H11266" s="66">
        <f>H11265*9%</f>
        <v>1323</v>
      </c>
    </row>
    <row r="11267" spans="1:8" ht="15.6" x14ac:dyDescent="0.3">
      <c r="A11267" s="27"/>
      <c r="B11267" s="28" t="s">
        <v>687</v>
      </c>
      <c r="C11267" s="24"/>
      <c r="D11267" s="25"/>
      <c r="E11267" s="25"/>
      <c r="F11267" s="447" t="s">
        <v>48</v>
      </c>
      <c r="G11267" s="447"/>
      <c r="H11267" s="66">
        <f>H11266</f>
        <v>1323</v>
      </c>
    </row>
    <row r="11268" spans="1:8" ht="15.6" x14ac:dyDescent="0.3">
      <c r="A11268" s="64" t="s">
        <v>49</v>
      </c>
      <c r="B11268" s="65"/>
      <c r="C11268" s="24"/>
      <c r="D11268" s="25"/>
      <c r="E11268" s="25"/>
      <c r="F11268" s="447" t="s">
        <v>50</v>
      </c>
      <c r="G11268" s="447"/>
      <c r="H11268" s="66">
        <f>H11265+H11266+H11267</f>
        <v>17346</v>
      </c>
    </row>
    <row r="11269" spans="1:8" ht="27" x14ac:dyDescent="0.3">
      <c r="A11269" s="68" t="s">
        <v>22</v>
      </c>
      <c r="B11269" s="30" t="s">
        <v>51</v>
      </c>
      <c r="C11269" s="70" t="s">
        <v>24</v>
      </c>
      <c r="D11269" s="31" t="s">
        <v>25</v>
      </c>
      <c r="E11269" s="450" t="s">
        <v>52</v>
      </c>
      <c r="F11269" s="450"/>
      <c r="G11269" s="28"/>
      <c r="H11269" s="32"/>
    </row>
    <row r="11270" spans="1:8" x14ac:dyDescent="0.3">
      <c r="A11270" s="72">
        <v>0.18</v>
      </c>
      <c r="B11270" s="73">
        <f>H11265</f>
        <v>14700</v>
      </c>
      <c r="C11270" s="91">
        <f>H11266</f>
        <v>1323</v>
      </c>
      <c r="D11270" s="91">
        <f>H11266</f>
        <v>1323</v>
      </c>
      <c r="E11270" s="506">
        <f>C11270+D11270</f>
        <v>2646</v>
      </c>
      <c r="F11270" s="507"/>
      <c r="G11270" s="74"/>
      <c r="H11270" s="75"/>
    </row>
    <row r="11271" spans="1:8" x14ac:dyDescent="0.3">
      <c r="A11271" s="508" t="s">
        <v>1851</v>
      </c>
      <c r="B11271" s="509"/>
      <c r="C11271" s="509"/>
      <c r="D11271" s="509"/>
      <c r="E11271" s="453"/>
      <c r="F11271" s="453"/>
      <c r="G11271" s="453"/>
      <c r="H11271" s="454"/>
    </row>
    <row r="11272" spans="1:8" ht="15.6" x14ac:dyDescent="0.3">
      <c r="A11272" s="455" t="s">
        <v>53</v>
      </c>
      <c r="B11272" s="456"/>
      <c r="C11272" s="456"/>
      <c r="D11272" s="457"/>
      <c r="E11272" s="458" t="s">
        <v>54</v>
      </c>
      <c r="F11272" s="459"/>
      <c r="G11272" s="459"/>
      <c r="H11272" s="460"/>
    </row>
    <row r="11273" spans="1:8" x14ac:dyDescent="0.3">
      <c r="A11273" s="461" t="s">
        <v>55</v>
      </c>
      <c r="B11273" s="462"/>
      <c r="C11273" s="462"/>
      <c r="D11273" s="463"/>
      <c r="E11273" s="39"/>
      <c r="F11273" s="28"/>
      <c r="G11273" s="28"/>
      <c r="H11273" s="32"/>
    </row>
    <row r="11274" spans="1:8" x14ac:dyDescent="0.3">
      <c r="A11274" s="461" t="s">
        <v>56</v>
      </c>
      <c r="B11274" s="462"/>
      <c r="C11274" s="462"/>
      <c r="D11274" s="463"/>
      <c r="E11274" s="39"/>
      <c r="F11274" s="28"/>
      <c r="G11274" s="28"/>
      <c r="H11274" s="32"/>
    </row>
    <row r="11275" spans="1:8" x14ac:dyDescent="0.3">
      <c r="A11275" s="461" t="s">
        <v>57</v>
      </c>
      <c r="B11275" s="462"/>
      <c r="C11275" s="462"/>
      <c r="D11275" s="463"/>
      <c r="E11275" s="39"/>
      <c r="F11275" s="28"/>
      <c r="G11275" s="28"/>
      <c r="H11275" s="32"/>
    </row>
    <row r="11276" spans="1:8" ht="15.6" x14ac:dyDescent="0.3">
      <c r="A11276" s="464" t="s">
        <v>58</v>
      </c>
      <c r="B11276" s="465"/>
      <c r="C11276" s="465"/>
      <c r="D11276" s="465"/>
      <c r="E11276" s="466" t="s">
        <v>59</v>
      </c>
      <c r="F11276" s="467"/>
      <c r="G11276" s="467"/>
      <c r="H11276" s="468"/>
    </row>
    <row r="11280" spans="1:8" ht="44.4" x14ac:dyDescent="0.7">
      <c r="A11280" s="469" t="s">
        <v>0</v>
      </c>
      <c r="B11280" s="470"/>
      <c r="C11280" s="470"/>
      <c r="D11280" s="470"/>
      <c r="E11280" s="531" t="s">
        <v>1</v>
      </c>
      <c r="F11280" s="544"/>
      <c r="G11280" s="544"/>
      <c r="H11280" s="545"/>
    </row>
    <row r="11281" spans="1:8" ht="20.399999999999999" x14ac:dyDescent="0.35">
      <c r="A11281" s="1"/>
      <c r="B11281" s="476" t="s">
        <v>2</v>
      </c>
      <c r="C11281" s="476"/>
      <c r="D11281" s="476"/>
      <c r="E11281" s="546"/>
      <c r="F11281" s="546"/>
      <c r="G11281" s="546"/>
      <c r="H11281" s="547"/>
    </row>
    <row r="11282" spans="1:8" x14ac:dyDescent="0.3">
      <c r="A11282" s="477" t="s">
        <v>3</v>
      </c>
      <c r="B11282" s="478"/>
      <c r="C11282" s="479" t="s">
        <v>4</v>
      </c>
      <c r="D11282" s="479"/>
      <c r="E11282" s="654" t="s">
        <v>5</v>
      </c>
      <c r="F11282" s="654"/>
      <c r="G11282" s="654"/>
      <c r="H11282" s="654"/>
    </row>
    <row r="11283" spans="1:8" ht="15.6" x14ac:dyDescent="0.3">
      <c r="A11283" s="4" t="s">
        <v>6</v>
      </c>
      <c r="B11283" s="5"/>
      <c r="C11283" s="481" t="s">
        <v>7</v>
      </c>
      <c r="D11283" s="481"/>
      <c r="E11283" s="482">
        <v>244</v>
      </c>
      <c r="F11283" s="482"/>
      <c r="G11283" s="7" t="s">
        <v>8</v>
      </c>
      <c r="H11283" s="250" t="s">
        <v>1833</v>
      </c>
    </row>
    <row r="11284" spans="1:8" ht="15.6" x14ac:dyDescent="0.3">
      <c r="A11284" s="551" t="s">
        <v>458</v>
      </c>
      <c r="B11284" s="552"/>
      <c r="C11284" s="481" t="s">
        <v>10</v>
      </c>
      <c r="D11284" s="481"/>
      <c r="E11284" s="482">
        <v>79</v>
      </c>
      <c r="F11284" s="482"/>
      <c r="G11284" s="7" t="s">
        <v>8</v>
      </c>
      <c r="H11284" s="250" t="s">
        <v>1854</v>
      </c>
    </row>
    <row r="11285" spans="1:8" ht="26.25" customHeight="1" x14ac:dyDescent="0.3">
      <c r="A11285" s="560" t="s">
        <v>459</v>
      </c>
      <c r="B11285" s="561"/>
      <c r="C11285" s="483" t="s">
        <v>12</v>
      </c>
      <c r="D11285" s="484"/>
      <c r="E11285" s="652" t="s">
        <v>466</v>
      </c>
      <c r="F11285" s="653"/>
      <c r="G11285" s="10" t="s">
        <v>8</v>
      </c>
      <c r="H11285" s="252" t="s">
        <v>465</v>
      </c>
    </row>
    <row r="11286" spans="1:8" ht="15.6" x14ac:dyDescent="0.3">
      <c r="A11286" s="253" t="s">
        <v>460</v>
      </c>
      <c r="B11286" s="254"/>
      <c r="C11286" s="481" t="s">
        <v>15</v>
      </c>
      <c r="D11286" s="481"/>
      <c r="E11286" s="489" t="s">
        <v>461</v>
      </c>
      <c r="F11286" s="490"/>
      <c r="G11286" s="490"/>
      <c r="H11286" s="491"/>
    </row>
    <row r="11287" spans="1:8" ht="15.6" x14ac:dyDescent="0.3">
      <c r="A11287" s="255" t="s">
        <v>1840</v>
      </c>
      <c r="B11287" s="256"/>
      <c r="C11287" s="489"/>
      <c r="D11287" s="490"/>
      <c r="E11287" s="490"/>
      <c r="F11287" s="490"/>
      <c r="G11287" s="490"/>
      <c r="H11287" s="491"/>
    </row>
    <row r="11288" spans="1:8" ht="15" x14ac:dyDescent="0.3">
      <c r="A11288" s="492" t="s">
        <v>17</v>
      </c>
      <c r="B11288" s="494" t="s">
        <v>18</v>
      </c>
      <c r="C11288" s="494" t="s">
        <v>19</v>
      </c>
      <c r="D11288" s="495" t="s">
        <v>20</v>
      </c>
      <c r="E11288" s="494" t="s">
        <v>21</v>
      </c>
      <c r="F11288" s="494" t="s">
        <v>22</v>
      </c>
      <c r="G11288" s="494"/>
      <c r="H11288" s="492" t="s">
        <v>23</v>
      </c>
    </row>
    <row r="11289" spans="1:8" ht="27.6" x14ac:dyDescent="0.3">
      <c r="A11289" s="492"/>
      <c r="B11289" s="494"/>
      <c r="C11289" s="494"/>
      <c r="D11289" s="505"/>
      <c r="E11289" s="494"/>
      <c r="F11289" s="53" t="s">
        <v>24</v>
      </c>
      <c r="G11289" s="53" t="s">
        <v>25</v>
      </c>
      <c r="H11289" s="492"/>
    </row>
    <row r="11290" spans="1:8" ht="15" x14ac:dyDescent="0.3">
      <c r="A11290" s="353">
        <v>1</v>
      </c>
      <c r="B11290" s="84" t="s">
        <v>485</v>
      </c>
      <c r="C11290" s="430">
        <v>5</v>
      </c>
      <c r="D11290" s="86">
        <v>998719</v>
      </c>
      <c r="E11290" s="352">
        <v>6000</v>
      </c>
      <c r="F11290" s="55">
        <f t="shared" ref="F11290" si="325">E11290*C11290*9%</f>
        <v>2700</v>
      </c>
      <c r="G11290" s="55">
        <f t="shared" ref="G11290" si="326">F11290</f>
        <v>2700</v>
      </c>
      <c r="H11290" s="55">
        <f t="shared" ref="H11290" si="327">G11290+F11290+E11290*C11290</f>
        <v>35400</v>
      </c>
    </row>
    <row r="11291" spans="1:8" x14ac:dyDescent="0.3">
      <c r="A11291" s="55"/>
      <c r="B11291" s="257"/>
      <c r="C11291" s="431"/>
      <c r="D11291" s="86"/>
      <c r="E11291" s="55"/>
      <c r="F11291" s="55"/>
      <c r="G11291" s="55"/>
      <c r="H11291" s="55"/>
    </row>
    <row r="11292" spans="1:8" ht="15" x14ac:dyDescent="0.3">
      <c r="A11292" s="353"/>
      <c r="B11292" s="84"/>
      <c r="C11292" s="431"/>
      <c r="D11292" s="357"/>
      <c r="E11292" s="55"/>
      <c r="F11292" s="55"/>
      <c r="G11292" s="55"/>
      <c r="H11292" s="55"/>
    </row>
    <row r="11293" spans="1:8" ht="15" x14ac:dyDescent="0.3">
      <c r="A11293" s="353"/>
      <c r="B11293" s="84"/>
      <c r="C11293" s="431"/>
      <c r="D11293" s="385"/>
      <c r="E11293" s="55"/>
      <c r="F11293" s="55"/>
      <c r="G11293" s="55"/>
      <c r="H11293" s="55"/>
    </row>
    <row r="11294" spans="1:8" x14ac:dyDescent="0.3">
      <c r="A11294" s="55"/>
      <c r="B11294" s="84"/>
      <c r="C11294" s="431"/>
      <c r="D11294" s="385"/>
      <c r="E11294" s="55"/>
      <c r="F11294" s="55"/>
      <c r="G11294" s="55"/>
      <c r="H11294" s="55"/>
    </row>
    <row r="11295" spans="1:8" ht="15" x14ac:dyDescent="0.3">
      <c r="A11295" s="353"/>
      <c r="B11295" s="84"/>
      <c r="C11295" s="431"/>
      <c r="D11295" s="86"/>
      <c r="E11295" s="55"/>
      <c r="F11295" s="55"/>
      <c r="G11295" s="55"/>
      <c r="H11295" s="55"/>
    </row>
    <row r="11296" spans="1:8" ht="15" x14ac:dyDescent="0.3">
      <c r="A11296" s="353"/>
      <c r="B11296" s="84"/>
      <c r="C11296" s="432"/>
      <c r="D11296" s="86"/>
      <c r="E11296" s="55"/>
      <c r="F11296" s="55"/>
      <c r="G11296" s="55"/>
      <c r="H11296" s="55"/>
    </row>
    <row r="11297" spans="1:8" x14ac:dyDescent="0.3">
      <c r="A11297" s="55"/>
      <c r="B11297" s="257"/>
      <c r="C11297" s="432"/>
      <c r="D11297" s="86"/>
      <c r="E11297" s="55"/>
      <c r="F11297" s="55"/>
      <c r="G11297" s="55"/>
      <c r="H11297" s="55"/>
    </row>
    <row r="11298" spans="1:8" ht="15" x14ac:dyDescent="0.3">
      <c r="A11298" s="353"/>
      <c r="B11298" s="257"/>
      <c r="C11298" s="432"/>
      <c r="D11298" s="86"/>
      <c r="E11298" s="55"/>
      <c r="F11298" s="55"/>
      <c r="G11298" s="55"/>
      <c r="H11298" s="55"/>
    </row>
    <row r="11299" spans="1:8" ht="15" x14ac:dyDescent="0.3">
      <c r="A11299" s="353"/>
      <c r="B11299" s="257"/>
      <c r="C11299" s="432"/>
      <c r="D11299" s="86"/>
      <c r="E11299" s="55"/>
      <c r="F11299" s="55"/>
      <c r="G11299" s="55"/>
      <c r="H11299" s="55"/>
    </row>
    <row r="11300" spans="1:8" x14ac:dyDescent="0.3">
      <c r="A11300" s="55"/>
      <c r="B11300" s="257"/>
      <c r="C11300" s="20"/>
      <c r="D11300" s="86"/>
      <c r="E11300" s="55"/>
      <c r="F11300" s="55"/>
      <c r="G11300" s="55"/>
      <c r="H11300" s="55"/>
    </row>
    <row r="11301" spans="1:8" ht="15" x14ac:dyDescent="0.3">
      <c r="A11301" s="353"/>
      <c r="B11301" s="84"/>
      <c r="C11301" s="55"/>
      <c r="D11301" s="86"/>
      <c r="E11301" s="55"/>
      <c r="F11301" s="55"/>
      <c r="G11301" s="55"/>
      <c r="H11301" s="55"/>
    </row>
    <row r="11302" spans="1:8" ht="15" x14ac:dyDescent="0.3">
      <c r="A11302" s="353"/>
      <c r="B11302" s="257"/>
      <c r="C11302" s="20"/>
      <c r="D11302" s="86"/>
      <c r="E11302" s="55"/>
      <c r="F11302" s="55"/>
      <c r="G11302" s="55"/>
      <c r="H11302" s="55"/>
    </row>
    <row r="11303" spans="1:8" x14ac:dyDescent="0.3">
      <c r="A11303" s="55"/>
      <c r="B11303" s="257"/>
      <c r="C11303" s="20"/>
      <c r="D11303" s="86"/>
      <c r="E11303" s="55"/>
      <c r="F11303" s="55"/>
      <c r="G11303" s="55"/>
      <c r="H11303" s="55"/>
    </row>
    <row r="11304" spans="1:8" x14ac:dyDescent="0.3">
      <c r="A11304" s="163"/>
      <c r="B11304" s="163"/>
      <c r="C11304" s="163"/>
      <c r="D11304" s="163"/>
      <c r="E11304" s="163"/>
      <c r="F11304" s="163"/>
      <c r="G11304" s="163"/>
      <c r="H11304" s="163"/>
    </row>
    <row r="11305" spans="1:8" x14ac:dyDescent="0.3">
      <c r="A11305" s="55"/>
      <c r="B11305" s="257"/>
      <c r="C11305" s="55"/>
      <c r="D11305" s="55"/>
      <c r="E11305" s="55"/>
      <c r="F11305" s="55"/>
      <c r="G11305" s="55"/>
      <c r="H11305" s="55"/>
    </row>
    <row r="11306" spans="1:8" x14ac:dyDescent="0.3">
      <c r="A11306" s="57"/>
      <c r="B11306" s="84"/>
      <c r="C11306" s="85"/>
      <c r="D11306" s="86"/>
      <c r="E11306" s="87"/>
      <c r="F11306" s="47"/>
      <c r="G11306" s="47"/>
      <c r="H11306" s="47"/>
    </row>
    <row r="11307" spans="1:8" x14ac:dyDescent="0.3">
      <c r="A11307" s="57"/>
      <c r="B11307" s="84"/>
      <c r="C11307" s="85"/>
      <c r="D11307" s="86"/>
      <c r="E11307" s="47"/>
      <c r="F11307" s="47"/>
      <c r="G11307" s="47"/>
      <c r="H11307" s="47"/>
    </row>
    <row r="11308" spans="1:8" x14ac:dyDescent="0.3">
      <c r="A11308" s="55"/>
      <c r="B11308" s="84"/>
      <c r="C11308" s="55"/>
      <c r="D11308" s="86"/>
      <c r="E11308" s="47"/>
      <c r="F11308" s="47"/>
      <c r="G11308" s="47"/>
      <c r="H11308" s="47"/>
    </row>
    <row r="11309" spans="1:8" x14ac:dyDescent="0.3">
      <c r="A11309" s="27"/>
      <c r="B11309" s="28"/>
      <c r="C11309" s="24"/>
      <c r="D11309" s="25"/>
      <c r="E11309" s="25"/>
      <c r="F11309" s="28"/>
      <c r="G11309" s="28"/>
      <c r="H11309" s="32"/>
    </row>
    <row r="11310" spans="1:8" ht="15.6" x14ac:dyDescent="0.3">
      <c r="A11310" s="448" t="s">
        <v>45</v>
      </c>
      <c r="B11310" s="449"/>
      <c r="C11310" s="24"/>
      <c r="D11310" s="25"/>
      <c r="E11310" s="25"/>
      <c r="F11310" s="447" t="s">
        <v>46</v>
      </c>
      <c r="G11310" s="447"/>
      <c r="H11310" s="66">
        <v>30000</v>
      </c>
    </row>
    <row r="11311" spans="1:8" ht="15.6" x14ac:dyDescent="0.3">
      <c r="A11311" s="497" t="s">
        <v>1852</v>
      </c>
      <c r="B11311" s="498"/>
      <c r="C11311" s="498"/>
      <c r="D11311" s="498"/>
      <c r="E11311" s="498"/>
      <c r="F11311" s="447" t="s">
        <v>47</v>
      </c>
      <c r="G11311" s="447"/>
      <c r="H11311" s="66">
        <f>H11310*9%</f>
        <v>2700</v>
      </c>
    </row>
    <row r="11312" spans="1:8" ht="15.6" x14ac:dyDescent="0.3">
      <c r="A11312" s="27"/>
      <c r="B11312" s="28" t="s">
        <v>687</v>
      </c>
      <c r="C11312" s="24"/>
      <c r="D11312" s="25"/>
      <c r="E11312" s="25"/>
      <c r="F11312" s="447" t="s">
        <v>48</v>
      </c>
      <c r="G11312" s="447"/>
      <c r="H11312" s="66">
        <f>H11311</f>
        <v>2700</v>
      </c>
    </row>
    <row r="11313" spans="1:8" ht="15.6" x14ac:dyDescent="0.3">
      <c r="A11313" s="64" t="s">
        <v>49</v>
      </c>
      <c r="B11313" s="65"/>
      <c r="C11313" s="24"/>
      <c r="D11313" s="25"/>
      <c r="E11313" s="25"/>
      <c r="F11313" s="447" t="s">
        <v>50</v>
      </c>
      <c r="G11313" s="447"/>
      <c r="H11313" s="66">
        <f>H11310+H11311+H11312</f>
        <v>35400</v>
      </c>
    </row>
    <row r="11314" spans="1:8" ht="27" x14ac:dyDescent="0.3">
      <c r="A11314" s="68" t="s">
        <v>22</v>
      </c>
      <c r="B11314" s="30" t="s">
        <v>51</v>
      </c>
      <c r="C11314" s="70" t="s">
        <v>24</v>
      </c>
      <c r="D11314" s="31" t="s">
        <v>25</v>
      </c>
      <c r="E11314" s="450" t="s">
        <v>52</v>
      </c>
      <c r="F11314" s="450"/>
      <c r="G11314" s="28"/>
      <c r="H11314" s="32"/>
    </row>
    <row r="11315" spans="1:8" x14ac:dyDescent="0.3">
      <c r="A11315" s="72">
        <v>0.18</v>
      </c>
      <c r="B11315" s="73">
        <f>H11310</f>
        <v>30000</v>
      </c>
      <c r="C11315" s="91">
        <f>H11311</f>
        <v>2700</v>
      </c>
      <c r="D11315" s="91">
        <f>H11311</f>
        <v>2700</v>
      </c>
      <c r="E11315" s="506">
        <f>C11315+D11315</f>
        <v>5400</v>
      </c>
      <c r="F11315" s="507"/>
      <c r="G11315" s="74"/>
      <c r="H11315" s="75"/>
    </row>
    <row r="11316" spans="1:8" x14ac:dyDescent="0.3">
      <c r="A11316" s="508" t="s">
        <v>1853</v>
      </c>
      <c r="B11316" s="509"/>
      <c r="C11316" s="509"/>
      <c r="D11316" s="509"/>
      <c r="E11316" s="453"/>
      <c r="F11316" s="453"/>
      <c r="G11316" s="453"/>
      <c r="H11316" s="454"/>
    </row>
    <row r="11317" spans="1:8" ht="15.6" x14ac:dyDescent="0.3">
      <c r="A11317" s="455" t="s">
        <v>53</v>
      </c>
      <c r="B11317" s="456"/>
      <c r="C11317" s="456"/>
      <c r="D11317" s="457"/>
      <c r="E11317" s="458" t="s">
        <v>54</v>
      </c>
      <c r="F11317" s="459"/>
      <c r="G11317" s="459"/>
      <c r="H11317" s="460"/>
    </row>
    <row r="11318" spans="1:8" x14ac:dyDescent="0.3">
      <c r="A11318" s="461" t="s">
        <v>55</v>
      </c>
      <c r="B11318" s="462"/>
      <c r="C11318" s="462"/>
      <c r="D11318" s="463"/>
      <c r="E11318" s="39"/>
      <c r="F11318" s="28"/>
      <c r="G11318" s="28"/>
      <c r="H11318" s="32"/>
    </row>
    <row r="11319" spans="1:8" x14ac:dyDescent="0.3">
      <c r="A11319" s="461" t="s">
        <v>56</v>
      </c>
      <c r="B11319" s="462"/>
      <c r="C11319" s="462"/>
      <c r="D11319" s="463"/>
      <c r="E11319" s="39"/>
      <c r="F11319" s="28"/>
      <c r="G11319" s="28"/>
      <c r="H11319" s="32"/>
    </row>
    <row r="11320" spans="1:8" x14ac:dyDescent="0.3">
      <c r="A11320" s="461" t="s">
        <v>57</v>
      </c>
      <c r="B11320" s="462"/>
      <c r="C11320" s="462"/>
      <c r="D11320" s="463"/>
      <c r="E11320" s="39"/>
      <c r="F11320" s="28"/>
      <c r="G11320" s="28"/>
      <c r="H11320" s="32"/>
    </row>
    <row r="11321" spans="1:8" ht="15.6" x14ac:dyDescent="0.3">
      <c r="A11321" s="464" t="s">
        <v>58</v>
      </c>
      <c r="B11321" s="465"/>
      <c r="C11321" s="465"/>
      <c r="D11321" s="465"/>
      <c r="E11321" s="466" t="s">
        <v>59</v>
      </c>
      <c r="F11321" s="467"/>
      <c r="G11321" s="467"/>
      <c r="H11321" s="468"/>
    </row>
    <row r="11325" spans="1:8" ht="44.4" x14ac:dyDescent="0.7">
      <c r="A11325" s="469" t="s">
        <v>0</v>
      </c>
      <c r="B11325" s="470"/>
      <c r="C11325" s="470"/>
      <c r="D11325" s="470"/>
      <c r="E11325" s="531" t="s">
        <v>1</v>
      </c>
      <c r="F11325" s="544"/>
      <c r="G11325" s="544"/>
      <c r="H11325" s="545"/>
    </row>
    <row r="11326" spans="1:8" ht="20.399999999999999" x14ac:dyDescent="0.35">
      <c r="A11326" s="1"/>
      <c r="B11326" s="476" t="s">
        <v>2</v>
      </c>
      <c r="C11326" s="476"/>
      <c r="D11326" s="476"/>
      <c r="E11326" s="546"/>
      <c r="F11326" s="546"/>
      <c r="G11326" s="546"/>
      <c r="H11326" s="547"/>
    </row>
    <row r="11327" spans="1:8" x14ac:dyDescent="0.3">
      <c r="A11327" s="477" t="s">
        <v>3</v>
      </c>
      <c r="B11327" s="478"/>
      <c r="C11327" s="479" t="s">
        <v>4</v>
      </c>
      <c r="D11327" s="479"/>
      <c r="E11327" s="654" t="s">
        <v>5</v>
      </c>
      <c r="F11327" s="654"/>
      <c r="G11327" s="654"/>
      <c r="H11327" s="654"/>
    </row>
    <row r="11328" spans="1:8" ht="15.6" x14ac:dyDescent="0.3">
      <c r="A11328" s="4" t="s">
        <v>6</v>
      </c>
      <c r="B11328" s="5"/>
      <c r="C11328" s="481" t="s">
        <v>7</v>
      </c>
      <c r="D11328" s="481"/>
      <c r="E11328" s="482">
        <v>245</v>
      </c>
      <c r="F11328" s="482"/>
      <c r="G11328" s="7" t="s">
        <v>8</v>
      </c>
      <c r="H11328" s="250" t="s">
        <v>1833</v>
      </c>
    </row>
    <row r="11329" spans="1:8" ht="15.6" x14ac:dyDescent="0.3">
      <c r="A11329" s="551" t="s">
        <v>458</v>
      </c>
      <c r="B11329" s="552"/>
      <c r="C11329" s="481" t="s">
        <v>10</v>
      </c>
      <c r="D11329" s="481"/>
      <c r="E11329" s="482">
        <v>78</v>
      </c>
      <c r="F11329" s="482"/>
      <c r="G11329" s="7" t="s">
        <v>8</v>
      </c>
      <c r="H11329" s="250">
        <v>46329</v>
      </c>
    </row>
    <row r="11330" spans="1:8" ht="26.25" customHeight="1" x14ac:dyDescent="0.3">
      <c r="A11330" s="560" t="s">
        <v>459</v>
      </c>
      <c r="B11330" s="561"/>
      <c r="C11330" s="483" t="s">
        <v>12</v>
      </c>
      <c r="D11330" s="484"/>
      <c r="E11330" s="652" t="s">
        <v>466</v>
      </c>
      <c r="F11330" s="653"/>
      <c r="G11330" s="10" t="s">
        <v>8</v>
      </c>
      <c r="H11330" s="252" t="s">
        <v>465</v>
      </c>
    </row>
    <row r="11331" spans="1:8" ht="15.6" x14ac:dyDescent="0.3">
      <c r="A11331" s="253" t="s">
        <v>460</v>
      </c>
      <c r="B11331" s="254"/>
      <c r="C11331" s="481" t="s">
        <v>15</v>
      </c>
      <c r="D11331" s="481"/>
      <c r="E11331" s="489" t="s">
        <v>461</v>
      </c>
      <c r="F11331" s="490"/>
      <c r="G11331" s="490"/>
      <c r="H11331" s="491"/>
    </row>
    <row r="11332" spans="1:8" ht="15.6" x14ac:dyDescent="0.3">
      <c r="A11332" s="255" t="s">
        <v>1855</v>
      </c>
      <c r="B11332" s="256"/>
      <c r="C11332" s="489"/>
      <c r="D11332" s="490"/>
      <c r="E11332" s="490"/>
      <c r="F11332" s="490"/>
      <c r="G11332" s="490"/>
      <c r="H11332" s="491"/>
    </row>
    <row r="11333" spans="1:8" ht="15" x14ac:dyDescent="0.3">
      <c r="A11333" s="492" t="s">
        <v>17</v>
      </c>
      <c r="B11333" s="494" t="s">
        <v>18</v>
      </c>
      <c r="C11333" s="494" t="s">
        <v>19</v>
      </c>
      <c r="D11333" s="495" t="s">
        <v>20</v>
      </c>
      <c r="E11333" s="494" t="s">
        <v>21</v>
      </c>
      <c r="F11333" s="494" t="s">
        <v>22</v>
      </c>
      <c r="G11333" s="494"/>
      <c r="H11333" s="492" t="s">
        <v>23</v>
      </c>
    </row>
    <row r="11334" spans="1:8" ht="27.6" x14ac:dyDescent="0.3">
      <c r="A11334" s="492"/>
      <c r="B11334" s="494"/>
      <c r="C11334" s="494"/>
      <c r="D11334" s="505"/>
      <c r="E11334" s="494"/>
      <c r="F11334" s="53" t="s">
        <v>24</v>
      </c>
      <c r="G11334" s="53" t="s">
        <v>25</v>
      </c>
      <c r="H11334" s="492"/>
    </row>
    <row r="11335" spans="1:8" ht="15" x14ac:dyDescent="0.3">
      <c r="A11335" s="353">
        <v>1</v>
      </c>
      <c r="B11335" s="84" t="s">
        <v>1856</v>
      </c>
      <c r="C11335" s="430">
        <v>1</v>
      </c>
      <c r="D11335" s="86">
        <v>998719</v>
      </c>
      <c r="E11335" s="352">
        <v>1000</v>
      </c>
      <c r="F11335" s="55">
        <f t="shared" ref="F11335" si="328">E11335*C11335*9%</f>
        <v>90</v>
      </c>
      <c r="G11335" s="55">
        <f t="shared" ref="G11335" si="329">F11335</f>
        <v>90</v>
      </c>
      <c r="H11335" s="55">
        <f t="shared" ref="H11335" si="330">G11335+F11335+E11335*C11335</f>
        <v>1180</v>
      </c>
    </row>
    <row r="11336" spans="1:8" x14ac:dyDescent="0.3">
      <c r="A11336" s="55"/>
      <c r="B11336" s="257"/>
      <c r="C11336" s="431"/>
      <c r="D11336" s="86"/>
      <c r="E11336" s="55"/>
      <c r="F11336" s="55"/>
      <c r="G11336" s="55"/>
      <c r="H11336" s="55"/>
    </row>
    <row r="11337" spans="1:8" ht="15" x14ac:dyDescent="0.3">
      <c r="A11337" s="353"/>
      <c r="B11337" s="84"/>
      <c r="C11337" s="431"/>
      <c r="D11337" s="357"/>
      <c r="E11337" s="55"/>
      <c r="F11337" s="55"/>
      <c r="G11337" s="55"/>
      <c r="H11337" s="55"/>
    </row>
    <row r="11338" spans="1:8" ht="15" x14ac:dyDescent="0.3">
      <c r="A11338" s="353"/>
      <c r="B11338" s="84"/>
      <c r="C11338" s="431"/>
      <c r="D11338" s="385"/>
      <c r="E11338" s="55"/>
      <c r="F11338" s="55"/>
      <c r="G11338" s="55"/>
      <c r="H11338" s="55"/>
    </row>
    <row r="11339" spans="1:8" x14ac:dyDescent="0.3">
      <c r="A11339" s="55"/>
      <c r="B11339" s="84"/>
      <c r="C11339" s="431"/>
      <c r="D11339" s="385"/>
      <c r="E11339" s="55"/>
      <c r="F11339" s="55"/>
      <c r="G11339" s="55"/>
      <c r="H11339" s="55"/>
    </row>
    <row r="11340" spans="1:8" ht="15" x14ac:dyDescent="0.3">
      <c r="A11340" s="353"/>
      <c r="B11340" s="84"/>
      <c r="C11340" s="431"/>
      <c r="D11340" s="86"/>
      <c r="E11340" s="55"/>
      <c r="F11340" s="55"/>
      <c r="G11340" s="55"/>
      <c r="H11340" s="55"/>
    </row>
    <row r="11341" spans="1:8" ht="15" x14ac:dyDescent="0.3">
      <c r="A11341" s="353"/>
      <c r="B11341" s="84"/>
      <c r="C11341" s="432"/>
      <c r="D11341" s="86"/>
      <c r="E11341" s="55"/>
      <c r="F11341" s="55"/>
      <c r="G11341" s="55"/>
      <c r="H11341" s="55"/>
    </row>
    <row r="11342" spans="1:8" x14ac:dyDescent="0.3">
      <c r="A11342" s="55"/>
      <c r="B11342" s="257"/>
      <c r="C11342" s="432"/>
      <c r="D11342" s="86"/>
      <c r="E11342" s="55"/>
      <c r="F11342" s="55"/>
      <c r="G11342" s="55"/>
      <c r="H11342" s="55"/>
    </row>
    <row r="11343" spans="1:8" ht="15" x14ac:dyDescent="0.3">
      <c r="A11343" s="353"/>
      <c r="B11343" s="257"/>
      <c r="C11343" s="432"/>
      <c r="D11343" s="86"/>
      <c r="E11343" s="55"/>
      <c r="F11343" s="55"/>
      <c r="G11343" s="55"/>
      <c r="H11343" s="55"/>
    </row>
    <row r="11344" spans="1:8" ht="15" x14ac:dyDescent="0.3">
      <c r="A11344" s="353"/>
      <c r="B11344" s="257"/>
      <c r="C11344" s="432"/>
      <c r="D11344" s="86"/>
      <c r="E11344" s="55"/>
      <c r="F11344" s="55"/>
      <c r="G11344" s="55"/>
      <c r="H11344" s="55"/>
    </row>
    <row r="11345" spans="1:8" x14ac:dyDescent="0.3">
      <c r="A11345" s="55"/>
      <c r="B11345" s="257"/>
      <c r="C11345" s="20"/>
      <c r="D11345" s="86"/>
      <c r="E11345" s="55"/>
      <c r="F11345" s="55"/>
      <c r="G11345" s="55"/>
      <c r="H11345" s="55"/>
    </row>
    <row r="11346" spans="1:8" ht="15" x14ac:dyDescent="0.3">
      <c r="A11346" s="353"/>
      <c r="B11346" s="84"/>
      <c r="C11346" s="55"/>
      <c r="D11346" s="86"/>
      <c r="E11346" s="55"/>
      <c r="F11346" s="55"/>
      <c r="G11346" s="55"/>
      <c r="H11346" s="55"/>
    </row>
    <row r="11347" spans="1:8" ht="15" x14ac:dyDescent="0.3">
      <c r="A11347" s="353"/>
      <c r="B11347" s="257"/>
      <c r="C11347" s="20"/>
      <c r="D11347" s="86"/>
      <c r="E11347" s="55"/>
      <c r="F11347" s="55"/>
      <c r="G11347" s="55"/>
      <c r="H11347" s="55"/>
    </row>
    <row r="11348" spans="1:8" x14ac:dyDescent="0.3">
      <c r="A11348" s="55"/>
      <c r="B11348" s="257"/>
      <c r="C11348" s="20"/>
      <c r="D11348" s="86"/>
      <c r="E11348" s="55"/>
      <c r="F11348" s="55"/>
      <c r="G11348" s="55"/>
      <c r="H11348" s="55"/>
    </row>
    <row r="11349" spans="1:8" x14ac:dyDescent="0.3">
      <c r="A11349" s="163"/>
      <c r="B11349" s="163"/>
      <c r="C11349" s="163"/>
      <c r="D11349" s="163"/>
      <c r="E11349" s="163"/>
      <c r="F11349" s="163"/>
      <c r="G11349" s="163"/>
      <c r="H11349" s="163"/>
    </row>
    <row r="11350" spans="1:8" x14ac:dyDescent="0.3">
      <c r="A11350" s="55"/>
      <c r="B11350" s="257"/>
      <c r="C11350" s="55"/>
      <c r="D11350" s="55"/>
      <c r="E11350" s="55"/>
      <c r="F11350" s="55"/>
      <c r="G11350" s="55"/>
      <c r="H11350" s="55"/>
    </row>
    <row r="11351" spans="1:8" x14ac:dyDescent="0.3">
      <c r="A11351" s="57"/>
      <c r="B11351" s="84"/>
      <c r="C11351" s="85"/>
      <c r="D11351" s="86"/>
      <c r="E11351" s="87"/>
      <c r="F11351" s="47"/>
      <c r="G11351" s="47"/>
      <c r="H11351" s="47"/>
    </row>
    <row r="11352" spans="1:8" x14ac:dyDescent="0.3">
      <c r="A11352" s="57"/>
      <c r="B11352" s="84"/>
      <c r="C11352" s="85"/>
      <c r="D11352" s="86"/>
      <c r="E11352" s="47"/>
      <c r="F11352" s="47"/>
      <c r="G11352" s="47"/>
      <c r="H11352" s="47"/>
    </row>
    <row r="11353" spans="1:8" x14ac:dyDescent="0.3">
      <c r="A11353" s="55"/>
      <c r="B11353" s="84"/>
      <c r="C11353" s="55"/>
      <c r="D11353" s="86"/>
      <c r="E11353" s="47"/>
      <c r="F11353" s="47"/>
      <c r="G11353" s="47"/>
      <c r="H11353" s="47"/>
    </row>
    <row r="11354" spans="1:8" x14ac:dyDescent="0.3">
      <c r="A11354" s="27"/>
      <c r="B11354" s="28"/>
      <c r="C11354" s="24"/>
      <c r="D11354" s="25"/>
      <c r="E11354" s="25"/>
      <c r="F11354" s="28"/>
      <c r="G11354" s="28"/>
      <c r="H11354" s="32"/>
    </row>
    <row r="11355" spans="1:8" ht="15.6" x14ac:dyDescent="0.3">
      <c r="A11355" s="448" t="s">
        <v>45</v>
      </c>
      <c r="B11355" s="449"/>
      <c r="C11355" s="24"/>
      <c r="D11355" s="25"/>
      <c r="E11355" s="25"/>
      <c r="F11355" s="447" t="s">
        <v>46</v>
      </c>
      <c r="G11355" s="447"/>
      <c r="H11355" s="66">
        <v>1000</v>
      </c>
    </row>
    <row r="11356" spans="1:8" ht="15.6" x14ac:dyDescent="0.3">
      <c r="A11356" s="497" t="s">
        <v>1857</v>
      </c>
      <c r="B11356" s="498"/>
      <c r="C11356" s="498"/>
      <c r="D11356" s="498"/>
      <c r="E11356" s="498"/>
      <c r="F11356" s="447" t="s">
        <v>47</v>
      </c>
      <c r="G11356" s="447"/>
      <c r="H11356" s="66">
        <f>H11355*9%</f>
        <v>90</v>
      </c>
    </row>
    <row r="11357" spans="1:8" ht="15.6" x14ac:dyDescent="0.3">
      <c r="A11357" s="27"/>
      <c r="B11357" s="28" t="s">
        <v>687</v>
      </c>
      <c r="C11357" s="24"/>
      <c r="D11357" s="25"/>
      <c r="E11357" s="25"/>
      <c r="F11357" s="447" t="s">
        <v>48</v>
      </c>
      <c r="G11357" s="447"/>
      <c r="H11357" s="66">
        <f>H11356</f>
        <v>90</v>
      </c>
    </row>
    <row r="11358" spans="1:8" ht="15.6" x14ac:dyDescent="0.3">
      <c r="A11358" s="64" t="s">
        <v>49</v>
      </c>
      <c r="B11358" s="65"/>
      <c r="C11358" s="24"/>
      <c r="D11358" s="25"/>
      <c r="E11358" s="25"/>
      <c r="F11358" s="447" t="s">
        <v>50</v>
      </c>
      <c r="G11358" s="447"/>
      <c r="H11358" s="66">
        <f>H11355+H11356+H11357</f>
        <v>1180</v>
      </c>
    </row>
    <row r="11359" spans="1:8" ht="27" x14ac:dyDescent="0.3">
      <c r="A11359" s="68" t="s">
        <v>22</v>
      </c>
      <c r="B11359" s="30" t="s">
        <v>51</v>
      </c>
      <c r="C11359" s="70" t="s">
        <v>24</v>
      </c>
      <c r="D11359" s="31" t="s">
        <v>25</v>
      </c>
      <c r="E11359" s="450" t="s">
        <v>52</v>
      </c>
      <c r="F11359" s="450"/>
      <c r="G11359" s="28"/>
      <c r="H11359" s="32"/>
    </row>
    <row r="11360" spans="1:8" x14ac:dyDescent="0.3">
      <c r="A11360" s="72">
        <v>0.18</v>
      </c>
      <c r="B11360" s="73">
        <f>H11355</f>
        <v>1000</v>
      </c>
      <c r="C11360" s="91">
        <f>H11356</f>
        <v>90</v>
      </c>
      <c r="D11360" s="91">
        <f>H11356</f>
        <v>90</v>
      </c>
      <c r="E11360" s="506">
        <f>C11360+D11360</f>
        <v>180</v>
      </c>
      <c r="F11360" s="507"/>
      <c r="G11360" s="74"/>
      <c r="H11360" s="75"/>
    </row>
    <row r="11361" spans="1:8" x14ac:dyDescent="0.3">
      <c r="A11361" s="508" t="s">
        <v>1074</v>
      </c>
      <c r="B11361" s="509"/>
      <c r="C11361" s="509"/>
      <c r="D11361" s="509"/>
      <c r="E11361" s="453"/>
      <c r="F11361" s="453"/>
      <c r="G11361" s="453"/>
      <c r="H11361" s="454"/>
    </row>
    <row r="11362" spans="1:8" ht="15.6" x14ac:dyDescent="0.3">
      <c r="A11362" s="455" t="s">
        <v>53</v>
      </c>
      <c r="B11362" s="456"/>
      <c r="C11362" s="456"/>
      <c r="D11362" s="457"/>
      <c r="E11362" s="458" t="s">
        <v>54</v>
      </c>
      <c r="F11362" s="459"/>
      <c r="G11362" s="459"/>
      <c r="H11362" s="460"/>
    </row>
    <row r="11363" spans="1:8" x14ac:dyDescent="0.3">
      <c r="A11363" s="461" t="s">
        <v>55</v>
      </c>
      <c r="B11363" s="462"/>
      <c r="C11363" s="462"/>
      <c r="D11363" s="463"/>
      <c r="E11363" s="39"/>
      <c r="F11363" s="28"/>
      <c r="G11363" s="28"/>
      <c r="H11363" s="32"/>
    </row>
    <row r="11364" spans="1:8" x14ac:dyDescent="0.3">
      <c r="A11364" s="461" t="s">
        <v>56</v>
      </c>
      <c r="B11364" s="462"/>
      <c r="C11364" s="462"/>
      <c r="D11364" s="463"/>
      <c r="E11364" s="39"/>
      <c r="F11364" s="28"/>
      <c r="G11364" s="28"/>
      <c r="H11364" s="32"/>
    </row>
    <row r="11365" spans="1:8" x14ac:dyDescent="0.3">
      <c r="A11365" s="461" t="s">
        <v>57</v>
      </c>
      <c r="B11365" s="462"/>
      <c r="C11365" s="462"/>
      <c r="D11365" s="463"/>
      <c r="E11365" s="39"/>
      <c r="F11365" s="28"/>
      <c r="G11365" s="28"/>
      <c r="H11365" s="32"/>
    </row>
    <row r="11366" spans="1:8" ht="15.6" x14ac:dyDescent="0.3">
      <c r="A11366" s="464" t="s">
        <v>58</v>
      </c>
      <c r="B11366" s="465"/>
      <c r="C11366" s="465"/>
      <c r="D11366" s="465"/>
      <c r="E11366" s="466" t="s">
        <v>59</v>
      </c>
      <c r="F11366" s="467"/>
      <c r="G11366" s="467"/>
      <c r="H11366" s="468"/>
    </row>
    <row r="11370" spans="1:8" ht="44.4" x14ac:dyDescent="0.7">
      <c r="A11370" s="469" t="s">
        <v>0</v>
      </c>
      <c r="B11370" s="470"/>
      <c r="C11370" s="470"/>
      <c r="D11370" s="470"/>
      <c r="E11370" s="531" t="s">
        <v>1</v>
      </c>
      <c r="F11370" s="544"/>
      <c r="G11370" s="544"/>
      <c r="H11370" s="545"/>
    </row>
    <row r="11371" spans="1:8" ht="20.399999999999999" x14ac:dyDescent="0.35">
      <c r="A11371" s="1"/>
      <c r="B11371" s="476" t="s">
        <v>2</v>
      </c>
      <c r="C11371" s="476"/>
      <c r="D11371" s="476"/>
      <c r="E11371" s="546"/>
      <c r="F11371" s="546"/>
      <c r="G11371" s="546"/>
      <c r="H11371" s="547"/>
    </row>
    <row r="11372" spans="1:8" x14ac:dyDescent="0.3">
      <c r="A11372" s="477" t="s">
        <v>3</v>
      </c>
      <c r="B11372" s="478"/>
      <c r="C11372" s="479" t="s">
        <v>4</v>
      </c>
      <c r="D11372" s="479"/>
      <c r="E11372" s="548" t="s">
        <v>5</v>
      </c>
      <c r="F11372" s="549"/>
      <c r="G11372" s="549"/>
      <c r="H11372" s="550"/>
    </row>
    <row r="11373" spans="1:8" ht="15.6" x14ac:dyDescent="0.3">
      <c r="A11373" s="4" t="s">
        <v>6</v>
      </c>
      <c r="B11373" s="5"/>
      <c r="C11373" s="481" t="s">
        <v>7</v>
      </c>
      <c r="D11373" s="481"/>
      <c r="E11373" s="482">
        <v>246</v>
      </c>
      <c r="F11373" s="482"/>
      <c r="G11373" s="7" t="s">
        <v>8</v>
      </c>
      <c r="H11373" s="8" t="s">
        <v>1858</v>
      </c>
    </row>
    <row r="11374" spans="1:8" ht="15.6" x14ac:dyDescent="0.3">
      <c r="A11374" s="551" t="s">
        <v>287</v>
      </c>
      <c r="B11374" s="552"/>
      <c r="C11374" s="481" t="s">
        <v>10</v>
      </c>
      <c r="D11374" s="481"/>
      <c r="E11374" s="482"/>
      <c r="F11374" s="482"/>
      <c r="G11374" s="7" t="s">
        <v>8</v>
      </c>
      <c r="H11374" s="9"/>
    </row>
    <row r="11375" spans="1:8" ht="25.5" customHeight="1" x14ac:dyDescent="0.3">
      <c r="A11375" s="517" t="s">
        <v>288</v>
      </c>
      <c r="B11375" s="553"/>
      <c r="C11375" s="483" t="s">
        <v>12</v>
      </c>
      <c r="D11375" s="484"/>
      <c r="E11375" s="554" t="s">
        <v>1859</v>
      </c>
      <c r="F11375" s="555"/>
      <c r="G11375" s="10" t="s">
        <v>8</v>
      </c>
      <c r="H11375" s="11" t="s">
        <v>1860</v>
      </c>
    </row>
    <row r="11376" spans="1:8" ht="15.6" x14ac:dyDescent="0.3">
      <c r="A11376" s="556"/>
      <c r="B11376" s="557"/>
      <c r="C11376" s="481" t="s">
        <v>15</v>
      </c>
      <c r="D11376" s="481"/>
      <c r="E11376" s="502" t="s">
        <v>289</v>
      </c>
      <c r="F11376" s="503"/>
      <c r="G11376" s="503"/>
      <c r="H11376" s="504"/>
    </row>
    <row r="11377" spans="1:8" ht="15.6" x14ac:dyDescent="0.3">
      <c r="A11377" s="558" t="s">
        <v>290</v>
      </c>
      <c r="B11377" s="559"/>
      <c r="C11377" s="489"/>
      <c r="D11377" s="490"/>
      <c r="E11377" s="490"/>
      <c r="F11377" s="490"/>
      <c r="G11377" s="490"/>
      <c r="H11377" s="491"/>
    </row>
    <row r="11378" spans="1:8" ht="15" x14ac:dyDescent="0.3">
      <c r="A11378" s="492" t="s">
        <v>17</v>
      </c>
      <c r="B11378" s="494" t="s">
        <v>18</v>
      </c>
      <c r="C11378" s="494" t="s">
        <v>19</v>
      </c>
      <c r="D11378" s="494" t="s">
        <v>20</v>
      </c>
      <c r="E11378" s="494" t="s">
        <v>21</v>
      </c>
      <c r="F11378" s="494" t="s">
        <v>22</v>
      </c>
      <c r="G11378" s="494"/>
      <c r="H11378" s="492" t="s">
        <v>23</v>
      </c>
    </row>
    <row r="11379" spans="1:8" ht="27.6" x14ac:dyDescent="0.3">
      <c r="A11379" s="492"/>
      <c r="B11379" s="494"/>
      <c r="C11379" s="494"/>
      <c r="D11379" s="494"/>
      <c r="E11379" s="494"/>
      <c r="F11379" s="53" t="s">
        <v>24</v>
      </c>
      <c r="G11379" s="53" t="s">
        <v>25</v>
      </c>
      <c r="H11379" s="492"/>
    </row>
    <row r="11380" spans="1:8" ht="27.6" x14ac:dyDescent="0.3">
      <c r="A11380" s="57">
        <v>1</v>
      </c>
      <c r="B11380" s="60" t="s">
        <v>1864</v>
      </c>
      <c r="C11380" s="57">
        <v>1</v>
      </c>
      <c r="D11380" s="349">
        <v>998719</v>
      </c>
      <c r="E11380" s="57">
        <v>71240</v>
      </c>
      <c r="F11380" s="57">
        <f>E11380*C11380*9%</f>
        <v>6411.5999999999995</v>
      </c>
      <c r="G11380" s="57">
        <f>F11380</f>
        <v>6411.5999999999995</v>
      </c>
      <c r="H11380" s="57">
        <f>G11380+F11380+E11380*C11380</f>
        <v>84063.2</v>
      </c>
    </row>
    <row r="11381" spans="1:8" x14ac:dyDescent="0.3">
      <c r="A11381" s="55"/>
      <c r="B11381" s="60"/>
      <c r="C11381" s="57"/>
      <c r="D11381" s="209"/>
      <c r="E11381" s="57"/>
      <c r="F11381" s="57"/>
      <c r="G11381" s="57"/>
      <c r="H11381" s="57"/>
    </row>
    <row r="11382" spans="1:8" x14ac:dyDescent="0.3">
      <c r="A11382" s="55"/>
      <c r="B11382" s="130"/>
      <c r="C11382" s="55"/>
      <c r="D11382" s="349"/>
      <c r="E11382" s="55"/>
      <c r="F11382" s="55"/>
      <c r="G11382" s="55"/>
      <c r="H11382" s="55"/>
    </row>
    <row r="11383" spans="1:8" x14ac:dyDescent="0.3">
      <c r="A11383" s="55"/>
      <c r="B11383" s="130"/>
      <c r="C11383" s="55"/>
      <c r="D11383" s="83"/>
      <c r="E11383" s="57"/>
      <c r="F11383" s="55"/>
      <c r="G11383" s="55"/>
      <c r="H11383" s="55"/>
    </row>
    <row r="11384" spans="1:8" x14ac:dyDescent="0.3">
      <c r="A11384" s="55"/>
      <c r="B11384" s="130"/>
      <c r="C11384" s="83"/>
      <c r="D11384" s="83"/>
      <c r="E11384" s="57"/>
      <c r="F11384" s="55"/>
      <c r="G11384" s="55"/>
      <c r="H11384" s="55"/>
    </row>
    <row r="11385" spans="1:8" x14ac:dyDescent="0.3">
      <c r="A11385" s="55"/>
      <c r="B11385" s="130"/>
      <c r="C11385" s="83"/>
      <c r="D11385" s="83"/>
      <c r="E11385" s="57"/>
      <c r="F11385" s="55"/>
      <c r="G11385" s="55"/>
      <c r="H11385" s="55"/>
    </row>
    <row r="11386" spans="1:8" x14ac:dyDescent="0.3">
      <c r="A11386" s="55"/>
      <c r="B11386" s="130"/>
      <c r="C11386" s="83"/>
      <c r="D11386" s="83"/>
      <c r="E11386" s="57"/>
      <c r="F11386" s="57"/>
      <c r="G11386" s="57"/>
      <c r="H11386" s="57"/>
    </row>
    <row r="11387" spans="1:8" x14ac:dyDescent="0.3">
      <c r="A11387" s="55"/>
      <c r="B11387" s="130"/>
      <c r="C11387" s="83"/>
      <c r="D11387" s="57"/>
      <c r="E11387" s="57"/>
      <c r="F11387" s="57"/>
      <c r="G11387" s="57"/>
      <c r="H11387" s="57"/>
    </row>
    <row r="11388" spans="1:8" x14ac:dyDescent="0.3">
      <c r="A11388" s="194"/>
      <c r="B11388" s="195"/>
      <c r="C11388" s="196"/>
      <c r="D11388" s="194"/>
      <c r="E11388" s="194"/>
      <c r="F11388" s="145"/>
      <c r="G11388" s="197"/>
      <c r="H11388" s="198"/>
    </row>
    <row r="11389" spans="1:8" x14ac:dyDescent="0.3">
      <c r="A11389" s="199"/>
      <c r="B11389" s="200"/>
      <c r="C11389" s="201"/>
      <c r="D11389" s="202"/>
      <c r="E11389" s="203"/>
      <c r="F11389" s="204"/>
      <c r="G11389" s="204"/>
      <c r="H11389" s="205"/>
    </row>
    <row r="11390" spans="1:8" x14ac:dyDescent="0.3">
      <c r="A11390" s="173"/>
      <c r="B11390" s="88"/>
      <c r="C11390" s="206"/>
      <c r="D11390" s="89"/>
      <c r="E11390" s="207"/>
      <c r="F11390" s="25"/>
      <c r="G11390" s="25"/>
      <c r="H11390" s="32"/>
    </row>
    <row r="11391" spans="1:8" x14ac:dyDescent="0.3">
      <c r="A11391" s="173"/>
      <c r="B11391" s="88"/>
      <c r="C11391" s="206"/>
      <c r="D11391" s="89"/>
      <c r="E11391" s="207"/>
      <c r="F11391" s="25"/>
      <c r="G11391" s="25"/>
      <c r="H11391" s="32"/>
    </row>
    <row r="11392" spans="1:8" x14ac:dyDescent="0.3">
      <c r="A11392" s="173"/>
      <c r="B11392" s="88"/>
      <c r="C11392" s="206"/>
      <c r="D11392" s="89"/>
      <c r="E11392" s="207"/>
      <c r="F11392" s="25"/>
      <c r="G11392" s="25"/>
      <c r="H11392" s="32"/>
    </row>
    <row r="11393" spans="1:8" x14ac:dyDescent="0.3">
      <c r="A11393" s="173"/>
      <c r="B11393" s="88"/>
      <c r="C11393" s="206"/>
      <c r="D11393" s="89"/>
      <c r="E11393" s="207"/>
      <c r="F11393" s="25"/>
      <c r="G11393" s="25"/>
      <c r="H11393" s="32"/>
    </row>
    <row r="11394" spans="1:8" x14ac:dyDescent="0.3">
      <c r="A11394" s="173"/>
      <c r="B11394" s="88"/>
      <c r="C11394" s="206"/>
      <c r="D11394" s="89"/>
      <c r="E11394" s="207"/>
      <c r="F11394" s="25"/>
      <c r="G11394" s="25"/>
      <c r="H11394" s="32"/>
    </row>
    <row r="11395" spans="1:8" x14ac:dyDescent="0.3">
      <c r="A11395" s="173"/>
      <c r="B11395" s="88"/>
      <c r="C11395" s="206"/>
      <c r="D11395" s="89"/>
      <c r="E11395" s="207"/>
      <c r="F11395" s="25"/>
      <c r="G11395" s="25"/>
      <c r="H11395" s="32"/>
    </row>
    <row r="11396" spans="1:8" x14ac:dyDescent="0.3">
      <c r="A11396" s="173"/>
      <c r="B11396" s="88"/>
      <c r="C11396" s="206"/>
      <c r="D11396" s="89"/>
      <c r="E11396" s="207"/>
      <c r="F11396" s="25"/>
      <c r="G11396" s="25"/>
      <c r="H11396" s="32"/>
    </row>
    <row r="11397" spans="1:8" x14ac:dyDescent="0.3">
      <c r="A11397" s="173"/>
      <c r="B11397" s="88"/>
      <c r="C11397" s="206"/>
      <c r="D11397" s="89"/>
      <c r="E11397" s="207"/>
      <c r="F11397" s="25"/>
      <c r="G11397" s="25"/>
      <c r="H11397" s="32"/>
    </row>
    <row r="11398" spans="1:8" x14ac:dyDescent="0.3">
      <c r="A11398" s="173"/>
      <c r="B11398" s="88"/>
      <c r="C11398" s="206"/>
      <c r="D11398" s="89"/>
      <c r="E11398" s="207"/>
      <c r="F11398" s="25"/>
      <c r="G11398" s="25"/>
      <c r="H11398" s="32"/>
    </row>
    <row r="11399" spans="1:8" x14ac:dyDescent="0.3">
      <c r="A11399" s="173"/>
      <c r="B11399" s="88"/>
      <c r="C11399" s="206"/>
      <c r="D11399" s="89"/>
      <c r="E11399" s="25"/>
      <c r="F11399" s="25"/>
      <c r="G11399" s="25"/>
      <c r="H11399" s="32"/>
    </row>
    <row r="11400" spans="1:8" x14ac:dyDescent="0.3">
      <c r="A11400" s="27"/>
      <c r="B11400" s="88"/>
      <c r="C11400" s="24"/>
      <c r="D11400" s="89"/>
      <c r="E11400" s="25"/>
      <c r="F11400" s="25"/>
      <c r="G11400" s="25"/>
      <c r="H11400" s="32"/>
    </row>
    <row r="11401" spans="1:8" x14ac:dyDescent="0.3">
      <c r="A11401" s="27"/>
      <c r="B11401" s="28"/>
      <c r="C11401" s="24"/>
      <c r="D11401" s="25"/>
      <c r="E11401" s="25"/>
      <c r="F11401" s="28"/>
      <c r="G11401" s="28"/>
      <c r="H11401" s="32"/>
    </row>
    <row r="11402" spans="1:8" ht="15.6" x14ac:dyDescent="0.3">
      <c r="A11402" s="448" t="s">
        <v>45</v>
      </c>
      <c r="B11402" s="449"/>
      <c r="C11402" s="24"/>
      <c r="D11402" s="25"/>
      <c r="E11402" s="25"/>
      <c r="F11402" s="447" t="s">
        <v>46</v>
      </c>
      <c r="G11402" s="447"/>
      <c r="H11402" s="66">
        <v>71240</v>
      </c>
    </row>
    <row r="11403" spans="1:8" ht="15.6" x14ac:dyDescent="0.3">
      <c r="A11403" s="497" t="s">
        <v>1861</v>
      </c>
      <c r="B11403" s="498"/>
      <c r="C11403" s="498"/>
      <c r="D11403" s="498"/>
      <c r="E11403" s="498"/>
      <c r="F11403" s="447" t="s">
        <v>47</v>
      </c>
      <c r="G11403" s="447"/>
      <c r="H11403" s="66">
        <f>H11402*9%</f>
        <v>6411.5999999999995</v>
      </c>
    </row>
    <row r="11404" spans="1:8" ht="15.6" x14ac:dyDescent="0.3">
      <c r="A11404" s="27"/>
      <c r="B11404" s="28"/>
      <c r="C11404" s="24"/>
      <c r="D11404" s="25"/>
      <c r="E11404" s="25"/>
      <c r="F11404" s="447" t="s">
        <v>48</v>
      </c>
      <c r="G11404" s="447"/>
      <c r="H11404" s="66">
        <f>H11403</f>
        <v>6411.5999999999995</v>
      </c>
    </row>
    <row r="11405" spans="1:8" ht="15.6" x14ac:dyDescent="0.3">
      <c r="A11405" s="448" t="s">
        <v>49</v>
      </c>
      <c r="B11405" s="449"/>
      <c r="C11405" s="24"/>
      <c r="D11405" s="25"/>
      <c r="E11405" s="25"/>
      <c r="F11405" s="447" t="s">
        <v>50</v>
      </c>
      <c r="G11405" s="447"/>
      <c r="H11405" s="66">
        <v>84063</v>
      </c>
    </row>
    <row r="11406" spans="1:8" ht="26.4" x14ac:dyDescent="0.3">
      <c r="A11406" s="68" t="s">
        <v>22</v>
      </c>
      <c r="B11406" s="30" t="s">
        <v>51</v>
      </c>
      <c r="C11406" s="70" t="s">
        <v>24</v>
      </c>
      <c r="D11406" s="70" t="s">
        <v>25</v>
      </c>
      <c r="E11406" s="543" t="s">
        <v>52</v>
      </c>
      <c r="F11406" s="543"/>
      <c r="G11406" s="28"/>
      <c r="H11406" s="32"/>
    </row>
    <row r="11407" spans="1:8" x14ac:dyDescent="0.3">
      <c r="A11407" s="72">
        <v>0.18</v>
      </c>
      <c r="B11407" s="73">
        <f>H11402</f>
        <v>71240</v>
      </c>
      <c r="C11407" s="91">
        <f>H11403</f>
        <v>6411.5999999999995</v>
      </c>
      <c r="D11407" s="91">
        <f>H11403</f>
        <v>6411.5999999999995</v>
      </c>
      <c r="E11407" s="506">
        <f>C11407+D11407</f>
        <v>12823.199999999999</v>
      </c>
      <c r="F11407" s="507"/>
      <c r="G11407" s="74"/>
      <c r="H11407" s="75"/>
    </row>
    <row r="11408" spans="1:8" x14ac:dyDescent="0.3">
      <c r="A11408" s="508" t="s">
        <v>1862</v>
      </c>
      <c r="B11408" s="509"/>
      <c r="C11408" s="509"/>
      <c r="D11408" s="509"/>
      <c r="E11408" s="453"/>
      <c r="F11408" s="453"/>
      <c r="G11408" s="453"/>
      <c r="H11408" s="454"/>
    </row>
    <row r="11409" spans="1:8" ht="15.6" x14ac:dyDescent="0.3">
      <c r="A11409" s="455" t="s">
        <v>53</v>
      </c>
      <c r="B11409" s="456"/>
      <c r="C11409" s="456"/>
      <c r="D11409" s="457"/>
      <c r="E11409" s="458" t="s">
        <v>54</v>
      </c>
      <c r="F11409" s="459"/>
      <c r="G11409" s="459"/>
      <c r="H11409" s="460"/>
    </row>
    <row r="11410" spans="1:8" x14ac:dyDescent="0.3">
      <c r="A11410" s="461" t="s">
        <v>55</v>
      </c>
      <c r="B11410" s="462"/>
      <c r="C11410" s="462"/>
      <c r="D11410" s="463"/>
      <c r="E11410" s="39"/>
      <c r="F11410" s="28"/>
      <c r="G11410" s="28"/>
      <c r="H11410" s="32"/>
    </row>
    <row r="11411" spans="1:8" x14ac:dyDescent="0.3">
      <c r="A11411" s="461" t="s">
        <v>56</v>
      </c>
      <c r="B11411" s="462"/>
      <c r="C11411" s="462"/>
      <c r="D11411" s="463"/>
      <c r="E11411" s="39"/>
      <c r="F11411" s="28"/>
      <c r="G11411" s="28"/>
      <c r="H11411" s="32"/>
    </row>
    <row r="11412" spans="1:8" x14ac:dyDescent="0.3">
      <c r="A11412" s="461" t="s">
        <v>57</v>
      </c>
      <c r="B11412" s="462"/>
      <c r="C11412" s="462"/>
      <c r="D11412" s="463"/>
      <c r="E11412" s="39"/>
      <c r="F11412" s="28"/>
      <c r="G11412" s="28"/>
      <c r="H11412" s="32"/>
    </row>
    <row r="11413" spans="1:8" ht="15.6" x14ac:dyDescent="0.3">
      <c r="A11413" s="464" t="s">
        <v>58</v>
      </c>
      <c r="B11413" s="465"/>
      <c r="C11413" s="465"/>
      <c r="D11413" s="465"/>
      <c r="E11413" s="466" t="s">
        <v>59</v>
      </c>
      <c r="F11413" s="467"/>
      <c r="G11413" s="467"/>
      <c r="H11413" s="468"/>
    </row>
    <row r="11418" spans="1:8" ht="44.4" x14ac:dyDescent="0.7">
      <c r="A11418" s="469" t="s">
        <v>0</v>
      </c>
      <c r="B11418" s="470"/>
      <c r="C11418" s="470"/>
      <c r="D11418" s="470"/>
      <c r="E11418" s="531" t="s">
        <v>1</v>
      </c>
      <c r="F11418" s="544"/>
      <c r="G11418" s="544"/>
      <c r="H11418" s="545"/>
    </row>
    <row r="11419" spans="1:8" ht="20.399999999999999" x14ac:dyDescent="0.35">
      <c r="A11419" s="1"/>
      <c r="B11419" s="476" t="s">
        <v>2</v>
      </c>
      <c r="C11419" s="476"/>
      <c r="D11419" s="476"/>
      <c r="E11419" s="546"/>
      <c r="F11419" s="546"/>
      <c r="G11419" s="546"/>
      <c r="H11419" s="547"/>
    </row>
    <row r="11420" spans="1:8" x14ac:dyDescent="0.3">
      <c r="A11420" s="477" t="s">
        <v>3</v>
      </c>
      <c r="B11420" s="478"/>
      <c r="C11420" s="479" t="s">
        <v>4</v>
      </c>
      <c r="D11420" s="479"/>
      <c r="E11420" s="548" t="s">
        <v>5</v>
      </c>
      <c r="F11420" s="549"/>
      <c r="G11420" s="549"/>
      <c r="H11420" s="550"/>
    </row>
    <row r="11421" spans="1:8" ht="15.6" x14ac:dyDescent="0.3">
      <c r="A11421" s="4" t="s">
        <v>6</v>
      </c>
      <c r="B11421" s="5"/>
      <c r="C11421" s="481" t="s">
        <v>7</v>
      </c>
      <c r="D11421" s="481"/>
      <c r="E11421" s="482">
        <v>247</v>
      </c>
      <c r="F11421" s="482"/>
      <c r="G11421" s="7" t="s">
        <v>8</v>
      </c>
      <c r="H11421" s="8" t="s">
        <v>1858</v>
      </c>
    </row>
    <row r="11422" spans="1:8" ht="15.6" x14ac:dyDescent="0.3">
      <c r="A11422" s="551" t="s">
        <v>287</v>
      </c>
      <c r="B11422" s="552"/>
      <c r="C11422" s="481" t="s">
        <v>10</v>
      </c>
      <c r="D11422" s="481"/>
      <c r="E11422" s="482"/>
      <c r="F11422" s="482"/>
      <c r="G11422" s="7" t="s">
        <v>8</v>
      </c>
      <c r="H11422" s="9"/>
    </row>
    <row r="11423" spans="1:8" ht="31.5" customHeight="1" x14ac:dyDescent="0.3">
      <c r="A11423" s="517" t="s">
        <v>288</v>
      </c>
      <c r="B11423" s="553"/>
      <c r="C11423" s="483" t="s">
        <v>12</v>
      </c>
      <c r="D11423" s="484"/>
      <c r="E11423" s="554" t="s">
        <v>1863</v>
      </c>
      <c r="F11423" s="555"/>
      <c r="G11423" s="10" t="s">
        <v>8</v>
      </c>
      <c r="H11423" s="11" t="s">
        <v>1860</v>
      </c>
    </row>
    <row r="11424" spans="1:8" ht="15.6" x14ac:dyDescent="0.3">
      <c r="A11424" s="556"/>
      <c r="B11424" s="557"/>
      <c r="C11424" s="481" t="s">
        <v>15</v>
      </c>
      <c r="D11424" s="481"/>
      <c r="E11424" s="502" t="s">
        <v>289</v>
      </c>
      <c r="F11424" s="503"/>
      <c r="G11424" s="503"/>
      <c r="H11424" s="504"/>
    </row>
    <row r="11425" spans="1:9" ht="15.6" x14ac:dyDescent="0.3">
      <c r="A11425" s="558" t="s">
        <v>290</v>
      </c>
      <c r="B11425" s="559"/>
      <c r="C11425" s="489"/>
      <c r="D11425" s="490"/>
      <c r="E11425" s="490"/>
      <c r="F11425" s="490"/>
      <c r="G11425" s="490"/>
      <c r="H11425" s="491"/>
    </row>
    <row r="11426" spans="1:9" ht="15" x14ac:dyDescent="0.3">
      <c r="A11426" s="492" t="s">
        <v>17</v>
      </c>
      <c r="B11426" s="494" t="s">
        <v>18</v>
      </c>
      <c r="C11426" s="494" t="s">
        <v>19</v>
      </c>
      <c r="D11426" s="494" t="s">
        <v>20</v>
      </c>
      <c r="E11426" s="494" t="s">
        <v>21</v>
      </c>
      <c r="F11426" s="494" t="s">
        <v>22</v>
      </c>
      <c r="G11426" s="494"/>
      <c r="H11426" s="492" t="s">
        <v>23</v>
      </c>
    </row>
    <row r="11427" spans="1:9" ht="27.6" x14ac:dyDescent="0.3">
      <c r="A11427" s="492"/>
      <c r="B11427" s="494"/>
      <c r="C11427" s="494"/>
      <c r="D11427" s="494"/>
      <c r="E11427" s="494"/>
      <c r="F11427" s="53" t="s">
        <v>24</v>
      </c>
      <c r="G11427" s="53" t="s">
        <v>25</v>
      </c>
      <c r="H11427" s="492"/>
    </row>
    <row r="11428" spans="1:9" x14ac:dyDescent="0.3">
      <c r="A11428" s="57">
        <v>1</v>
      </c>
      <c r="B11428" s="60" t="s">
        <v>259</v>
      </c>
      <c r="C11428" s="57">
        <v>68</v>
      </c>
      <c r="D11428" s="349">
        <v>998719</v>
      </c>
      <c r="E11428" s="57">
        <v>150</v>
      </c>
      <c r="F11428" s="57">
        <f>E11428*C11428*9%</f>
        <v>918</v>
      </c>
      <c r="G11428" s="57">
        <f>F11428</f>
        <v>918</v>
      </c>
      <c r="H11428" s="57">
        <f>G11428+F11428+E11428*C11428</f>
        <v>12036</v>
      </c>
      <c r="I11428" s="362">
        <f>E11428*C11428</f>
        <v>10200</v>
      </c>
    </row>
    <row r="11429" spans="1:9" x14ac:dyDescent="0.3">
      <c r="A11429" s="55"/>
      <c r="B11429" s="60"/>
      <c r="C11429" s="57"/>
      <c r="D11429" s="209"/>
      <c r="E11429" s="57"/>
      <c r="F11429" s="57"/>
      <c r="G11429" s="57"/>
      <c r="H11429" s="57"/>
    </row>
    <row r="11430" spans="1:9" x14ac:dyDescent="0.3">
      <c r="A11430" s="55"/>
      <c r="B11430" s="130"/>
      <c r="C11430" s="55"/>
      <c r="D11430" s="349"/>
      <c r="E11430" s="55"/>
      <c r="F11430" s="55"/>
      <c r="G11430" s="55"/>
      <c r="H11430" s="55"/>
    </row>
    <row r="11431" spans="1:9" x14ac:dyDescent="0.3">
      <c r="A11431" s="55"/>
      <c r="B11431" s="130"/>
      <c r="C11431" s="55"/>
      <c r="D11431" s="83"/>
      <c r="E11431" s="57"/>
      <c r="F11431" s="55"/>
      <c r="G11431" s="55"/>
      <c r="H11431" s="55"/>
    </row>
    <row r="11432" spans="1:9" x14ac:dyDescent="0.3">
      <c r="A11432" s="55"/>
      <c r="B11432" s="130"/>
      <c r="C11432" s="83"/>
      <c r="D11432" s="83"/>
      <c r="E11432" s="57"/>
      <c r="F11432" s="55"/>
      <c r="G11432" s="55"/>
      <c r="H11432" s="55"/>
    </row>
    <row r="11433" spans="1:9" x14ac:dyDescent="0.3">
      <c r="A11433" s="55"/>
      <c r="B11433" s="130"/>
      <c r="C11433" s="83"/>
      <c r="D11433" s="83"/>
      <c r="E11433" s="57"/>
      <c r="F11433" s="55"/>
      <c r="G11433" s="55"/>
      <c r="H11433" s="55"/>
    </row>
    <row r="11434" spans="1:9" x14ac:dyDescent="0.3">
      <c r="A11434" s="55"/>
      <c r="B11434" s="130"/>
      <c r="C11434" s="83"/>
      <c r="D11434" s="83"/>
      <c r="E11434" s="57"/>
      <c r="F11434" s="57"/>
      <c r="G11434" s="57"/>
      <c r="H11434" s="57"/>
    </row>
    <row r="11435" spans="1:9" x14ac:dyDescent="0.3">
      <c r="A11435" s="55"/>
      <c r="B11435" s="130"/>
      <c r="C11435" s="83"/>
      <c r="D11435" s="57"/>
      <c r="E11435" s="57"/>
      <c r="F11435" s="57"/>
      <c r="G11435" s="57"/>
      <c r="H11435" s="57"/>
    </row>
    <row r="11436" spans="1:9" x14ac:dyDescent="0.3">
      <c r="A11436" s="194"/>
      <c r="B11436" s="195"/>
      <c r="C11436" s="196"/>
      <c r="D11436" s="194"/>
      <c r="E11436" s="194"/>
      <c r="F11436" s="145"/>
      <c r="G11436" s="197"/>
      <c r="H11436" s="198"/>
    </row>
    <row r="11437" spans="1:9" x14ac:dyDescent="0.3">
      <c r="A11437" s="199"/>
      <c r="B11437" s="200"/>
      <c r="C11437" s="201"/>
      <c r="D11437" s="202"/>
      <c r="E11437" s="203"/>
      <c r="F11437" s="204"/>
      <c r="G11437" s="204"/>
      <c r="H11437" s="205"/>
    </row>
    <row r="11438" spans="1:9" x14ac:dyDescent="0.3">
      <c r="A11438" s="173"/>
      <c r="B11438" s="88"/>
      <c r="C11438" s="206"/>
      <c r="D11438" s="89"/>
      <c r="E11438" s="207"/>
      <c r="F11438" s="25"/>
      <c r="G11438" s="25"/>
      <c r="H11438" s="32"/>
    </row>
    <row r="11439" spans="1:9" x14ac:dyDescent="0.3">
      <c r="A11439" s="173"/>
      <c r="B11439" s="88"/>
      <c r="C11439" s="206"/>
      <c r="D11439" s="89"/>
      <c r="E11439" s="207"/>
      <c r="F11439" s="25"/>
      <c r="G11439" s="25"/>
      <c r="H11439" s="32"/>
    </row>
    <row r="11440" spans="1:9" x14ac:dyDescent="0.3">
      <c r="A11440" s="173"/>
      <c r="B11440" s="88"/>
      <c r="C11440" s="206"/>
      <c r="D11440" s="89"/>
      <c r="E11440" s="207"/>
      <c r="F11440" s="25"/>
      <c r="G11440" s="25"/>
      <c r="H11440" s="32"/>
    </row>
    <row r="11441" spans="1:8" x14ac:dyDescent="0.3">
      <c r="A11441" s="173"/>
      <c r="B11441" s="88"/>
      <c r="C11441" s="206"/>
      <c r="D11441" s="89"/>
      <c r="E11441" s="207"/>
      <c r="F11441" s="25"/>
      <c r="G11441" s="25"/>
      <c r="H11441" s="32"/>
    </row>
    <row r="11442" spans="1:8" x14ac:dyDescent="0.3">
      <c r="A11442" s="173"/>
      <c r="B11442" s="88"/>
      <c r="C11442" s="206"/>
      <c r="D11442" s="89"/>
      <c r="E11442" s="207"/>
      <c r="F11442" s="25"/>
      <c r="G11442" s="25"/>
      <c r="H11442" s="32"/>
    </row>
    <row r="11443" spans="1:8" x14ac:dyDescent="0.3">
      <c r="A11443" s="173"/>
      <c r="B11443" s="88"/>
      <c r="C11443" s="206"/>
      <c r="D11443" s="89"/>
      <c r="E11443" s="207"/>
      <c r="F11443" s="25"/>
      <c r="G11443" s="25"/>
      <c r="H11443" s="32"/>
    </row>
    <row r="11444" spans="1:8" x14ac:dyDescent="0.3">
      <c r="A11444" s="173"/>
      <c r="B11444" s="88"/>
      <c r="C11444" s="206"/>
      <c r="D11444" s="89"/>
      <c r="E11444" s="207"/>
      <c r="F11444" s="25"/>
      <c r="G11444" s="25"/>
      <c r="H11444" s="32"/>
    </row>
    <row r="11445" spans="1:8" x14ac:dyDescent="0.3">
      <c r="A11445" s="173"/>
      <c r="B11445" s="88"/>
      <c r="C11445" s="206"/>
      <c r="D11445" s="89"/>
      <c r="E11445" s="207"/>
      <c r="F11445" s="25"/>
      <c r="G11445" s="25"/>
      <c r="H11445" s="32"/>
    </row>
    <row r="11446" spans="1:8" x14ac:dyDescent="0.3">
      <c r="A11446" s="173"/>
      <c r="B11446" s="88"/>
      <c r="C11446" s="206"/>
      <c r="D11446" s="89"/>
      <c r="E11446" s="207"/>
      <c r="F11446" s="25"/>
      <c r="G11446" s="25"/>
      <c r="H11446" s="32"/>
    </row>
    <row r="11447" spans="1:8" x14ac:dyDescent="0.3">
      <c r="A11447" s="173"/>
      <c r="B11447" s="88"/>
      <c r="C11447" s="206"/>
      <c r="D11447" s="89"/>
      <c r="E11447" s="25"/>
      <c r="F11447" s="25"/>
      <c r="G11447" s="25"/>
      <c r="H11447" s="32"/>
    </row>
    <row r="11448" spans="1:8" x14ac:dyDescent="0.3">
      <c r="A11448" s="27"/>
      <c r="B11448" s="88"/>
      <c r="C11448" s="24"/>
      <c r="D11448" s="89"/>
      <c r="E11448" s="25"/>
      <c r="F11448" s="25"/>
      <c r="G11448" s="25"/>
      <c r="H11448" s="32"/>
    </row>
    <row r="11449" spans="1:8" x14ac:dyDescent="0.3">
      <c r="A11449" s="27"/>
      <c r="B11449" s="28"/>
      <c r="C11449" s="24"/>
      <c r="D11449" s="25"/>
      <c r="E11449" s="25"/>
      <c r="F11449" s="28"/>
      <c r="G11449" s="28"/>
      <c r="H11449" s="32"/>
    </row>
    <row r="11450" spans="1:8" ht="15.6" x14ac:dyDescent="0.3">
      <c r="A11450" s="448" t="s">
        <v>45</v>
      </c>
      <c r="B11450" s="449"/>
      <c r="C11450" s="24"/>
      <c r="D11450" s="25"/>
      <c r="E11450" s="25"/>
      <c r="F11450" s="447" t="s">
        <v>46</v>
      </c>
      <c r="G11450" s="447"/>
      <c r="H11450" s="66">
        <v>10200</v>
      </c>
    </row>
    <row r="11451" spans="1:8" ht="15.6" x14ac:dyDescent="0.3">
      <c r="A11451" s="497" t="s">
        <v>1883</v>
      </c>
      <c r="B11451" s="498"/>
      <c r="C11451" s="498"/>
      <c r="D11451" s="498"/>
      <c r="E11451" s="498"/>
      <c r="F11451" s="447" t="s">
        <v>47</v>
      </c>
      <c r="G11451" s="447"/>
      <c r="H11451" s="66">
        <f>H11450*9%</f>
        <v>918</v>
      </c>
    </row>
    <row r="11452" spans="1:8" ht="15.6" x14ac:dyDescent="0.3">
      <c r="A11452" s="27"/>
      <c r="B11452" s="28"/>
      <c r="C11452" s="24"/>
      <c r="D11452" s="25"/>
      <c r="E11452" s="25"/>
      <c r="F11452" s="447" t="s">
        <v>48</v>
      </c>
      <c r="G11452" s="447"/>
      <c r="H11452" s="66">
        <f>H11451</f>
        <v>918</v>
      </c>
    </row>
    <row r="11453" spans="1:8" ht="15.6" x14ac:dyDescent="0.3">
      <c r="A11453" s="448" t="s">
        <v>49</v>
      </c>
      <c r="B11453" s="449"/>
      <c r="C11453" s="24"/>
      <c r="D11453" s="25"/>
      <c r="E11453" s="25"/>
      <c r="F11453" s="447" t="s">
        <v>50</v>
      </c>
      <c r="G11453" s="447"/>
      <c r="H11453" s="66">
        <v>12036</v>
      </c>
    </row>
    <row r="11454" spans="1:8" ht="26.4" x14ac:dyDescent="0.3">
      <c r="A11454" s="68" t="s">
        <v>22</v>
      </c>
      <c r="B11454" s="30" t="s">
        <v>51</v>
      </c>
      <c r="C11454" s="70" t="s">
        <v>24</v>
      </c>
      <c r="D11454" s="70" t="s">
        <v>25</v>
      </c>
      <c r="E11454" s="543" t="s">
        <v>52</v>
      </c>
      <c r="F11454" s="543"/>
      <c r="G11454" s="28"/>
      <c r="H11454" s="32"/>
    </row>
    <row r="11455" spans="1:8" x14ac:dyDescent="0.3">
      <c r="A11455" s="72">
        <v>0.18</v>
      </c>
      <c r="B11455" s="73">
        <f>H11450</f>
        <v>10200</v>
      </c>
      <c r="C11455" s="91">
        <f>H11451</f>
        <v>918</v>
      </c>
      <c r="D11455" s="91">
        <f>H11451</f>
        <v>918</v>
      </c>
      <c r="E11455" s="506">
        <f>C11455+D11455</f>
        <v>1836</v>
      </c>
      <c r="F11455" s="507"/>
      <c r="G11455" s="74"/>
      <c r="H11455" s="75"/>
    </row>
    <row r="11456" spans="1:8" x14ac:dyDescent="0.3">
      <c r="A11456" s="508" t="s">
        <v>1884</v>
      </c>
      <c r="B11456" s="509"/>
      <c r="C11456" s="509"/>
      <c r="D11456" s="509"/>
      <c r="E11456" s="453"/>
      <c r="F11456" s="453"/>
      <c r="G11456" s="453"/>
      <c r="H11456" s="454"/>
    </row>
    <row r="11457" spans="1:8" ht="15.6" x14ac:dyDescent="0.3">
      <c r="A11457" s="455" t="s">
        <v>53</v>
      </c>
      <c r="B11457" s="456"/>
      <c r="C11457" s="456"/>
      <c r="D11457" s="457"/>
      <c r="E11457" s="458" t="s">
        <v>54</v>
      </c>
      <c r="F11457" s="459"/>
      <c r="G11457" s="459"/>
      <c r="H11457" s="460"/>
    </row>
    <row r="11458" spans="1:8" x14ac:dyDescent="0.3">
      <c r="A11458" s="461" t="s">
        <v>55</v>
      </c>
      <c r="B11458" s="462"/>
      <c r="C11458" s="462"/>
      <c r="D11458" s="463"/>
      <c r="E11458" s="39"/>
      <c r="F11458" s="28"/>
      <c r="G11458" s="28"/>
      <c r="H11458" s="32"/>
    </row>
    <row r="11459" spans="1:8" x14ac:dyDescent="0.3">
      <c r="A11459" s="461" t="s">
        <v>56</v>
      </c>
      <c r="B11459" s="462"/>
      <c r="C11459" s="462"/>
      <c r="D11459" s="463"/>
      <c r="E11459" s="39"/>
      <c r="F11459" s="28"/>
      <c r="G11459" s="28"/>
      <c r="H11459" s="32"/>
    </row>
    <row r="11460" spans="1:8" x14ac:dyDescent="0.3">
      <c r="A11460" s="461" t="s">
        <v>57</v>
      </c>
      <c r="B11460" s="462"/>
      <c r="C11460" s="462"/>
      <c r="D11460" s="463"/>
      <c r="E11460" s="39"/>
      <c r="F11460" s="28"/>
      <c r="G11460" s="28"/>
      <c r="H11460" s="32"/>
    </row>
    <row r="11461" spans="1:8" ht="15.6" x14ac:dyDescent="0.3">
      <c r="A11461" s="464" t="s">
        <v>58</v>
      </c>
      <c r="B11461" s="465"/>
      <c r="C11461" s="465"/>
      <c r="D11461" s="465"/>
      <c r="E11461" s="466" t="s">
        <v>59</v>
      </c>
      <c r="F11461" s="467"/>
      <c r="G11461" s="467"/>
      <c r="H11461" s="468"/>
    </row>
    <row r="11465" spans="1:8" ht="44.4" x14ac:dyDescent="0.7">
      <c r="A11465" s="469" t="s">
        <v>0</v>
      </c>
      <c r="B11465" s="470"/>
      <c r="C11465" s="470"/>
      <c r="D11465" s="470"/>
      <c r="E11465" s="531" t="s">
        <v>92</v>
      </c>
      <c r="F11465" s="531"/>
      <c r="G11465" s="531"/>
      <c r="H11465" s="532"/>
    </row>
    <row r="11466" spans="1:8" ht="20.399999999999999" x14ac:dyDescent="0.35">
      <c r="A11466" s="1"/>
      <c r="B11466" s="535" t="s">
        <v>2</v>
      </c>
      <c r="C11466" s="535"/>
      <c r="D11466" s="535"/>
      <c r="E11466" s="533"/>
      <c r="F11466" s="533"/>
      <c r="G11466" s="533"/>
      <c r="H11466" s="534"/>
    </row>
    <row r="11467" spans="1:8" x14ac:dyDescent="0.3">
      <c r="A11467" s="477" t="s">
        <v>3</v>
      </c>
      <c r="B11467" s="478"/>
      <c r="C11467" s="479" t="s">
        <v>4</v>
      </c>
      <c r="D11467" s="479"/>
      <c r="E11467" s="480" t="s">
        <v>5</v>
      </c>
      <c r="F11467" s="480"/>
      <c r="G11467" s="480"/>
      <c r="H11467" s="480"/>
    </row>
    <row r="11468" spans="1:8" ht="15.6" x14ac:dyDescent="0.3">
      <c r="A11468" s="4" t="s">
        <v>6</v>
      </c>
      <c r="B11468" s="5"/>
      <c r="C11468" s="536" t="s">
        <v>7</v>
      </c>
      <c r="D11468" s="516"/>
      <c r="E11468" s="489">
        <v>248</v>
      </c>
      <c r="F11468" s="491"/>
      <c r="G11468" s="44" t="s">
        <v>8</v>
      </c>
      <c r="H11468" s="109" t="s">
        <v>1858</v>
      </c>
    </row>
    <row r="11469" spans="1:8" ht="15.6" x14ac:dyDescent="0.3">
      <c r="A11469" s="108" t="s">
        <v>1453</v>
      </c>
      <c r="B11469" s="107"/>
      <c r="C11469" s="536" t="s">
        <v>10</v>
      </c>
      <c r="D11469" s="516"/>
      <c r="E11469" s="489"/>
      <c r="F11469" s="491"/>
      <c r="G11469" s="44" t="s">
        <v>8</v>
      </c>
      <c r="H11469" s="122"/>
    </row>
    <row r="11470" spans="1:8" ht="15" x14ac:dyDescent="0.3">
      <c r="A11470" s="108" t="s">
        <v>1454</v>
      </c>
      <c r="B11470" s="106"/>
      <c r="C11470" s="483" t="s">
        <v>12</v>
      </c>
      <c r="D11470" s="484"/>
      <c r="E11470" s="613"/>
      <c r="F11470" s="614"/>
      <c r="G11470" s="48" t="s">
        <v>8</v>
      </c>
      <c r="H11470" s="109"/>
    </row>
    <row r="11471" spans="1:8" ht="15.6" x14ac:dyDescent="0.3">
      <c r="A11471" s="108" t="s">
        <v>1455</v>
      </c>
      <c r="B11471" s="106"/>
      <c r="C11471" s="536" t="s">
        <v>15</v>
      </c>
      <c r="D11471" s="516"/>
      <c r="E11471" s="110" t="s">
        <v>1457</v>
      </c>
      <c r="F11471" s="111"/>
      <c r="G11471" s="112"/>
      <c r="H11471" s="49"/>
    </row>
    <row r="11472" spans="1:8" ht="15.6" x14ac:dyDescent="0.3">
      <c r="A11472" s="539" t="s">
        <v>1456</v>
      </c>
      <c r="B11472" s="540"/>
      <c r="C11472" s="24"/>
      <c r="D11472" s="25"/>
      <c r="E11472" s="50"/>
      <c r="F11472" s="50"/>
      <c r="G11472" s="51"/>
      <c r="H11472" s="52"/>
    </row>
    <row r="11473" spans="1:9" ht="15" x14ac:dyDescent="0.3">
      <c r="A11473" s="493" t="s">
        <v>17</v>
      </c>
      <c r="B11473" s="495" t="s">
        <v>18</v>
      </c>
      <c r="C11473" s="495" t="s">
        <v>19</v>
      </c>
      <c r="D11473" s="495" t="s">
        <v>20</v>
      </c>
      <c r="E11473" s="495" t="s">
        <v>21</v>
      </c>
      <c r="F11473" s="541" t="s">
        <v>22</v>
      </c>
      <c r="G11473" s="542"/>
      <c r="H11473" s="493" t="s">
        <v>23</v>
      </c>
    </row>
    <row r="11474" spans="1:9" ht="27.6" x14ac:dyDescent="0.3">
      <c r="A11474" s="527"/>
      <c r="B11474" s="505"/>
      <c r="C11474" s="505"/>
      <c r="D11474" s="505"/>
      <c r="E11474" s="505"/>
      <c r="F11474" s="53" t="s">
        <v>24</v>
      </c>
      <c r="G11474" s="53" t="s">
        <v>25</v>
      </c>
      <c r="H11474" s="527"/>
    </row>
    <row r="11475" spans="1:9" x14ac:dyDescent="0.3">
      <c r="A11475" s="56">
        <v>1</v>
      </c>
      <c r="B11475" s="113" t="s">
        <v>1867</v>
      </c>
      <c r="C11475" s="114">
        <v>1</v>
      </c>
      <c r="D11475" s="17">
        <v>998719</v>
      </c>
      <c r="E11475" s="56">
        <v>4500</v>
      </c>
      <c r="F11475" s="56">
        <f>E11475*C11475*9%</f>
        <v>405</v>
      </c>
      <c r="G11475" s="56">
        <f>F11475</f>
        <v>405</v>
      </c>
      <c r="H11475" s="55">
        <f>G11475+F11475+E11475*C11475</f>
        <v>5310</v>
      </c>
      <c r="I11475" s="362">
        <f>E11475*C11475</f>
        <v>4500</v>
      </c>
    </row>
    <row r="11476" spans="1:9" x14ac:dyDescent="0.3">
      <c r="A11476" s="56">
        <v>2</v>
      </c>
      <c r="B11476" s="113" t="s">
        <v>1868</v>
      </c>
      <c r="C11476" s="114">
        <v>2</v>
      </c>
      <c r="D11476" s="17">
        <v>998719</v>
      </c>
      <c r="E11476" s="56">
        <v>2500</v>
      </c>
      <c r="F11476" s="56">
        <f t="shared" ref="F11476:F11478" si="331">E11476*C11476*9%</f>
        <v>450</v>
      </c>
      <c r="G11476" s="56">
        <f t="shared" ref="G11476:G11478" si="332">F11476</f>
        <v>450</v>
      </c>
      <c r="H11476" s="55">
        <f t="shared" ref="H11476:H11478" si="333">G11476+F11476+E11476*C11476</f>
        <v>5900</v>
      </c>
      <c r="I11476" s="362">
        <f t="shared" ref="I11476:I11478" si="334">E11476*C11476</f>
        <v>5000</v>
      </c>
    </row>
    <row r="11477" spans="1:9" x14ac:dyDescent="0.3">
      <c r="A11477" s="55">
        <v>3</v>
      </c>
      <c r="B11477" s="113" t="s">
        <v>1866</v>
      </c>
      <c r="C11477" s="55">
        <v>1</v>
      </c>
      <c r="D11477" s="17">
        <v>998719</v>
      </c>
      <c r="E11477" s="47">
        <v>4700</v>
      </c>
      <c r="F11477" s="56">
        <f t="shared" si="331"/>
        <v>423</v>
      </c>
      <c r="G11477" s="56">
        <f t="shared" si="332"/>
        <v>423</v>
      </c>
      <c r="H11477" s="55">
        <f t="shared" si="333"/>
        <v>5546</v>
      </c>
      <c r="I11477" s="362">
        <f t="shared" si="334"/>
        <v>4700</v>
      </c>
    </row>
    <row r="11478" spans="1:9" x14ac:dyDescent="0.3">
      <c r="A11478" s="55">
        <v>4</v>
      </c>
      <c r="B11478" s="94" t="s">
        <v>1865</v>
      </c>
      <c r="C11478" s="55">
        <v>1</v>
      </c>
      <c r="D11478" s="17">
        <v>998719</v>
      </c>
      <c r="E11478" s="47">
        <v>450</v>
      </c>
      <c r="F11478" s="56">
        <f t="shared" si="331"/>
        <v>40.5</v>
      </c>
      <c r="G11478" s="56">
        <f t="shared" si="332"/>
        <v>40.5</v>
      </c>
      <c r="H11478" s="55">
        <f t="shared" si="333"/>
        <v>531</v>
      </c>
      <c r="I11478" s="362">
        <f t="shared" si="334"/>
        <v>450</v>
      </c>
    </row>
    <row r="11479" spans="1:9" x14ac:dyDescent="0.3">
      <c r="A11479" s="27"/>
      <c r="B11479" s="28"/>
      <c r="C11479" s="24"/>
      <c r="D11479" s="25"/>
      <c r="E11479" s="25"/>
      <c r="F11479" s="25"/>
      <c r="G11479" s="28"/>
      <c r="H11479" s="32"/>
    </row>
    <row r="11480" spans="1:9" x14ac:dyDescent="0.3">
      <c r="A11480" s="27"/>
      <c r="B11480" s="28"/>
      <c r="C11480" s="24"/>
      <c r="D11480" s="25"/>
      <c r="E11480" s="25"/>
      <c r="F11480" s="25"/>
      <c r="G11480" s="28"/>
      <c r="H11480" s="32"/>
    </row>
    <row r="11481" spans="1:9" x14ac:dyDescent="0.3">
      <c r="A11481" s="27"/>
      <c r="B11481" s="28"/>
      <c r="C11481" s="24"/>
      <c r="D11481" s="25"/>
      <c r="E11481" s="25"/>
      <c r="F11481" s="25"/>
      <c r="G11481" s="28"/>
      <c r="H11481" s="32"/>
    </row>
    <row r="11482" spans="1:9" x14ac:dyDescent="0.3">
      <c r="A11482" s="27"/>
      <c r="B11482" s="28"/>
      <c r="C11482" s="24"/>
      <c r="D11482" s="25"/>
      <c r="E11482" s="25"/>
      <c r="F11482" s="25"/>
      <c r="G11482" s="28"/>
      <c r="H11482" s="32"/>
    </row>
    <row r="11483" spans="1:9" x14ac:dyDescent="0.3">
      <c r="A11483" s="27"/>
      <c r="B11483" s="28"/>
      <c r="C11483" s="24"/>
      <c r="D11483" s="25"/>
      <c r="E11483" s="25"/>
      <c r="F11483" s="25"/>
      <c r="G11483" s="28"/>
      <c r="H11483" s="32"/>
    </row>
    <row r="11484" spans="1:9" x14ac:dyDescent="0.3">
      <c r="A11484" s="27"/>
      <c r="B11484" s="28"/>
      <c r="C11484" s="24"/>
      <c r="D11484" s="25"/>
      <c r="E11484" s="25"/>
      <c r="F11484" s="25"/>
      <c r="G11484" s="28"/>
      <c r="H11484" s="32"/>
    </row>
    <row r="11485" spans="1:9" x14ac:dyDescent="0.3">
      <c r="A11485" s="27"/>
      <c r="B11485" s="28"/>
      <c r="C11485" s="24"/>
      <c r="D11485" s="25"/>
      <c r="E11485" s="25"/>
      <c r="F11485" s="25"/>
      <c r="G11485" s="28"/>
      <c r="H11485" s="32"/>
    </row>
    <row r="11486" spans="1:9" x14ac:dyDescent="0.3">
      <c r="A11486" s="27"/>
      <c r="B11486" s="28"/>
      <c r="C11486" s="24"/>
      <c r="D11486" s="25"/>
      <c r="E11486" s="25"/>
      <c r="F11486" s="25"/>
      <c r="G11486" s="28"/>
      <c r="H11486" s="32"/>
    </row>
    <row r="11487" spans="1:9" x14ac:dyDescent="0.3">
      <c r="A11487" s="27"/>
      <c r="B11487" s="28"/>
      <c r="C11487" s="24"/>
      <c r="D11487" s="25"/>
      <c r="E11487" s="25"/>
      <c r="F11487" s="25"/>
      <c r="G11487" s="28"/>
      <c r="H11487" s="32"/>
    </row>
    <row r="11488" spans="1:9" x14ac:dyDescent="0.3">
      <c r="A11488" s="27"/>
      <c r="B11488" s="28"/>
      <c r="C11488" s="24"/>
      <c r="D11488" s="25"/>
      <c r="E11488" s="25"/>
      <c r="F11488" s="25"/>
      <c r="G11488" s="28"/>
      <c r="H11488" s="32"/>
    </row>
    <row r="11489" spans="1:8" x14ac:dyDescent="0.3">
      <c r="A11489" s="27"/>
      <c r="B11489" s="28"/>
      <c r="C11489" s="24"/>
      <c r="D11489" s="25"/>
      <c r="E11489" s="25"/>
      <c r="F11489" s="25"/>
      <c r="G11489" s="28"/>
      <c r="H11489" s="32"/>
    </row>
    <row r="11490" spans="1:8" x14ac:dyDescent="0.3">
      <c r="A11490" s="27"/>
      <c r="B11490" s="28"/>
      <c r="C11490" s="24"/>
      <c r="D11490" s="25"/>
      <c r="E11490" s="25"/>
      <c r="F11490" s="25"/>
      <c r="G11490" s="28"/>
      <c r="H11490" s="32"/>
    </row>
    <row r="11491" spans="1:8" x14ac:dyDescent="0.3">
      <c r="A11491" s="27"/>
      <c r="B11491" s="28"/>
      <c r="C11491" s="24"/>
      <c r="D11491" s="25"/>
      <c r="E11491" s="25"/>
      <c r="F11491" s="25"/>
      <c r="G11491" s="28"/>
      <c r="H11491" s="32"/>
    </row>
    <row r="11492" spans="1:8" x14ac:dyDescent="0.3">
      <c r="A11492" s="27"/>
      <c r="B11492" s="28"/>
      <c r="C11492" s="24"/>
      <c r="D11492" s="25"/>
      <c r="E11492" s="25"/>
      <c r="F11492" s="25"/>
      <c r="G11492" s="28"/>
      <c r="H11492" s="32"/>
    </row>
    <row r="11493" spans="1:8" x14ac:dyDescent="0.3">
      <c r="A11493" s="27"/>
      <c r="B11493" s="28"/>
      <c r="C11493" s="24"/>
      <c r="D11493" s="25"/>
      <c r="E11493" s="25"/>
      <c r="F11493" s="25"/>
      <c r="G11493" s="28"/>
      <c r="H11493" s="32"/>
    </row>
    <row r="11494" spans="1:8" x14ac:dyDescent="0.3">
      <c r="A11494" s="27"/>
      <c r="B11494" s="28"/>
      <c r="C11494" s="24"/>
      <c r="D11494" s="25"/>
      <c r="E11494" s="25"/>
      <c r="F11494" s="25"/>
      <c r="G11494" s="28"/>
      <c r="H11494" s="32"/>
    </row>
    <row r="11495" spans="1:8" x14ac:dyDescent="0.3">
      <c r="A11495" s="27"/>
      <c r="B11495" s="28"/>
      <c r="C11495" s="24"/>
      <c r="D11495" s="25"/>
      <c r="E11495" s="25"/>
      <c r="F11495" s="25"/>
      <c r="G11495" s="28"/>
      <c r="H11495" s="32"/>
    </row>
    <row r="11496" spans="1:8" x14ac:dyDescent="0.3">
      <c r="A11496" s="27"/>
      <c r="B11496" s="28"/>
      <c r="C11496" s="24"/>
      <c r="D11496" s="25"/>
      <c r="E11496" s="25"/>
      <c r="F11496" s="25"/>
      <c r="G11496" s="28"/>
      <c r="H11496" s="32"/>
    </row>
    <row r="11497" spans="1:8" x14ac:dyDescent="0.3">
      <c r="A11497" s="27"/>
      <c r="B11497" s="28"/>
      <c r="C11497" s="24"/>
      <c r="D11497" s="25"/>
      <c r="E11497" s="25"/>
      <c r="F11497" s="25"/>
      <c r="G11497" s="28"/>
      <c r="H11497" s="32"/>
    </row>
    <row r="11498" spans="1:8" ht="15.6" x14ac:dyDescent="0.3">
      <c r="A11498" s="497" t="s">
        <v>97</v>
      </c>
      <c r="B11498" s="498"/>
      <c r="C11498" s="24"/>
      <c r="D11498" s="25"/>
      <c r="E11498" s="25"/>
      <c r="F11498" s="116" t="s">
        <v>46</v>
      </c>
      <c r="G11498" s="26"/>
      <c r="H11498" s="66">
        <v>14650</v>
      </c>
    </row>
    <row r="11499" spans="1:8" ht="15.6" x14ac:dyDescent="0.3">
      <c r="A11499" s="497" t="s">
        <v>1869</v>
      </c>
      <c r="B11499" s="498"/>
      <c r="C11499" s="498"/>
      <c r="D11499" s="498"/>
      <c r="E11499" s="67"/>
      <c r="F11499" s="116" t="s">
        <v>47</v>
      </c>
      <c r="G11499" s="26"/>
      <c r="H11499" s="66">
        <f>H11500</f>
        <v>1318.5</v>
      </c>
    </row>
    <row r="11500" spans="1:8" ht="15.6" x14ac:dyDescent="0.3">
      <c r="A11500" s="27"/>
      <c r="B11500" s="28"/>
      <c r="C11500" s="24"/>
      <c r="D11500" s="25"/>
      <c r="E11500" s="25"/>
      <c r="F11500" s="116" t="s">
        <v>48</v>
      </c>
      <c r="G11500" s="26"/>
      <c r="H11500" s="66">
        <f>H11498*9%</f>
        <v>1318.5</v>
      </c>
    </row>
    <row r="11501" spans="1:8" ht="15.6" x14ac:dyDescent="0.3">
      <c r="A11501" s="497" t="s">
        <v>49</v>
      </c>
      <c r="B11501" s="498"/>
      <c r="C11501" s="498"/>
      <c r="D11501" s="25"/>
      <c r="E11501" s="25"/>
      <c r="F11501" s="116" t="s">
        <v>50</v>
      </c>
      <c r="G11501" s="26"/>
      <c r="H11501" s="66">
        <v>17287</v>
      </c>
    </row>
    <row r="11502" spans="1:8" ht="27" x14ac:dyDescent="0.3">
      <c r="A11502" s="68" t="s">
        <v>22</v>
      </c>
      <c r="B11502" s="69" t="s">
        <v>51</v>
      </c>
      <c r="C11502" s="70" t="s">
        <v>24</v>
      </c>
      <c r="D11502" s="31" t="s">
        <v>25</v>
      </c>
      <c r="E11502" s="528" t="s">
        <v>52</v>
      </c>
      <c r="F11502" s="528"/>
      <c r="G11502" s="28"/>
      <c r="H11502" s="32"/>
    </row>
    <row r="11503" spans="1:8" x14ac:dyDescent="0.3">
      <c r="A11503" s="72">
        <v>0.18</v>
      </c>
      <c r="B11503" s="73">
        <f>H11498</f>
        <v>14650</v>
      </c>
      <c r="C11503" s="74">
        <f>H11499</f>
        <v>1318.5</v>
      </c>
      <c r="D11503" s="74">
        <f>H11500</f>
        <v>1318.5</v>
      </c>
      <c r="E11503" s="507">
        <f>C11503+D11503</f>
        <v>2637</v>
      </c>
      <c r="F11503" s="507"/>
      <c r="G11503" s="74"/>
      <c r="H11503" s="75"/>
    </row>
    <row r="11504" spans="1:8" x14ac:dyDescent="0.3">
      <c r="A11504" s="452" t="s">
        <v>1870</v>
      </c>
      <c r="B11504" s="453"/>
      <c r="C11504" s="453"/>
      <c r="D11504" s="453"/>
      <c r="E11504" s="453"/>
      <c r="F11504" s="78"/>
      <c r="G11504" s="36"/>
      <c r="H11504" s="79"/>
    </row>
    <row r="11505" spans="1:8" ht="15.6" x14ac:dyDescent="0.3">
      <c r="A11505" s="455" t="s">
        <v>53</v>
      </c>
      <c r="B11505" s="456"/>
      <c r="C11505" s="456"/>
      <c r="D11505" s="117"/>
      <c r="E11505" s="118" t="s">
        <v>54</v>
      </c>
      <c r="F11505" s="37"/>
      <c r="G11505" s="37"/>
      <c r="H11505" s="38"/>
    </row>
    <row r="11506" spans="1:8" x14ac:dyDescent="0.3">
      <c r="A11506" s="100" t="s">
        <v>55</v>
      </c>
      <c r="B11506" s="101"/>
      <c r="C11506" s="101"/>
      <c r="D11506" s="102"/>
      <c r="E11506" s="25"/>
      <c r="F11506" s="25"/>
      <c r="G11506" s="28"/>
      <c r="H11506" s="32"/>
    </row>
    <row r="11507" spans="1:8" x14ac:dyDescent="0.3">
      <c r="A11507" s="461" t="s">
        <v>56</v>
      </c>
      <c r="B11507" s="462"/>
      <c r="C11507" s="462"/>
      <c r="D11507" s="463"/>
      <c r="E11507" s="25"/>
      <c r="F11507" s="25"/>
      <c r="G11507" s="28"/>
      <c r="H11507" s="32"/>
    </row>
    <row r="11508" spans="1:8" x14ac:dyDescent="0.3">
      <c r="A11508" s="461" t="s">
        <v>57</v>
      </c>
      <c r="B11508" s="462"/>
      <c r="C11508" s="462"/>
      <c r="D11508" s="463"/>
      <c r="E11508" s="25"/>
      <c r="F11508" s="25"/>
      <c r="G11508" s="28"/>
      <c r="H11508" s="32"/>
    </row>
    <row r="11509" spans="1:8" ht="15.6" x14ac:dyDescent="0.3">
      <c r="A11509" s="464" t="s">
        <v>58</v>
      </c>
      <c r="B11509" s="465"/>
      <c r="C11509" s="465"/>
      <c r="D11509" s="510"/>
      <c r="E11509" s="466" t="s">
        <v>59</v>
      </c>
      <c r="F11509" s="467"/>
      <c r="G11509" s="467"/>
      <c r="H11509" s="468"/>
    </row>
    <row r="11513" spans="1:8" ht="44.4" x14ac:dyDescent="0.7">
      <c r="A11513" s="469" t="s">
        <v>0</v>
      </c>
      <c r="B11513" s="470"/>
      <c r="C11513" s="470"/>
      <c r="D11513" s="470"/>
      <c r="E11513" s="531" t="s">
        <v>92</v>
      </c>
      <c r="F11513" s="531"/>
      <c r="G11513" s="531"/>
      <c r="H11513" s="532"/>
    </row>
    <row r="11514" spans="1:8" ht="20.399999999999999" x14ac:dyDescent="0.35">
      <c r="A11514" s="1"/>
      <c r="B11514" s="535" t="s">
        <v>2</v>
      </c>
      <c r="C11514" s="535"/>
      <c r="D11514" s="535"/>
      <c r="E11514" s="533"/>
      <c r="F11514" s="533"/>
      <c r="G11514" s="533"/>
      <c r="H11514" s="534"/>
    </row>
    <row r="11515" spans="1:8" x14ac:dyDescent="0.3">
      <c r="A11515" s="477" t="s">
        <v>3</v>
      </c>
      <c r="B11515" s="478"/>
      <c r="C11515" s="479" t="s">
        <v>4</v>
      </c>
      <c r="D11515" s="479"/>
      <c r="E11515" s="480" t="s">
        <v>5</v>
      </c>
      <c r="F11515" s="480"/>
      <c r="G11515" s="480"/>
      <c r="H11515" s="480"/>
    </row>
    <row r="11516" spans="1:8" ht="15.6" x14ac:dyDescent="0.3">
      <c r="A11516" s="4" t="s">
        <v>6</v>
      </c>
      <c r="B11516" s="5"/>
      <c r="C11516" s="536" t="s">
        <v>7</v>
      </c>
      <c r="D11516" s="516"/>
      <c r="E11516" s="489">
        <v>249</v>
      </c>
      <c r="F11516" s="491"/>
      <c r="G11516" s="44" t="s">
        <v>8</v>
      </c>
      <c r="H11516" s="109" t="s">
        <v>1871</v>
      </c>
    </row>
    <row r="11517" spans="1:8" ht="15.6" x14ac:dyDescent="0.3">
      <c r="A11517" s="108" t="s">
        <v>1872</v>
      </c>
      <c r="B11517" s="107"/>
      <c r="C11517" s="536" t="s">
        <v>10</v>
      </c>
      <c r="D11517" s="516"/>
      <c r="E11517" s="489"/>
      <c r="F11517" s="491"/>
      <c r="G11517" s="44" t="s">
        <v>8</v>
      </c>
      <c r="H11517" s="122"/>
    </row>
    <row r="11518" spans="1:8" ht="27.75" customHeight="1" x14ac:dyDescent="0.3">
      <c r="A11518" s="433" t="s">
        <v>1878</v>
      </c>
      <c r="B11518" s="284"/>
      <c r="C11518" s="483" t="s">
        <v>12</v>
      </c>
      <c r="D11518" s="484"/>
      <c r="E11518" s="537" t="s">
        <v>1873</v>
      </c>
      <c r="F11518" s="538"/>
      <c r="G11518" s="48" t="s">
        <v>8</v>
      </c>
      <c r="H11518" s="109" t="s">
        <v>1874</v>
      </c>
    </row>
    <row r="11519" spans="1:8" ht="15.6" x14ac:dyDescent="0.3">
      <c r="A11519" s="108"/>
      <c r="B11519" s="106"/>
      <c r="C11519" s="536" t="s">
        <v>15</v>
      </c>
      <c r="D11519" s="516"/>
      <c r="E11519" s="502" t="s">
        <v>154</v>
      </c>
      <c r="F11519" s="503"/>
      <c r="G11519" s="503"/>
      <c r="H11519" s="504"/>
    </row>
    <row r="11520" spans="1:8" ht="15.6" x14ac:dyDescent="0.3">
      <c r="A11520" s="539" t="s">
        <v>129</v>
      </c>
      <c r="B11520" s="540"/>
      <c r="C11520" s="24"/>
      <c r="D11520" s="25"/>
      <c r="E11520" s="50"/>
      <c r="F11520" s="50"/>
      <c r="G11520" s="51"/>
      <c r="H11520" s="52"/>
    </row>
    <row r="11521" spans="1:8" ht="15" x14ac:dyDescent="0.3">
      <c r="A11521" s="493" t="s">
        <v>17</v>
      </c>
      <c r="B11521" s="495" t="s">
        <v>18</v>
      </c>
      <c r="C11521" s="495" t="s">
        <v>19</v>
      </c>
      <c r="D11521" s="495" t="s">
        <v>20</v>
      </c>
      <c r="E11521" s="495" t="s">
        <v>21</v>
      </c>
      <c r="F11521" s="541" t="s">
        <v>22</v>
      </c>
      <c r="G11521" s="542"/>
      <c r="H11521" s="493" t="s">
        <v>23</v>
      </c>
    </row>
    <row r="11522" spans="1:8" ht="27.6" x14ac:dyDescent="0.3">
      <c r="A11522" s="527"/>
      <c r="B11522" s="505"/>
      <c r="C11522" s="505"/>
      <c r="D11522" s="505"/>
      <c r="E11522" s="505"/>
      <c r="F11522" s="53" t="s">
        <v>24</v>
      </c>
      <c r="G11522" s="53" t="s">
        <v>25</v>
      </c>
      <c r="H11522" s="527"/>
    </row>
    <row r="11523" spans="1:8" x14ac:dyDescent="0.3">
      <c r="A11523" s="56">
        <v>1</v>
      </c>
      <c r="B11523" s="113" t="s">
        <v>1875</v>
      </c>
      <c r="C11523" s="114">
        <v>5</v>
      </c>
      <c r="D11523" s="17">
        <v>998719</v>
      </c>
      <c r="E11523" s="56">
        <v>1000</v>
      </c>
      <c r="F11523" s="56">
        <f>E11523*C11523*9%</f>
        <v>450</v>
      </c>
      <c r="G11523" s="56">
        <f>F11523</f>
        <v>450</v>
      </c>
      <c r="H11523" s="55">
        <f>G11523+F11523+E11523*C11523</f>
        <v>5900</v>
      </c>
    </row>
    <row r="11524" spans="1:8" x14ac:dyDescent="0.3">
      <c r="A11524" s="56"/>
      <c r="B11524" s="113"/>
      <c r="C11524" s="114"/>
      <c r="D11524" s="17"/>
      <c r="E11524" s="56"/>
      <c r="F11524" s="56"/>
      <c r="G11524" s="56"/>
      <c r="H11524" s="55"/>
    </row>
    <row r="11525" spans="1:8" x14ac:dyDescent="0.3">
      <c r="A11525" s="55"/>
      <c r="B11525" s="113"/>
      <c r="C11525" s="55"/>
      <c r="D11525" s="17"/>
      <c r="E11525" s="47"/>
      <c r="F11525" s="56"/>
      <c r="G11525" s="56"/>
      <c r="H11525" s="55"/>
    </row>
    <row r="11526" spans="1:8" x14ac:dyDescent="0.3">
      <c r="A11526" s="55"/>
      <c r="B11526" s="94"/>
      <c r="C11526" s="55"/>
      <c r="D11526" s="17"/>
      <c r="E11526" s="47"/>
      <c r="F11526" s="56"/>
      <c r="G11526" s="56"/>
      <c r="H11526" s="55"/>
    </row>
    <row r="11527" spans="1:8" x14ac:dyDescent="0.3">
      <c r="A11527" s="27"/>
      <c r="B11527" s="28"/>
      <c r="C11527" s="24"/>
      <c r="D11527" s="25"/>
      <c r="E11527" s="25"/>
      <c r="F11527" s="25"/>
      <c r="G11527" s="28"/>
      <c r="H11527" s="32"/>
    </row>
    <row r="11528" spans="1:8" x14ac:dyDescent="0.3">
      <c r="A11528" s="27"/>
      <c r="B11528" s="28"/>
      <c r="C11528" s="24"/>
      <c r="D11528" s="25"/>
      <c r="E11528" s="25"/>
      <c r="F11528" s="25"/>
      <c r="G11528" s="28"/>
      <c r="H11528" s="32"/>
    </row>
    <row r="11529" spans="1:8" x14ac:dyDescent="0.3">
      <c r="A11529" s="27"/>
      <c r="B11529" s="28"/>
      <c r="C11529" s="24"/>
      <c r="D11529" s="25"/>
      <c r="E11529" s="25"/>
      <c r="F11529" s="25"/>
      <c r="G11529" s="28"/>
      <c r="H11529" s="32"/>
    </row>
    <row r="11530" spans="1:8" x14ac:dyDescent="0.3">
      <c r="A11530" s="27"/>
      <c r="B11530" s="28"/>
      <c r="C11530" s="24"/>
      <c r="D11530" s="25"/>
      <c r="E11530" s="25"/>
      <c r="F11530" s="25"/>
      <c r="G11530" s="28"/>
      <c r="H11530" s="32"/>
    </row>
    <row r="11531" spans="1:8" x14ac:dyDescent="0.3">
      <c r="A11531" s="27"/>
      <c r="B11531" s="28"/>
      <c r="C11531" s="24"/>
      <c r="D11531" s="25"/>
      <c r="E11531" s="25"/>
      <c r="F11531" s="25"/>
      <c r="G11531" s="28"/>
      <c r="H11531" s="32"/>
    </row>
    <row r="11532" spans="1:8" x14ac:dyDescent="0.3">
      <c r="A11532" s="27"/>
      <c r="B11532" s="28"/>
      <c r="C11532" s="24"/>
      <c r="D11532" s="25"/>
      <c r="E11532" s="25"/>
      <c r="F11532" s="25"/>
      <c r="G11532" s="28"/>
      <c r="H11532" s="32"/>
    </row>
    <row r="11533" spans="1:8" x14ac:dyDescent="0.3">
      <c r="A11533" s="27"/>
      <c r="B11533" s="28"/>
      <c r="C11533" s="24"/>
      <c r="D11533" s="25"/>
      <c r="E11533" s="25"/>
      <c r="F11533" s="25"/>
      <c r="G11533" s="28"/>
      <c r="H11533" s="32"/>
    </row>
    <row r="11534" spans="1:8" x14ac:dyDescent="0.3">
      <c r="A11534" s="27"/>
      <c r="B11534" s="28"/>
      <c r="C11534" s="24"/>
      <c r="D11534" s="25"/>
      <c r="E11534" s="25"/>
      <c r="F11534" s="25"/>
      <c r="G11534" s="28"/>
      <c r="H11534" s="32"/>
    </row>
    <row r="11535" spans="1:8" x14ac:dyDescent="0.3">
      <c r="A11535" s="27"/>
      <c r="B11535" s="28"/>
      <c r="C11535" s="24"/>
      <c r="D11535" s="25"/>
      <c r="E11535" s="25"/>
      <c r="F11535" s="25"/>
      <c r="G11535" s="28"/>
      <c r="H11535" s="32"/>
    </row>
    <row r="11536" spans="1:8" x14ac:dyDescent="0.3">
      <c r="A11536" s="27"/>
      <c r="B11536" s="28"/>
      <c r="C11536" s="24"/>
      <c r="D11536" s="25"/>
      <c r="E11536" s="25"/>
      <c r="F11536" s="25"/>
      <c r="G11536" s="28"/>
      <c r="H11536" s="32"/>
    </row>
    <row r="11537" spans="1:8" x14ac:dyDescent="0.3">
      <c r="A11537" s="27"/>
      <c r="B11537" s="28"/>
      <c r="C11537" s="24"/>
      <c r="D11537" s="25"/>
      <c r="E11537" s="25"/>
      <c r="F11537" s="25"/>
      <c r="G11537" s="28"/>
      <c r="H11537" s="32"/>
    </row>
    <row r="11538" spans="1:8" x14ac:dyDescent="0.3">
      <c r="A11538" s="27"/>
      <c r="B11538" s="28"/>
      <c r="C11538" s="24"/>
      <c r="D11538" s="25"/>
      <c r="E11538" s="25"/>
      <c r="F11538" s="25"/>
      <c r="G11538" s="28"/>
      <c r="H11538" s="32"/>
    </row>
    <row r="11539" spans="1:8" x14ac:dyDescent="0.3">
      <c r="A11539" s="27"/>
      <c r="B11539" s="28"/>
      <c r="C11539" s="24"/>
      <c r="D11539" s="25"/>
      <c r="E11539" s="25"/>
      <c r="F11539" s="25"/>
      <c r="G11539" s="28"/>
      <c r="H11539" s="32"/>
    </row>
    <row r="11540" spans="1:8" x14ac:dyDescent="0.3">
      <c r="A11540" s="27"/>
      <c r="B11540" s="28"/>
      <c r="C11540" s="24"/>
      <c r="D11540" s="25"/>
      <c r="E11540" s="25"/>
      <c r="F11540" s="25"/>
      <c r="G11540" s="28"/>
      <c r="H11540" s="32"/>
    </row>
    <row r="11541" spans="1:8" x14ac:dyDescent="0.3">
      <c r="A11541" s="27"/>
      <c r="B11541" s="28"/>
      <c r="C11541" s="24"/>
      <c r="D11541" s="25"/>
      <c r="E11541" s="25"/>
      <c r="F11541" s="25"/>
      <c r="G11541" s="28"/>
      <c r="H11541" s="32"/>
    </row>
    <row r="11542" spans="1:8" x14ac:dyDescent="0.3">
      <c r="A11542" s="27"/>
      <c r="B11542" s="28"/>
      <c r="C11542" s="24"/>
      <c r="D11542" s="25"/>
      <c r="E11542" s="25"/>
      <c r="F11542" s="25"/>
      <c r="G11542" s="28"/>
      <c r="H11542" s="32"/>
    </row>
    <row r="11543" spans="1:8" x14ac:dyDescent="0.3">
      <c r="A11543" s="27"/>
      <c r="B11543" s="28"/>
      <c r="C11543" s="24"/>
      <c r="D11543" s="25"/>
      <c r="E11543" s="25"/>
      <c r="F11543" s="25"/>
      <c r="G11543" s="28"/>
      <c r="H11543" s="32"/>
    </row>
    <row r="11544" spans="1:8" x14ac:dyDescent="0.3">
      <c r="A11544" s="27"/>
      <c r="B11544" s="28"/>
      <c r="C11544" s="24"/>
      <c r="D11544" s="25"/>
      <c r="E11544" s="25"/>
      <c r="F11544" s="25"/>
      <c r="G11544" s="28"/>
      <c r="H11544" s="32"/>
    </row>
    <row r="11545" spans="1:8" ht="15.6" x14ac:dyDescent="0.3">
      <c r="A11545" s="497" t="s">
        <v>97</v>
      </c>
      <c r="B11545" s="498"/>
      <c r="C11545" s="24"/>
      <c r="D11545" s="25"/>
      <c r="E11545" s="25"/>
      <c r="F11545" s="116" t="s">
        <v>46</v>
      </c>
      <c r="G11545" s="26"/>
      <c r="H11545" s="66">
        <v>5000</v>
      </c>
    </row>
    <row r="11546" spans="1:8" ht="15.6" x14ac:dyDescent="0.3">
      <c r="A11546" s="497" t="s">
        <v>1876</v>
      </c>
      <c r="B11546" s="498"/>
      <c r="C11546" s="498"/>
      <c r="D11546" s="498"/>
      <c r="E11546" s="67"/>
      <c r="F11546" s="116" t="s">
        <v>47</v>
      </c>
      <c r="G11546" s="26"/>
      <c r="H11546" s="66">
        <f>H11547</f>
        <v>450</v>
      </c>
    </row>
    <row r="11547" spans="1:8" ht="15.6" x14ac:dyDescent="0.3">
      <c r="A11547" s="27"/>
      <c r="B11547" s="28"/>
      <c r="C11547" s="24"/>
      <c r="D11547" s="25"/>
      <c r="E11547" s="25"/>
      <c r="F11547" s="116" t="s">
        <v>48</v>
      </c>
      <c r="G11547" s="26"/>
      <c r="H11547" s="66">
        <f>H11545*9%</f>
        <v>450</v>
      </c>
    </row>
    <row r="11548" spans="1:8" ht="15.6" x14ac:dyDescent="0.3">
      <c r="A11548" s="497" t="s">
        <v>49</v>
      </c>
      <c r="B11548" s="498"/>
      <c r="C11548" s="498"/>
      <c r="D11548" s="25"/>
      <c r="E11548" s="25"/>
      <c r="F11548" s="116" t="s">
        <v>50</v>
      </c>
      <c r="G11548" s="26"/>
      <c r="H11548" s="66">
        <v>5900</v>
      </c>
    </row>
    <row r="11549" spans="1:8" ht="27" x14ac:dyDescent="0.3">
      <c r="A11549" s="68" t="s">
        <v>22</v>
      </c>
      <c r="B11549" s="69" t="s">
        <v>51</v>
      </c>
      <c r="C11549" s="70" t="s">
        <v>24</v>
      </c>
      <c r="D11549" s="31" t="s">
        <v>25</v>
      </c>
      <c r="E11549" s="528" t="s">
        <v>52</v>
      </c>
      <c r="F11549" s="528"/>
      <c r="G11549" s="28"/>
      <c r="H11549" s="32"/>
    </row>
    <row r="11550" spans="1:8" x14ac:dyDescent="0.3">
      <c r="A11550" s="72">
        <v>0.18</v>
      </c>
      <c r="B11550" s="73">
        <f>H11545</f>
        <v>5000</v>
      </c>
      <c r="C11550" s="74">
        <f>H11546</f>
        <v>450</v>
      </c>
      <c r="D11550" s="74">
        <f>H11547</f>
        <v>450</v>
      </c>
      <c r="E11550" s="507">
        <f>C11550+D11550</f>
        <v>900</v>
      </c>
      <c r="F11550" s="507"/>
      <c r="G11550" s="74"/>
      <c r="H11550" s="75"/>
    </row>
    <row r="11551" spans="1:8" x14ac:dyDescent="0.3">
      <c r="A11551" s="452" t="s">
        <v>1877</v>
      </c>
      <c r="B11551" s="453"/>
      <c r="C11551" s="453"/>
      <c r="D11551" s="453"/>
      <c r="E11551" s="453"/>
      <c r="F11551" s="78"/>
      <c r="G11551" s="36"/>
      <c r="H11551" s="79"/>
    </row>
    <row r="11552" spans="1:8" ht="15.6" x14ac:dyDescent="0.3">
      <c r="A11552" s="455" t="s">
        <v>53</v>
      </c>
      <c r="B11552" s="456"/>
      <c r="C11552" s="456"/>
      <c r="D11552" s="117"/>
      <c r="E11552" s="118" t="s">
        <v>54</v>
      </c>
      <c r="F11552" s="37"/>
      <c r="G11552" s="37"/>
      <c r="H11552" s="38"/>
    </row>
    <row r="11553" spans="1:8" x14ac:dyDescent="0.3">
      <c r="A11553" s="100" t="s">
        <v>55</v>
      </c>
      <c r="B11553" s="101"/>
      <c r="C11553" s="101"/>
      <c r="D11553" s="102"/>
      <c r="E11553" s="25"/>
      <c r="F11553" s="25"/>
      <c r="G11553" s="28"/>
      <c r="H11553" s="32"/>
    </row>
    <row r="11554" spans="1:8" x14ac:dyDescent="0.3">
      <c r="A11554" s="461" t="s">
        <v>56</v>
      </c>
      <c r="B11554" s="462"/>
      <c r="C11554" s="462"/>
      <c r="D11554" s="463"/>
      <c r="E11554" s="25"/>
      <c r="F11554" s="25"/>
      <c r="G11554" s="28"/>
      <c r="H11554" s="32"/>
    </row>
    <row r="11555" spans="1:8" x14ac:dyDescent="0.3">
      <c r="A11555" s="461" t="s">
        <v>57</v>
      </c>
      <c r="B11555" s="462"/>
      <c r="C11555" s="462"/>
      <c r="D11555" s="463"/>
      <c r="E11555" s="25"/>
      <c r="F11555" s="25"/>
      <c r="G11555" s="28"/>
      <c r="H11555" s="32"/>
    </row>
    <row r="11556" spans="1:8" ht="15.6" x14ac:dyDescent="0.3">
      <c r="A11556" s="464" t="s">
        <v>58</v>
      </c>
      <c r="B11556" s="465"/>
      <c r="C11556" s="465"/>
      <c r="D11556" s="510"/>
      <c r="E11556" s="466" t="s">
        <v>59</v>
      </c>
      <c r="F11556" s="467"/>
      <c r="G11556" s="467"/>
      <c r="H11556" s="468"/>
    </row>
    <row r="11560" spans="1:8" ht="44.4" x14ac:dyDescent="0.7">
      <c r="A11560" s="469" t="s">
        <v>0</v>
      </c>
      <c r="B11560" s="470"/>
      <c r="C11560" s="470"/>
      <c r="D11560" s="470"/>
      <c r="E11560" s="531" t="s">
        <v>92</v>
      </c>
      <c r="F11560" s="531"/>
      <c r="G11560" s="531"/>
      <c r="H11560" s="532"/>
    </row>
    <row r="11561" spans="1:8" ht="20.399999999999999" x14ac:dyDescent="0.35">
      <c r="A11561" s="1"/>
      <c r="B11561" s="535" t="s">
        <v>2</v>
      </c>
      <c r="C11561" s="535"/>
      <c r="D11561" s="535"/>
      <c r="E11561" s="533"/>
      <c r="F11561" s="533"/>
      <c r="G11561" s="533"/>
      <c r="H11561" s="534"/>
    </row>
    <row r="11562" spans="1:8" x14ac:dyDescent="0.3">
      <c r="A11562" s="477" t="s">
        <v>3</v>
      </c>
      <c r="B11562" s="478"/>
      <c r="C11562" s="479" t="s">
        <v>4</v>
      </c>
      <c r="D11562" s="479"/>
      <c r="E11562" s="480" t="s">
        <v>5</v>
      </c>
      <c r="F11562" s="480"/>
      <c r="G11562" s="480"/>
      <c r="H11562" s="480"/>
    </row>
    <row r="11563" spans="1:8" ht="15.6" x14ac:dyDescent="0.3">
      <c r="A11563" s="4" t="s">
        <v>6</v>
      </c>
      <c r="B11563" s="5"/>
      <c r="C11563" s="536" t="s">
        <v>7</v>
      </c>
      <c r="D11563" s="516"/>
      <c r="E11563" s="489">
        <v>250</v>
      </c>
      <c r="F11563" s="491"/>
      <c r="G11563" s="44" t="s">
        <v>8</v>
      </c>
      <c r="H11563" s="109" t="s">
        <v>1871</v>
      </c>
    </row>
    <row r="11564" spans="1:8" ht="15.6" x14ac:dyDescent="0.3">
      <c r="A11564" s="108" t="s">
        <v>1872</v>
      </c>
      <c r="B11564" s="107"/>
      <c r="C11564" s="536" t="s">
        <v>10</v>
      </c>
      <c r="D11564" s="516"/>
      <c r="E11564" s="489"/>
      <c r="F11564" s="491"/>
      <c r="G11564" s="44" t="s">
        <v>8</v>
      </c>
      <c r="H11564" s="122"/>
    </row>
    <row r="11565" spans="1:8" ht="15" x14ac:dyDescent="0.3">
      <c r="A11565" s="433" t="s">
        <v>1878</v>
      </c>
      <c r="B11565" s="284"/>
      <c r="C11565" s="483" t="s">
        <v>12</v>
      </c>
      <c r="D11565" s="484"/>
      <c r="E11565" s="537" t="s">
        <v>1879</v>
      </c>
      <c r="F11565" s="538"/>
      <c r="G11565" s="48" t="s">
        <v>8</v>
      </c>
      <c r="H11565" s="109" t="s">
        <v>1874</v>
      </c>
    </row>
    <row r="11566" spans="1:8" ht="15.6" x14ac:dyDescent="0.3">
      <c r="A11566" s="108"/>
      <c r="B11566" s="106"/>
      <c r="C11566" s="536" t="s">
        <v>15</v>
      </c>
      <c r="D11566" s="516"/>
      <c r="E11566" s="502" t="s">
        <v>154</v>
      </c>
      <c r="F11566" s="503"/>
      <c r="G11566" s="503"/>
      <c r="H11566" s="504"/>
    </row>
    <row r="11567" spans="1:8" ht="15.6" x14ac:dyDescent="0.3">
      <c r="A11567" s="539" t="s">
        <v>129</v>
      </c>
      <c r="B11567" s="540"/>
      <c r="C11567" s="24"/>
      <c r="D11567" s="25"/>
      <c r="E11567" s="50"/>
      <c r="F11567" s="50"/>
      <c r="G11567" s="51"/>
      <c r="H11567" s="52"/>
    </row>
    <row r="11568" spans="1:8" ht="15" x14ac:dyDescent="0.3">
      <c r="A11568" s="493" t="s">
        <v>17</v>
      </c>
      <c r="B11568" s="495" t="s">
        <v>18</v>
      </c>
      <c r="C11568" s="495" t="s">
        <v>19</v>
      </c>
      <c r="D11568" s="495" t="s">
        <v>20</v>
      </c>
      <c r="E11568" s="495" t="s">
        <v>21</v>
      </c>
      <c r="F11568" s="541" t="s">
        <v>22</v>
      </c>
      <c r="G11568" s="542"/>
      <c r="H11568" s="493" t="s">
        <v>23</v>
      </c>
    </row>
    <row r="11569" spans="1:8" ht="27.6" x14ac:dyDescent="0.3">
      <c r="A11569" s="527"/>
      <c r="B11569" s="505"/>
      <c r="C11569" s="505"/>
      <c r="D11569" s="505"/>
      <c r="E11569" s="505"/>
      <c r="F11569" s="53" t="s">
        <v>24</v>
      </c>
      <c r="G11569" s="53" t="s">
        <v>25</v>
      </c>
      <c r="H11569" s="527"/>
    </row>
    <row r="11570" spans="1:8" x14ac:dyDescent="0.3">
      <c r="A11570" s="56">
        <v>1</v>
      </c>
      <c r="B11570" s="113" t="s">
        <v>1880</v>
      </c>
      <c r="C11570" s="114">
        <v>1</v>
      </c>
      <c r="D11570" s="17">
        <v>998719</v>
      </c>
      <c r="E11570" s="56">
        <v>8000</v>
      </c>
      <c r="F11570" s="56">
        <f>E11570*C11570*9%</f>
        <v>720</v>
      </c>
      <c r="G11570" s="56">
        <f>F11570</f>
        <v>720</v>
      </c>
      <c r="H11570" s="55">
        <f>G11570+F11570+E11570*C11570</f>
        <v>9440</v>
      </c>
    </row>
    <row r="11571" spans="1:8" x14ac:dyDescent="0.3">
      <c r="A11571" s="56"/>
      <c r="B11571" s="113"/>
      <c r="C11571" s="114"/>
      <c r="D11571" s="17"/>
      <c r="E11571" s="56"/>
      <c r="F11571" s="56"/>
      <c r="G11571" s="56"/>
      <c r="H11571" s="55"/>
    </row>
    <row r="11572" spans="1:8" x14ac:dyDescent="0.3">
      <c r="A11572" s="55"/>
      <c r="B11572" s="113"/>
      <c r="C11572" s="55"/>
      <c r="D11572" s="17"/>
      <c r="E11572" s="47"/>
      <c r="F11572" s="56"/>
      <c r="G11572" s="56"/>
      <c r="H11572" s="55"/>
    </row>
    <row r="11573" spans="1:8" x14ac:dyDescent="0.3">
      <c r="A11573" s="55"/>
      <c r="B11573" s="94"/>
      <c r="C11573" s="55"/>
      <c r="D11573" s="17"/>
      <c r="E11573" s="47"/>
      <c r="F11573" s="56"/>
      <c r="G11573" s="56"/>
      <c r="H11573" s="55"/>
    </row>
    <row r="11574" spans="1:8" x14ac:dyDescent="0.3">
      <c r="A11574" s="27"/>
      <c r="B11574" s="28"/>
      <c r="C11574" s="24"/>
      <c r="D11574" s="25"/>
      <c r="E11574" s="25"/>
      <c r="F11574" s="25"/>
      <c r="G11574" s="28"/>
      <c r="H11574" s="32"/>
    </row>
    <row r="11575" spans="1:8" x14ac:dyDescent="0.3">
      <c r="A11575" s="27"/>
      <c r="B11575" s="28"/>
      <c r="C11575" s="24"/>
      <c r="D11575" s="25"/>
      <c r="E11575" s="25"/>
      <c r="F11575" s="25"/>
      <c r="G11575" s="28"/>
      <c r="H11575" s="32"/>
    </row>
    <row r="11576" spans="1:8" x14ac:dyDescent="0.3">
      <c r="A11576" s="27"/>
      <c r="B11576" s="28"/>
      <c r="C11576" s="24"/>
      <c r="D11576" s="25"/>
      <c r="E11576" s="25"/>
      <c r="F11576" s="25"/>
      <c r="G11576" s="28"/>
      <c r="H11576" s="32"/>
    </row>
    <row r="11577" spans="1:8" x14ac:dyDescent="0.3">
      <c r="A11577" s="27"/>
      <c r="B11577" s="28"/>
      <c r="C11577" s="24"/>
      <c r="D11577" s="25"/>
      <c r="E11577" s="25"/>
      <c r="F11577" s="25"/>
      <c r="G11577" s="28"/>
      <c r="H11577" s="32"/>
    </row>
    <row r="11578" spans="1:8" x14ac:dyDescent="0.3">
      <c r="A11578" s="27"/>
      <c r="B11578" s="28"/>
      <c r="C11578" s="24"/>
      <c r="D11578" s="25"/>
      <c r="E11578" s="25"/>
      <c r="F11578" s="25"/>
      <c r="G11578" s="28"/>
      <c r="H11578" s="32"/>
    </row>
    <row r="11579" spans="1:8" x14ac:dyDescent="0.3">
      <c r="A11579" s="27"/>
      <c r="B11579" s="28"/>
      <c r="C11579" s="24"/>
      <c r="D11579" s="25"/>
      <c r="E11579" s="25"/>
      <c r="F11579" s="25"/>
      <c r="G11579" s="28"/>
      <c r="H11579" s="32"/>
    </row>
    <row r="11580" spans="1:8" x14ac:dyDescent="0.3">
      <c r="A11580" s="27"/>
      <c r="B11580" s="28"/>
      <c r="C11580" s="24"/>
      <c r="D11580" s="25"/>
      <c r="E11580" s="25"/>
      <c r="F11580" s="25"/>
      <c r="G11580" s="28"/>
      <c r="H11580" s="32"/>
    </row>
    <row r="11581" spans="1:8" x14ac:dyDescent="0.3">
      <c r="A11581" s="27"/>
      <c r="B11581" s="28"/>
      <c r="C11581" s="24"/>
      <c r="D11581" s="25"/>
      <c r="E11581" s="25"/>
      <c r="F11581" s="25"/>
      <c r="G11581" s="28"/>
      <c r="H11581" s="32"/>
    </row>
    <row r="11582" spans="1:8" x14ac:dyDescent="0.3">
      <c r="A11582" s="27"/>
      <c r="B11582" s="28"/>
      <c r="C11582" s="24"/>
      <c r="D11582" s="25"/>
      <c r="E11582" s="25"/>
      <c r="F11582" s="25"/>
      <c r="G11582" s="28"/>
      <c r="H11582" s="32"/>
    </row>
    <row r="11583" spans="1:8" x14ac:dyDescent="0.3">
      <c r="A11583" s="27"/>
      <c r="B11583" s="28"/>
      <c r="C11583" s="24"/>
      <c r="D11583" s="25"/>
      <c r="E11583" s="25"/>
      <c r="F11583" s="25"/>
      <c r="G11583" s="28"/>
      <c r="H11583" s="32"/>
    </row>
    <row r="11584" spans="1:8" x14ac:dyDescent="0.3">
      <c r="A11584" s="27"/>
      <c r="B11584" s="28"/>
      <c r="C11584" s="24"/>
      <c r="D11584" s="25"/>
      <c r="E11584" s="25"/>
      <c r="F11584" s="25"/>
      <c r="G11584" s="28"/>
      <c r="H11584" s="32"/>
    </row>
    <row r="11585" spans="1:8" x14ac:dyDescent="0.3">
      <c r="A11585" s="27"/>
      <c r="B11585" s="28"/>
      <c r="C11585" s="24"/>
      <c r="D11585" s="25"/>
      <c r="E11585" s="25"/>
      <c r="F11585" s="25"/>
      <c r="G11585" s="28"/>
      <c r="H11585" s="32"/>
    </row>
    <row r="11586" spans="1:8" x14ac:dyDescent="0.3">
      <c r="A11586" s="27"/>
      <c r="B11586" s="28"/>
      <c r="C11586" s="24"/>
      <c r="D11586" s="25"/>
      <c r="E11586" s="25"/>
      <c r="F11586" s="25"/>
      <c r="G11586" s="28"/>
      <c r="H11586" s="32"/>
    </row>
    <row r="11587" spans="1:8" x14ac:dyDescent="0.3">
      <c r="A11587" s="27"/>
      <c r="B11587" s="28"/>
      <c r="C11587" s="24"/>
      <c r="D11587" s="25"/>
      <c r="E11587" s="25"/>
      <c r="F11587" s="25"/>
      <c r="G11587" s="28"/>
      <c r="H11587" s="32"/>
    </row>
    <row r="11588" spans="1:8" x14ac:dyDescent="0.3">
      <c r="A11588" s="27"/>
      <c r="B11588" s="28"/>
      <c r="C11588" s="24"/>
      <c r="D11588" s="25"/>
      <c r="E11588" s="25"/>
      <c r="F11588" s="25"/>
      <c r="G11588" s="28"/>
      <c r="H11588" s="32"/>
    </row>
    <row r="11589" spans="1:8" x14ac:dyDescent="0.3">
      <c r="A11589" s="27"/>
      <c r="B11589" s="28"/>
      <c r="C11589" s="24"/>
      <c r="D11589" s="25"/>
      <c r="E11589" s="25"/>
      <c r="F11589" s="25"/>
      <c r="G11589" s="28"/>
      <c r="H11589" s="32"/>
    </row>
    <row r="11590" spans="1:8" x14ac:dyDescent="0.3">
      <c r="A11590" s="27"/>
      <c r="B11590" s="28"/>
      <c r="C11590" s="24"/>
      <c r="D11590" s="25"/>
      <c r="E11590" s="25"/>
      <c r="F11590" s="25"/>
      <c r="G11590" s="28"/>
      <c r="H11590" s="32"/>
    </row>
    <row r="11591" spans="1:8" x14ac:dyDescent="0.3">
      <c r="A11591" s="27"/>
      <c r="B11591" s="28"/>
      <c r="C11591" s="24"/>
      <c r="D11591" s="25"/>
      <c r="E11591" s="25"/>
      <c r="F11591" s="25"/>
      <c r="G11591" s="28"/>
      <c r="H11591" s="32"/>
    </row>
    <row r="11592" spans="1:8" x14ac:dyDescent="0.3">
      <c r="A11592" s="27"/>
      <c r="B11592" s="28"/>
      <c r="C11592" s="24"/>
      <c r="D11592" s="25"/>
      <c r="E11592" s="25"/>
      <c r="F11592" s="25"/>
      <c r="G11592" s="28"/>
      <c r="H11592" s="32"/>
    </row>
    <row r="11593" spans="1:8" ht="15.6" x14ac:dyDescent="0.3">
      <c r="A11593" s="497" t="s">
        <v>97</v>
      </c>
      <c r="B11593" s="498"/>
      <c r="C11593" s="24"/>
      <c r="D11593" s="25"/>
      <c r="E11593" s="25"/>
      <c r="F11593" s="116" t="s">
        <v>46</v>
      </c>
      <c r="G11593" s="26"/>
      <c r="H11593" s="66">
        <v>8000</v>
      </c>
    </row>
    <row r="11594" spans="1:8" ht="15.6" x14ac:dyDescent="0.3">
      <c r="A11594" s="497" t="s">
        <v>1881</v>
      </c>
      <c r="B11594" s="498"/>
      <c r="C11594" s="498"/>
      <c r="D11594" s="498"/>
      <c r="E11594" s="67"/>
      <c r="F11594" s="116" t="s">
        <v>47</v>
      </c>
      <c r="G11594" s="26"/>
      <c r="H11594" s="66">
        <f>H11595</f>
        <v>720</v>
      </c>
    </row>
    <row r="11595" spans="1:8" ht="15.6" x14ac:dyDescent="0.3">
      <c r="A11595" s="27"/>
      <c r="B11595" s="28"/>
      <c r="C11595" s="24"/>
      <c r="D11595" s="25"/>
      <c r="E11595" s="25"/>
      <c r="F11595" s="116" t="s">
        <v>48</v>
      </c>
      <c r="G11595" s="26"/>
      <c r="H11595" s="66">
        <f>H11593*9%</f>
        <v>720</v>
      </c>
    </row>
    <row r="11596" spans="1:8" ht="15.6" x14ac:dyDescent="0.3">
      <c r="A11596" s="497" t="s">
        <v>49</v>
      </c>
      <c r="B11596" s="498"/>
      <c r="C11596" s="498"/>
      <c r="D11596" s="25"/>
      <c r="E11596" s="25"/>
      <c r="F11596" s="116" t="s">
        <v>50</v>
      </c>
      <c r="G11596" s="26"/>
      <c r="H11596" s="66">
        <v>9440</v>
      </c>
    </row>
    <row r="11597" spans="1:8" ht="27" x14ac:dyDescent="0.3">
      <c r="A11597" s="68" t="s">
        <v>22</v>
      </c>
      <c r="B11597" s="69" t="s">
        <v>51</v>
      </c>
      <c r="C11597" s="70" t="s">
        <v>24</v>
      </c>
      <c r="D11597" s="31" t="s">
        <v>25</v>
      </c>
      <c r="E11597" s="528" t="s">
        <v>52</v>
      </c>
      <c r="F11597" s="528"/>
      <c r="G11597" s="28"/>
      <c r="H11597" s="32"/>
    </row>
    <row r="11598" spans="1:8" x14ac:dyDescent="0.3">
      <c r="A11598" s="72">
        <v>0.18</v>
      </c>
      <c r="B11598" s="73">
        <f>H11593</f>
        <v>8000</v>
      </c>
      <c r="C11598" s="74">
        <f>H11594</f>
        <v>720</v>
      </c>
      <c r="D11598" s="74">
        <f>H11595</f>
        <v>720</v>
      </c>
      <c r="E11598" s="507">
        <f>C11598+D11598</f>
        <v>1440</v>
      </c>
      <c r="F11598" s="507"/>
      <c r="G11598" s="74"/>
      <c r="H11598" s="75"/>
    </row>
    <row r="11599" spans="1:8" x14ac:dyDescent="0.3">
      <c r="A11599" s="452" t="s">
        <v>1882</v>
      </c>
      <c r="B11599" s="453"/>
      <c r="C11599" s="453"/>
      <c r="D11599" s="453"/>
      <c r="E11599" s="453"/>
      <c r="F11599" s="78"/>
      <c r="G11599" s="36"/>
      <c r="H11599" s="79"/>
    </row>
    <row r="11600" spans="1:8" ht="15.6" x14ac:dyDescent="0.3">
      <c r="A11600" s="455" t="s">
        <v>53</v>
      </c>
      <c r="B11600" s="456"/>
      <c r="C11600" s="456"/>
      <c r="D11600" s="117"/>
      <c r="E11600" s="118" t="s">
        <v>54</v>
      </c>
      <c r="F11600" s="37"/>
      <c r="G11600" s="37"/>
      <c r="H11600" s="38"/>
    </row>
    <row r="11601" spans="1:8" x14ac:dyDescent="0.3">
      <c r="A11601" s="100" t="s">
        <v>55</v>
      </c>
      <c r="B11601" s="101"/>
      <c r="C11601" s="101"/>
      <c r="D11601" s="102"/>
      <c r="E11601" s="25"/>
      <c r="F11601" s="25"/>
      <c r="G11601" s="28"/>
      <c r="H11601" s="32"/>
    </row>
    <row r="11602" spans="1:8" x14ac:dyDescent="0.3">
      <c r="A11602" s="461" t="s">
        <v>56</v>
      </c>
      <c r="B11602" s="462"/>
      <c r="C11602" s="462"/>
      <c r="D11602" s="463"/>
      <c r="E11602" s="25"/>
      <c r="F11602" s="25"/>
      <c r="G11602" s="28"/>
      <c r="H11602" s="32"/>
    </row>
    <row r="11603" spans="1:8" x14ac:dyDescent="0.3">
      <c r="A11603" s="461" t="s">
        <v>57</v>
      </c>
      <c r="B11603" s="462"/>
      <c r="C11603" s="462"/>
      <c r="D11603" s="463"/>
      <c r="E11603" s="25"/>
      <c r="F11603" s="25"/>
      <c r="G11603" s="28"/>
      <c r="H11603" s="32"/>
    </row>
    <row r="11604" spans="1:8" ht="15.6" x14ac:dyDescent="0.3">
      <c r="A11604" s="464" t="s">
        <v>58</v>
      </c>
      <c r="B11604" s="465"/>
      <c r="C11604" s="465"/>
      <c r="D11604" s="510"/>
      <c r="E11604" s="466" t="s">
        <v>59</v>
      </c>
      <c r="F11604" s="467"/>
      <c r="G11604" s="467"/>
      <c r="H11604" s="468"/>
    </row>
    <row r="11608" spans="1:8" ht="44.4" x14ac:dyDescent="0.7">
      <c r="A11608" s="469" t="s">
        <v>0</v>
      </c>
      <c r="B11608" s="470"/>
      <c r="C11608" s="470"/>
      <c r="D11608" s="470"/>
      <c r="E11608" s="471" t="s">
        <v>1</v>
      </c>
      <c r="F11608" s="472"/>
      <c r="G11608" s="472"/>
      <c r="H11608" s="473"/>
    </row>
    <row r="11609" spans="1:8" ht="20.399999999999999" x14ac:dyDescent="0.35">
      <c r="A11609" s="1"/>
      <c r="B11609" s="476" t="s">
        <v>2</v>
      </c>
      <c r="C11609" s="476"/>
      <c r="D11609" s="476"/>
      <c r="E11609" s="474"/>
      <c r="F11609" s="474"/>
      <c r="G11609" s="474"/>
      <c r="H11609" s="475"/>
    </row>
    <row r="11610" spans="1:8" x14ac:dyDescent="0.3">
      <c r="A11610" s="477" t="s">
        <v>3</v>
      </c>
      <c r="B11610" s="511"/>
      <c r="C11610" s="136"/>
      <c r="D11610" s="499" t="s">
        <v>4</v>
      </c>
      <c r="E11610" s="499"/>
      <c r="F11610" s="235"/>
      <c r="G11610" s="137" t="s">
        <v>134</v>
      </c>
      <c r="H11610" s="120"/>
    </row>
    <row r="11611" spans="1:8" ht="15.6" x14ac:dyDescent="0.3">
      <c r="A11611" s="4" t="s">
        <v>6</v>
      </c>
      <c r="B11611" s="5"/>
      <c r="C11611" s="512" t="s">
        <v>7</v>
      </c>
      <c r="D11611" s="513"/>
      <c r="E11611" s="482">
        <v>251</v>
      </c>
      <c r="F11611" s="482"/>
      <c r="G11611" s="7" t="s">
        <v>8</v>
      </c>
      <c r="H11611" s="9" t="s">
        <v>1887</v>
      </c>
    </row>
    <row r="11612" spans="1:8" ht="15.6" x14ac:dyDescent="0.3">
      <c r="A11612" s="514" t="s">
        <v>540</v>
      </c>
      <c r="B11612" s="515"/>
      <c r="C11612" s="516" t="s">
        <v>10</v>
      </c>
      <c r="D11612" s="481"/>
      <c r="E11612" s="482"/>
      <c r="F11612" s="482"/>
      <c r="G11612" s="7" t="s">
        <v>8</v>
      </c>
      <c r="H11612" s="9"/>
    </row>
    <row r="11613" spans="1:8" ht="15" x14ac:dyDescent="0.3">
      <c r="A11613" s="517" t="s">
        <v>541</v>
      </c>
      <c r="B11613" s="518"/>
      <c r="C11613" s="484" t="s">
        <v>12</v>
      </c>
      <c r="D11613" s="519"/>
      <c r="E11613" s="520"/>
      <c r="F11613" s="520"/>
      <c r="G11613" s="10" t="s">
        <v>8</v>
      </c>
      <c r="H11613" s="11"/>
    </row>
    <row r="11614" spans="1:8" ht="15.6" x14ac:dyDescent="0.3">
      <c r="A11614" s="517"/>
      <c r="B11614" s="518"/>
      <c r="C11614" s="521" t="s">
        <v>15</v>
      </c>
      <c r="D11614" s="522"/>
      <c r="E11614" s="523" t="s">
        <v>542</v>
      </c>
      <c r="F11614" s="524"/>
      <c r="G11614" s="524"/>
      <c r="H11614" s="6"/>
    </row>
    <row r="11615" spans="1:8" ht="15.6" x14ac:dyDescent="0.3">
      <c r="A11615" s="12" t="s">
        <v>13</v>
      </c>
      <c r="B11615" s="13" t="s">
        <v>14</v>
      </c>
      <c r="C11615" s="230"/>
      <c r="D11615" s="231"/>
      <c r="E11615" s="232"/>
      <c r="F11615" s="233"/>
      <c r="G11615" s="233"/>
      <c r="H11615" s="231"/>
    </row>
    <row r="11616" spans="1:8" ht="15" x14ac:dyDescent="0.3">
      <c r="A11616" s="527" t="s">
        <v>17</v>
      </c>
      <c r="B11616" s="505" t="s">
        <v>18</v>
      </c>
      <c r="C11616" s="494" t="s">
        <v>19</v>
      </c>
      <c r="D11616" s="494" t="s">
        <v>20</v>
      </c>
      <c r="E11616" s="494" t="s">
        <v>21</v>
      </c>
      <c r="F11616" s="494" t="s">
        <v>22</v>
      </c>
      <c r="G11616" s="494"/>
      <c r="H11616" s="492" t="s">
        <v>23</v>
      </c>
    </row>
    <row r="11617" spans="1:9" ht="27.6" x14ac:dyDescent="0.3">
      <c r="A11617" s="492"/>
      <c r="B11617" s="494"/>
      <c r="C11617" s="494"/>
      <c r="D11617" s="494"/>
      <c r="E11617" s="494"/>
      <c r="F11617" s="53" t="s">
        <v>24</v>
      </c>
      <c r="G11617" s="53" t="s">
        <v>25</v>
      </c>
      <c r="H11617" s="492"/>
    </row>
    <row r="11618" spans="1:9" x14ac:dyDescent="0.3">
      <c r="A11618" s="57">
        <v>1</v>
      </c>
      <c r="B11618" s="60" t="s">
        <v>1888</v>
      </c>
      <c r="C11618" s="57">
        <v>2</v>
      </c>
      <c r="D11618" s="434">
        <v>84609090</v>
      </c>
      <c r="E11618" s="57">
        <v>987</v>
      </c>
      <c r="F11618" s="93">
        <f>E11618*C11618*9%</f>
        <v>177.66</v>
      </c>
      <c r="G11618" s="93">
        <f>F11618</f>
        <v>177.66</v>
      </c>
      <c r="H11618" s="62">
        <f>G11618+F11618+E11618*C11618</f>
        <v>2329.3200000000002</v>
      </c>
      <c r="I11618" s="362">
        <f>E11618*C11618</f>
        <v>1974</v>
      </c>
    </row>
    <row r="11619" spans="1:9" x14ac:dyDescent="0.3">
      <c r="A11619" s="57">
        <v>2</v>
      </c>
      <c r="B11619" s="60" t="s">
        <v>1889</v>
      </c>
      <c r="C11619" s="57">
        <v>1</v>
      </c>
      <c r="D11619" s="56">
        <v>8538</v>
      </c>
      <c r="E11619" s="185">
        <v>382</v>
      </c>
      <c r="F11619" s="93">
        <f t="shared" ref="F11619:F11620" si="335">E11619*C11619*9%</f>
        <v>34.379999999999995</v>
      </c>
      <c r="G11619" s="93">
        <f t="shared" ref="G11619:G11620" si="336">F11619</f>
        <v>34.379999999999995</v>
      </c>
      <c r="H11619" s="62">
        <f t="shared" ref="H11619:H11620" si="337">G11619+F11619+E11619*C11619</f>
        <v>450.76</v>
      </c>
      <c r="I11619" s="362">
        <f t="shared" ref="I11619:I11620" si="338">E11619*C11619</f>
        <v>382</v>
      </c>
    </row>
    <row r="11620" spans="1:9" x14ac:dyDescent="0.3">
      <c r="A11620" s="57">
        <v>3</v>
      </c>
      <c r="B11620" s="60" t="s">
        <v>1890</v>
      </c>
      <c r="C11620" s="188">
        <v>1</v>
      </c>
      <c r="D11620" s="56">
        <v>8538</v>
      </c>
      <c r="E11620" s="57">
        <v>581</v>
      </c>
      <c r="F11620" s="93">
        <f t="shared" si="335"/>
        <v>52.29</v>
      </c>
      <c r="G11620" s="93">
        <f t="shared" si="336"/>
        <v>52.29</v>
      </c>
      <c r="H11620" s="62">
        <f t="shared" si="337"/>
        <v>685.58</v>
      </c>
      <c r="I11620" s="362">
        <f t="shared" si="338"/>
        <v>581</v>
      </c>
    </row>
    <row r="11621" spans="1:9" x14ac:dyDescent="0.3">
      <c r="A11621" s="57"/>
      <c r="B11621" s="237"/>
      <c r="C11621" s="57"/>
      <c r="D11621" s="56"/>
      <c r="E11621" s="57"/>
      <c r="F11621" s="93"/>
      <c r="G11621" s="93"/>
      <c r="H11621" s="62"/>
    </row>
    <row r="11622" spans="1:9" x14ac:dyDescent="0.3">
      <c r="A11622" s="57"/>
      <c r="B11622" s="238"/>
      <c r="C11622" s="57"/>
      <c r="D11622" s="56"/>
      <c r="E11622" s="57"/>
      <c r="F11622" s="58"/>
      <c r="G11622" s="58"/>
      <c r="H11622" s="59"/>
    </row>
    <row r="11623" spans="1:9" x14ac:dyDescent="0.3">
      <c r="A11623" s="57"/>
      <c r="B11623" s="60"/>
      <c r="C11623" s="239"/>
      <c r="D11623" s="56"/>
      <c r="E11623" s="57"/>
      <c r="F11623" s="58"/>
      <c r="G11623" s="58"/>
      <c r="H11623" s="59"/>
    </row>
    <row r="11624" spans="1:9" x14ac:dyDescent="0.3">
      <c r="A11624" s="173"/>
      <c r="B11624" s="174"/>
      <c r="C11624" s="264"/>
      <c r="D11624" s="152"/>
      <c r="E11624" s="175"/>
      <c r="F11624" s="165"/>
      <c r="G11624" s="165"/>
      <c r="H11624" s="166"/>
    </row>
    <row r="11625" spans="1:9" x14ac:dyDescent="0.3">
      <c r="A11625" s="173"/>
      <c r="B11625" s="174"/>
      <c r="C11625" s="264"/>
      <c r="D11625" s="152"/>
      <c r="E11625" s="175"/>
      <c r="F11625" s="165"/>
      <c r="G11625" s="165"/>
      <c r="H11625" s="166"/>
    </row>
    <row r="11626" spans="1:9" x14ac:dyDescent="0.3">
      <c r="A11626" s="173"/>
      <c r="B11626" s="174"/>
      <c r="C11626" s="264"/>
      <c r="D11626" s="152"/>
      <c r="E11626" s="175"/>
      <c r="F11626" s="165"/>
      <c r="G11626" s="165"/>
      <c r="H11626" s="166"/>
    </row>
    <row r="11627" spans="1:9" x14ac:dyDescent="0.3">
      <c r="A11627" s="173"/>
      <c r="B11627" s="174"/>
      <c r="C11627" s="264"/>
      <c r="D11627" s="152"/>
      <c r="E11627" s="175"/>
      <c r="F11627" s="165"/>
      <c r="G11627" s="165"/>
      <c r="H11627" s="166"/>
    </row>
    <row r="11628" spans="1:9" x14ac:dyDescent="0.3">
      <c r="A11628" s="173"/>
      <c r="B11628" s="174"/>
      <c r="C11628" s="264"/>
      <c r="D11628" s="152"/>
      <c r="E11628" s="175"/>
      <c r="F11628" s="165"/>
      <c r="G11628" s="165"/>
      <c r="H11628" s="166"/>
    </row>
    <row r="11629" spans="1:9" x14ac:dyDescent="0.3">
      <c r="A11629" s="173"/>
      <c r="B11629" s="174"/>
      <c r="C11629" s="264"/>
      <c r="D11629" s="152"/>
      <c r="E11629" s="175"/>
      <c r="F11629" s="165"/>
      <c r="G11629" s="165"/>
      <c r="H11629" s="166"/>
    </row>
    <row r="11630" spans="1:9" x14ac:dyDescent="0.3">
      <c r="A11630" s="173"/>
      <c r="B11630" s="174"/>
      <c r="C11630" s="264"/>
      <c r="D11630" s="152"/>
      <c r="E11630" s="175"/>
      <c r="F11630" s="165"/>
      <c r="G11630" s="165"/>
      <c r="H11630" s="166"/>
    </row>
    <row r="11631" spans="1:9" x14ac:dyDescent="0.3">
      <c r="A11631" s="173"/>
      <c r="B11631" s="174"/>
      <c r="C11631" s="264"/>
      <c r="D11631" s="152"/>
      <c r="E11631" s="175"/>
      <c r="F11631" s="165"/>
      <c r="G11631" s="165"/>
      <c r="H11631" s="166"/>
    </row>
    <row r="11632" spans="1:9" x14ac:dyDescent="0.3">
      <c r="A11632" s="173"/>
      <c r="B11632" s="174"/>
      <c r="C11632" s="264"/>
      <c r="D11632" s="152"/>
      <c r="E11632" s="175"/>
      <c r="F11632" s="165"/>
      <c r="G11632" s="165"/>
      <c r="H11632" s="166"/>
    </row>
    <row r="11633" spans="1:8" x14ac:dyDescent="0.3">
      <c r="A11633" s="173"/>
      <c r="B11633" s="174"/>
      <c r="C11633" s="175"/>
      <c r="D11633" s="152"/>
      <c r="E11633" s="175"/>
      <c r="F11633" s="165"/>
      <c r="G11633" s="165"/>
      <c r="H11633" s="166"/>
    </row>
    <row r="11634" spans="1:8" x14ac:dyDescent="0.3">
      <c r="A11634" s="173"/>
      <c r="B11634" s="174"/>
      <c r="C11634" s="175"/>
      <c r="D11634" s="152"/>
      <c r="E11634" s="175"/>
      <c r="F11634" s="165"/>
      <c r="G11634" s="165"/>
      <c r="H11634" s="166"/>
    </row>
    <row r="11635" spans="1:8" x14ac:dyDescent="0.3">
      <c r="A11635" s="27"/>
      <c r="B11635" s="174"/>
      <c r="C11635" s="24"/>
      <c r="D11635" s="152"/>
      <c r="E11635" s="175"/>
      <c r="F11635" s="175"/>
      <c r="G11635" s="162"/>
      <c r="H11635" s="154"/>
    </row>
    <row r="11636" spans="1:8" x14ac:dyDescent="0.3">
      <c r="A11636" s="27"/>
      <c r="B11636" s="174"/>
      <c r="C11636" s="24"/>
      <c r="D11636" s="152"/>
      <c r="E11636" s="25"/>
      <c r="F11636" s="175"/>
      <c r="G11636" s="162"/>
      <c r="H11636" s="154"/>
    </row>
    <row r="11637" spans="1:8" x14ac:dyDescent="0.3">
      <c r="A11637" s="27"/>
      <c r="B11637" s="28"/>
      <c r="C11637" s="24"/>
      <c r="D11637" s="152"/>
      <c r="E11637" s="25"/>
      <c r="F11637" s="175"/>
      <c r="G11637" s="162"/>
      <c r="H11637" s="154"/>
    </row>
    <row r="11638" spans="1:8" x14ac:dyDescent="0.3">
      <c r="A11638" s="27"/>
      <c r="B11638" s="28"/>
      <c r="C11638" s="24"/>
      <c r="D11638" s="25"/>
      <c r="E11638" s="25"/>
      <c r="F11638" s="25"/>
      <c r="G11638" s="28"/>
      <c r="H11638" s="32"/>
    </row>
    <row r="11639" spans="1:8" ht="15.6" x14ac:dyDescent="0.3">
      <c r="A11639" s="448" t="s">
        <v>45</v>
      </c>
      <c r="B11639" s="449"/>
      <c r="C11639" s="24"/>
      <c r="D11639" s="25"/>
      <c r="E11639" s="25"/>
      <c r="F11639" s="447" t="s">
        <v>46</v>
      </c>
      <c r="G11639" s="447"/>
      <c r="H11639" s="66">
        <v>2937</v>
      </c>
    </row>
    <row r="11640" spans="1:8" ht="15.6" x14ac:dyDescent="0.3">
      <c r="A11640" s="497" t="s">
        <v>1891</v>
      </c>
      <c r="B11640" s="498"/>
      <c r="C11640" s="498"/>
      <c r="D11640" s="498"/>
      <c r="E11640" s="498"/>
      <c r="F11640" s="447" t="s">
        <v>47</v>
      </c>
      <c r="G11640" s="447"/>
      <c r="H11640" s="66">
        <f>H11639*9%</f>
        <v>264.33</v>
      </c>
    </row>
    <row r="11641" spans="1:8" ht="15.6" x14ac:dyDescent="0.3">
      <c r="A11641" s="27"/>
      <c r="B11641" s="28"/>
      <c r="C11641" s="24"/>
      <c r="D11641" s="25"/>
      <c r="E11641" s="25"/>
      <c r="F11641" s="447" t="s">
        <v>48</v>
      </c>
      <c r="G11641" s="447"/>
      <c r="H11641" s="66">
        <f>H11640</f>
        <v>264.33</v>
      </c>
    </row>
    <row r="11642" spans="1:8" ht="15.6" x14ac:dyDescent="0.3">
      <c r="A11642" s="448" t="s">
        <v>49</v>
      </c>
      <c r="B11642" s="449"/>
      <c r="C11642" s="24"/>
      <c r="D11642" s="25"/>
      <c r="E11642" s="25"/>
      <c r="F11642" s="447" t="s">
        <v>50</v>
      </c>
      <c r="G11642" s="447"/>
      <c r="H11642" s="66">
        <v>3466</v>
      </c>
    </row>
    <row r="11643" spans="1:8" ht="15.6" x14ac:dyDescent="0.3">
      <c r="A11643" s="260"/>
      <c r="B11643" s="177"/>
      <c r="C11643" s="24"/>
      <c r="D11643" s="25"/>
      <c r="E11643" s="25"/>
      <c r="F11643" s="26"/>
      <c r="G11643" s="26"/>
      <c r="H11643" s="66"/>
    </row>
    <row r="11644" spans="1:8" ht="27" x14ac:dyDescent="0.3">
      <c r="A11644" s="29" t="s">
        <v>22</v>
      </c>
      <c r="B11644" s="30" t="s">
        <v>51</v>
      </c>
      <c r="C11644" s="31" t="s">
        <v>24</v>
      </c>
      <c r="D11644" s="31" t="s">
        <v>25</v>
      </c>
      <c r="E11644" s="528" t="s">
        <v>52</v>
      </c>
      <c r="F11644" s="528"/>
      <c r="G11644" s="28"/>
      <c r="H11644" s="32"/>
    </row>
    <row r="11645" spans="1:8" x14ac:dyDescent="0.3">
      <c r="A11645" s="33">
        <v>0.18</v>
      </c>
      <c r="B11645" s="34">
        <f>H11639</f>
        <v>2937</v>
      </c>
      <c r="C11645" s="240">
        <f>H11640</f>
        <v>264.33</v>
      </c>
      <c r="D11645" s="240">
        <f>H11641</f>
        <v>264.33</v>
      </c>
      <c r="E11645" s="529">
        <f>C11645+D11645</f>
        <v>528.66</v>
      </c>
      <c r="F11645" s="530"/>
      <c r="G11645" s="28"/>
      <c r="H11645" s="32"/>
    </row>
    <row r="11646" spans="1:8" x14ac:dyDescent="0.3">
      <c r="A11646" s="452" t="s">
        <v>1892</v>
      </c>
      <c r="B11646" s="453"/>
      <c r="C11646" s="453"/>
      <c r="D11646" s="453"/>
      <c r="E11646" s="453"/>
      <c r="F11646" s="453"/>
      <c r="G11646" s="453"/>
      <c r="H11646" s="454"/>
    </row>
    <row r="11647" spans="1:8" ht="15.6" x14ac:dyDescent="0.3">
      <c r="A11647" s="455" t="s">
        <v>53</v>
      </c>
      <c r="B11647" s="456"/>
      <c r="C11647" s="456"/>
      <c r="D11647" s="117"/>
      <c r="E11647" s="458" t="s">
        <v>54</v>
      </c>
      <c r="F11647" s="459"/>
      <c r="G11647" s="459"/>
      <c r="H11647" s="460"/>
    </row>
    <row r="11648" spans="1:8" x14ac:dyDescent="0.3">
      <c r="A11648" s="100" t="s">
        <v>55</v>
      </c>
      <c r="B11648" s="101"/>
      <c r="C11648" s="101"/>
      <c r="D11648" s="102"/>
      <c r="E11648" s="39"/>
      <c r="F11648" s="25"/>
      <c r="G11648" s="28"/>
      <c r="H11648" s="32"/>
    </row>
    <row r="11649" spans="1:8" x14ac:dyDescent="0.3">
      <c r="A11649" s="461" t="s">
        <v>56</v>
      </c>
      <c r="B11649" s="462"/>
      <c r="C11649" s="462"/>
      <c r="D11649" s="463"/>
      <c r="E11649" s="39"/>
      <c r="F11649" s="25"/>
      <c r="G11649" s="28"/>
      <c r="H11649" s="32"/>
    </row>
    <row r="11650" spans="1:8" x14ac:dyDescent="0.3">
      <c r="A11650" s="461" t="s">
        <v>57</v>
      </c>
      <c r="B11650" s="462"/>
      <c r="C11650" s="462"/>
      <c r="D11650" s="463"/>
      <c r="E11650" s="25"/>
      <c r="F11650" s="25"/>
      <c r="G11650" s="28"/>
      <c r="H11650" s="32"/>
    </row>
    <row r="11651" spans="1:8" ht="15.6" x14ac:dyDescent="0.3">
      <c r="A11651" s="464" t="s">
        <v>58</v>
      </c>
      <c r="B11651" s="465"/>
      <c r="C11651" s="465"/>
      <c r="D11651" s="510"/>
      <c r="E11651" s="466" t="s">
        <v>59</v>
      </c>
      <c r="F11651" s="467"/>
      <c r="G11651" s="467"/>
      <c r="H11651" s="468"/>
    </row>
    <row r="11656" spans="1:8" ht="44.4" x14ac:dyDescent="0.7">
      <c r="A11656" s="469" t="s">
        <v>0</v>
      </c>
      <c r="B11656" s="470"/>
      <c r="C11656" s="470"/>
      <c r="D11656" s="470"/>
      <c r="E11656" s="471" t="s">
        <v>1901</v>
      </c>
      <c r="F11656" s="472"/>
      <c r="G11656" s="472"/>
      <c r="H11656" s="473"/>
    </row>
    <row r="11657" spans="1:8" ht="20.399999999999999" x14ac:dyDescent="0.35">
      <c r="A11657" s="1"/>
      <c r="B11657" s="476" t="s">
        <v>2</v>
      </c>
      <c r="C11657" s="476"/>
      <c r="D11657" s="476"/>
      <c r="E11657" s="474"/>
      <c r="F11657" s="474"/>
      <c r="G11657" s="474"/>
      <c r="H11657" s="475"/>
    </row>
    <row r="11658" spans="1:8" x14ac:dyDescent="0.3">
      <c r="A11658" s="477" t="s">
        <v>3</v>
      </c>
      <c r="B11658" s="511"/>
      <c r="C11658" s="136"/>
      <c r="D11658" s="499" t="s">
        <v>4</v>
      </c>
      <c r="E11658" s="499"/>
      <c r="F11658" s="235"/>
      <c r="G11658" s="137" t="s">
        <v>134</v>
      </c>
      <c r="H11658" s="120"/>
    </row>
    <row r="11659" spans="1:8" ht="15.6" x14ac:dyDescent="0.3">
      <c r="A11659" s="4" t="s">
        <v>6</v>
      </c>
      <c r="B11659" s="5"/>
      <c r="C11659" s="512" t="s">
        <v>7</v>
      </c>
      <c r="D11659" s="513"/>
      <c r="E11659" s="482">
        <v>252</v>
      </c>
      <c r="F11659" s="482"/>
      <c r="G11659" s="7" t="s">
        <v>8</v>
      </c>
      <c r="H11659" s="9" t="s">
        <v>1887</v>
      </c>
    </row>
    <row r="11660" spans="1:8" ht="15.6" x14ac:dyDescent="0.3">
      <c r="A11660" s="514" t="s">
        <v>1894</v>
      </c>
      <c r="B11660" s="515"/>
      <c r="C11660" s="516" t="s">
        <v>10</v>
      </c>
      <c r="D11660" s="481"/>
      <c r="E11660" s="482"/>
      <c r="F11660" s="482"/>
      <c r="G11660" s="7" t="s">
        <v>8</v>
      </c>
      <c r="H11660" s="9"/>
    </row>
    <row r="11661" spans="1:8" ht="15" x14ac:dyDescent="0.3">
      <c r="A11661" s="517" t="s">
        <v>1895</v>
      </c>
      <c r="B11661" s="518"/>
      <c r="C11661" s="484" t="s">
        <v>12</v>
      </c>
      <c r="D11661" s="519"/>
      <c r="E11661" s="520"/>
      <c r="F11661" s="520"/>
      <c r="G11661" s="10" t="s">
        <v>8</v>
      </c>
      <c r="H11661" s="11"/>
    </row>
    <row r="11662" spans="1:8" ht="15.6" x14ac:dyDescent="0.3">
      <c r="A11662" s="517" t="s">
        <v>1896</v>
      </c>
      <c r="B11662" s="518"/>
      <c r="C11662" s="521" t="s">
        <v>15</v>
      </c>
      <c r="D11662" s="522"/>
      <c r="E11662" s="523" t="s">
        <v>1893</v>
      </c>
      <c r="F11662" s="524"/>
      <c r="G11662" s="524"/>
      <c r="H11662" s="6"/>
    </row>
    <row r="11663" spans="1:8" ht="15.6" x14ac:dyDescent="0.3">
      <c r="A11663" s="525" t="s">
        <v>1897</v>
      </c>
      <c r="B11663" s="526"/>
      <c r="C11663" s="230"/>
      <c r="D11663" s="231"/>
      <c r="E11663" s="232"/>
      <c r="F11663" s="233"/>
      <c r="G11663" s="233"/>
      <c r="H11663" s="231"/>
    </row>
    <row r="11664" spans="1:8" ht="15" x14ac:dyDescent="0.3">
      <c r="A11664" s="527" t="s">
        <v>17</v>
      </c>
      <c r="B11664" s="505" t="s">
        <v>18</v>
      </c>
      <c r="C11664" s="494" t="s">
        <v>19</v>
      </c>
      <c r="D11664" s="494" t="s">
        <v>20</v>
      </c>
      <c r="E11664" s="494" t="s">
        <v>21</v>
      </c>
      <c r="F11664" s="494" t="s">
        <v>22</v>
      </c>
      <c r="G11664" s="494"/>
      <c r="H11664" s="492" t="s">
        <v>23</v>
      </c>
    </row>
    <row r="11665" spans="1:9" ht="27.6" x14ac:dyDescent="0.3">
      <c r="A11665" s="492"/>
      <c r="B11665" s="494"/>
      <c r="C11665" s="494"/>
      <c r="D11665" s="494"/>
      <c r="E11665" s="494"/>
      <c r="F11665" s="53" t="s">
        <v>24</v>
      </c>
      <c r="G11665" s="53" t="s">
        <v>25</v>
      </c>
      <c r="H11665" s="492"/>
    </row>
    <row r="11666" spans="1:9" x14ac:dyDescent="0.3">
      <c r="A11666" s="57">
        <v>1</v>
      </c>
      <c r="B11666" s="60" t="s">
        <v>1898</v>
      </c>
      <c r="C11666" s="57">
        <v>1</v>
      </c>
      <c r="D11666" s="150">
        <v>998719</v>
      </c>
      <c r="E11666" s="57">
        <v>62000</v>
      </c>
      <c r="F11666" s="93">
        <f>E11666*C11666*9%</f>
        <v>5580</v>
      </c>
      <c r="G11666" s="93">
        <f>F11666</f>
        <v>5580</v>
      </c>
      <c r="H11666" s="62">
        <f>G11666+F11666+E11666*C11666</f>
        <v>73160</v>
      </c>
      <c r="I11666" s="362">
        <f>E11666*C11666</f>
        <v>62000</v>
      </c>
    </row>
    <row r="11667" spans="1:9" x14ac:dyDescent="0.3">
      <c r="A11667" s="57"/>
      <c r="B11667" s="60"/>
      <c r="C11667" s="57"/>
      <c r="D11667" s="434"/>
      <c r="E11667" s="185"/>
      <c r="F11667" s="93"/>
      <c r="G11667" s="93"/>
      <c r="H11667" s="62"/>
    </row>
    <row r="11668" spans="1:9" x14ac:dyDescent="0.3">
      <c r="A11668" s="57"/>
      <c r="B11668" s="60"/>
      <c r="C11668" s="188"/>
      <c r="D11668" s="434"/>
      <c r="E11668" s="57"/>
      <c r="F11668" s="93"/>
      <c r="G11668" s="93"/>
      <c r="H11668" s="62"/>
    </row>
    <row r="11669" spans="1:9" x14ac:dyDescent="0.3">
      <c r="A11669" s="57"/>
      <c r="B11669" s="237"/>
      <c r="C11669" s="57"/>
      <c r="D11669" s="56"/>
      <c r="E11669" s="57"/>
      <c r="F11669" s="93"/>
      <c r="G11669" s="93"/>
      <c r="H11669" s="62"/>
    </row>
    <row r="11670" spans="1:9" x14ac:dyDescent="0.3">
      <c r="A11670" s="57"/>
      <c r="B11670" s="238"/>
      <c r="C11670" s="57"/>
      <c r="D11670" s="56"/>
      <c r="E11670" s="57"/>
      <c r="F11670" s="58"/>
      <c r="G11670" s="58"/>
      <c r="H11670" s="59"/>
    </row>
    <row r="11671" spans="1:9" x14ac:dyDescent="0.3">
      <c r="A11671" s="57"/>
      <c r="B11671" s="60"/>
      <c r="C11671" s="239"/>
      <c r="D11671" s="56"/>
      <c r="E11671" s="57"/>
      <c r="F11671" s="58"/>
      <c r="G11671" s="58"/>
      <c r="H11671" s="59"/>
    </row>
    <row r="11672" spans="1:9" x14ac:dyDescent="0.3">
      <c r="A11672" s="173"/>
      <c r="B11672" s="174"/>
      <c r="C11672" s="264"/>
      <c r="D11672" s="152"/>
      <c r="E11672" s="175"/>
      <c r="F11672" s="165"/>
      <c r="G11672" s="165"/>
      <c r="H11672" s="166"/>
    </row>
    <row r="11673" spans="1:9" x14ac:dyDescent="0.3">
      <c r="A11673" s="173"/>
      <c r="B11673" s="174"/>
      <c r="C11673" s="264"/>
      <c r="D11673" s="152"/>
      <c r="E11673" s="175"/>
      <c r="F11673" s="165"/>
      <c r="G11673" s="165"/>
      <c r="H11673" s="166"/>
    </row>
    <row r="11674" spans="1:9" x14ac:dyDescent="0.3">
      <c r="A11674" s="173"/>
      <c r="B11674" s="174"/>
      <c r="C11674" s="264"/>
      <c r="D11674" s="152"/>
      <c r="E11674" s="175"/>
      <c r="F11674" s="165"/>
      <c r="G11674" s="165"/>
      <c r="H11674" s="166"/>
    </row>
    <row r="11675" spans="1:9" x14ac:dyDescent="0.3">
      <c r="A11675" s="173"/>
      <c r="B11675" s="174"/>
      <c r="C11675" s="264"/>
      <c r="D11675" s="152"/>
      <c r="E11675" s="175"/>
      <c r="F11675" s="165"/>
      <c r="G11675" s="165"/>
      <c r="H11675" s="166"/>
    </row>
    <row r="11676" spans="1:9" x14ac:dyDescent="0.3">
      <c r="A11676" s="173"/>
      <c r="B11676" s="174"/>
      <c r="C11676" s="264"/>
      <c r="D11676" s="152"/>
      <c r="E11676" s="175"/>
      <c r="F11676" s="165"/>
      <c r="G11676" s="165"/>
      <c r="H11676" s="166"/>
    </row>
    <row r="11677" spans="1:9" x14ac:dyDescent="0.3">
      <c r="A11677" s="173"/>
      <c r="B11677" s="174"/>
      <c r="C11677" s="264"/>
      <c r="D11677" s="152"/>
      <c r="E11677" s="175"/>
      <c r="F11677" s="165"/>
      <c r="G11677" s="165"/>
      <c r="H11677" s="166"/>
    </row>
    <row r="11678" spans="1:9" x14ac:dyDescent="0.3">
      <c r="A11678" s="173"/>
      <c r="B11678" s="174"/>
      <c r="C11678" s="264"/>
      <c r="D11678" s="152"/>
      <c r="E11678" s="175"/>
      <c r="F11678" s="165"/>
      <c r="G11678" s="165"/>
      <c r="H11678" s="166"/>
    </row>
    <row r="11679" spans="1:9" x14ac:dyDescent="0.3">
      <c r="A11679" s="173"/>
      <c r="B11679" s="174"/>
      <c r="C11679" s="264"/>
      <c r="D11679" s="152"/>
      <c r="E11679" s="175"/>
      <c r="F11679" s="165"/>
      <c r="G11679" s="165"/>
      <c r="H11679" s="166"/>
    </row>
    <row r="11680" spans="1:9" x14ac:dyDescent="0.3">
      <c r="A11680" s="173"/>
      <c r="B11680" s="174"/>
      <c r="C11680" s="264"/>
      <c r="D11680" s="152"/>
      <c r="E11680" s="175"/>
      <c r="F11680" s="165"/>
      <c r="G11680" s="165"/>
      <c r="H11680" s="166"/>
    </row>
    <row r="11681" spans="1:8" x14ac:dyDescent="0.3">
      <c r="A11681" s="173"/>
      <c r="B11681" s="174"/>
      <c r="C11681" s="175"/>
      <c r="D11681" s="152"/>
      <c r="E11681" s="175"/>
      <c r="F11681" s="165"/>
      <c r="G11681" s="165"/>
      <c r="H11681" s="166"/>
    </row>
    <row r="11682" spans="1:8" x14ac:dyDescent="0.3">
      <c r="A11682" s="173"/>
      <c r="B11682" s="174"/>
      <c r="C11682" s="175"/>
      <c r="D11682" s="152"/>
      <c r="E11682" s="175"/>
      <c r="F11682" s="165"/>
      <c r="G11682" s="165"/>
      <c r="H11682" s="166"/>
    </row>
    <row r="11683" spans="1:8" x14ac:dyDescent="0.3">
      <c r="A11683" s="27"/>
      <c r="B11683" s="174"/>
      <c r="C11683" s="24"/>
      <c r="D11683" s="152"/>
      <c r="E11683" s="175"/>
      <c r="F11683" s="175"/>
      <c r="G11683" s="162"/>
      <c r="H11683" s="154"/>
    </row>
    <row r="11684" spans="1:8" x14ac:dyDescent="0.3">
      <c r="A11684" s="27"/>
      <c r="B11684" s="174"/>
      <c r="C11684" s="24"/>
      <c r="D11684" s="152"/>
      <c r="E11684" s="25"/>
      <c r="F11684" s="175"/>
      <c r="G11684" s="162"/>
      <c r="H11684" s="154"/>
    </row>
    <row r="11685" spans="1:8" x14ac:dyDescent="0.3">
      <c r="A11685" s="27"/>
      <c r="B11685" s="28"/>
      <c r="C11685" s="24"/>
      <c r="D11685" s="152"/>
      <c r="E11685" s="25"/>
      <c r="F11685" s="175"/>
      <c r="G11685" s="162"/>
      <c r="H11685" s="154"/>
    </row>
    <row r="11686" spans="1:8" x14ac:dyDescent="0.3">
      <c r="A11686" s="27"/>
      <c r="B11686" s="28"/>
      <c r="C11686" s="24"/>
      <c r="D11686" s="25"/>
      <c r="E11686" s="25"/>
      <c r="F11686" s="25"/>
      <c r="G11686" s="28"/>
      <c r="H11686" s="32"/>
    </row>
    <row r="11687" spans="1:8" ht="15.6" x14ac:dyDescent="0.3">
      <c r="A11687" s="448" t="s">
        <v>45</v>
      </c>
      <c r="B11687" s="449"/>
      <c r="C11687" s="24"/>
      <c r="D11687" s="25"/>
      <c r="E11687" s="25"/>
      <c r="F11687" s="447" t="s">
        <v>46</v>
      </c>
      <c r="G11687" s="447"/>
      <c r="H11687" s="66">
        <v>62000</v>
      </c>
    </row>
    <row r="11688" spans="1:8" ht="15.6" x14ac:dyDescent="0.3">
      <c r="A11688" s="497" t="s">
        <v>1902</v>
      </c>
      <c r="B11688" s="498"/>
      <c r="C11688" s="498"/>
      <c r="D11688" s="498"/>
      <c r="E11688" s="498"/>
      <c r="F11688" s="447" t="s">
        <v>47</v>
      </c>
      <c r="G11688" s="447"/>
      <c r="H11688" s="66">
        <f>H11687*9%</f>
        <v>5580</v>
      </c>
    </row>
    <row r="11689" spans="1:8" ht="15.6" x14ac:dyDescent="0.3">
      <c r="A11689" s="27"/>
      <c r="B11689" s="28"/>
      <c r="C11689" s="24"/>
      <c r="D11689" s="25"/>
      <c r="E11689" s="25"/>
      <c r="F11689" s="447" t="s">
        <v>48</v>
      </c>
      <c r="G11689" s="447"/>
      <c r="H11689" s="66">
        <f>H11688</f>
        <v>5580</v>
      </c>
    </row>
    <row r="11690" spans="1:8" ht="15.6" x14ac:dyDescent="0.3">
      <c r="A11690" s="448" t="s">
        <v>49</v>
      </c>
      <c r="B11690" s="449"/>
      <c r="C11690" s="24"/>
      <c r="D11690" s="25"/>
      <c r="E11690" s="25"/>
      <c r="F11690" s="447" t="s">
        <v>50</v>
      </c>
      <c r="G11690" s="447"/>
      <c r="H11690" s="66">
        <v>73160</v>
      </c>
    </row>
    <row r="11691" spans="1:8" ht="15.6" x14ac:dyDescent="0.3">
      <c r="A11691" s="260"/>
      <c r="B11691" s="177"/>
      <c r="C11691" s="24"/>
      <c r="D11691" s="25"/>
      <c r="E11691" s="25"/>
      <c r="F11691" s="26"/>
      <c r="G11691" s="26"/>
      <c r="H11691" s="66"/>
    </row>
    <row r="11692" spans="1:8" ht="27" x14ac:dyDescent="0.3">
      <c r="A11692" s="29" t="s">
        <v>22</v>
      </c>
      <c r="B11692" s="30" t="s">
        <v>51</v>
      </c>
      <c r="C11692" s="31" t="s">
        <v>24</v>
      </c>
      <c r="D11692" s="31" t="s">
        <v>25</v>
      </c>
      <c r="E11692" s="528" t="s">
        <v>52</v>
      </c>
      <c r="F11692" s="528"/>
      <c r="G11692" s="28"/>
      <c r="H11692" s="32"/>
    </row>
    <row r="11693" spans="1:8" x14ac:dyDescent="0.3">
      <c r="A11693" s="33">
        <v>0.18</v>
      </c>
      <c r="B11693" s="34">
        <f>H11687</f>
        <v>62000</v>
      </c>
      <c r="C11693" s="240">
        <f>H11688</f>
        <v>5580</v>
      </c>
      <c r="D11693" s="240">
        <f>H11689</f>
        <v>5580</v>
      </c>
      <c r="E11693" s="529">
        <f>C11693+D11693</f>
        <v>11160</v>
      </c>
      <c r="F11693" s="530"/>
      <c r="G11693" s="28"/>
      <c r="H11693" s="32"/>
    </row>
    <row r="11694" spans="1:8" x14ac:dyDescent="0.3">
      <c r="A11694" s="452" t="s">
        <v>1903</v>
      </c>
      <c r="B11694" s="453"/>
      <c r="C11694" s="453"/>
      <c r="D11694" s="453"/>
      <c r="E11694" s="453"/>
      <c r="F11694" s="453"/>
      <c r="G11694" s="453"/>
      <c r="H11694" s="454"/>
    </row>
    <row r="11695" spans="1:8" ht="15.6" x14ac:dyDescent="0.3">
      <c r="A11695" s="455" t="s">
        <v>53</v>
      </c>
      <c r="B11695" s="456"/>
      <c r="C11695" s="456"/>
      <c r="D11695" s="117"/>
      <c r="E11695" s="458" t="s">
        <v>54</v>
      </c>
      <c r="F11695" s="459"/>
      <c r="G11695" s="459"/>
      <c r="H11695" s="460"/>
    </row>
    <row r="11696" spans="1:8" x14ac:dyDescent="0.3">
      <c r="A11696" s="100" t="s">
        <v>55</v>
      </c>
      <c r="B11696" s="101"/>
      <c r="C11696" s="101"/>
      <c r="D11696" s="102"/>
      <c r="E11696" s="39"/>
      <c r="F11696" s="25"/>
      <c r="G11696" s="28"/>
      <c r="H11696" s="32"/>
    </row>
    <row r="11697" spans="1:8" x14ac:dyDescent="0.3">
      <c r="A11697" s="461" t="s">
        <v>56</v>
      </c>
      <c r="B11697" s="462"/>
      <c r="C11697" s="462"/>
      <c r="D11697" s="463"/>
      <c r="E11697" s="39"/>
      <c r="F11697" s="25"/>
      <c r="G11697" s="28"/>
      <c r="H11697" s="32"/>
    </row>
    <row r="11698" spans="1:8" x14ac:dyDescent="0.3">
      <c r="A11698" s="461" t="s">
        <v>57</v>
      </c>
      <c r="B11698" s="462"/>
      <c r="C11698" s="462"/>
      <c r="D11698" s="463"/>
      <c r="E11698" s="25"/>
      <c r="F11698" s="25"/>
      <c r="G11698" s="28"/>
      <c r="H11698" s="32"/>
    </row>
    <row r="11699" spans="1:8" ht="15.6" x14ac:dyDescent="0.3">
      <c r="A11699" s="464" t="s">
        <v>58</v>
      </c>
      <c r="B11699" s="465"/>
      <c r="C11699" s="465"/>
      <c r="D11699" s="510"/>
      <c r="E11699" s="466" t="s">
        <v>59</v>
      </c>
      <c r="F11699" s="467"/>
      <c r="G11699" s="467"/>
      <c r="H11699" s="468"/>
    </row>
    <row r="11703" spans="1:8" ht="44.4" x14ac:dyDescent="0.7">
      <c r="A11703" s="469" t="s">
        <v>0</v>
      </c>
      <c r="B11703" s="470"/>
      <c r="C11703" s="470"/>
      <c r="D11703" s="470"/>
      <c r="E11703" s="471" t="s">
        <v>1901</v>
      </c>
      <c r="F11703" s="472"/>
      <c r="G11703" s="472"/>
      <c r="H11703" s="473"/>
    </row>
    <row r="11704" spans="1:8" ht="20.399999999999999" x14ac:dyDescent="0.35">
      <c r="A11704" s="1"/>
      <c r="B11704" s="476" t="s">
        <v>2</v>
      </c>
      <c r="C11704" s="476"/>
      <c r="D11704" s="476"/>
      <c r="E11704" s="474"/>
      <c r="F11704" s="474"/>
      <c r="G11704" s="474"/>
      <c r="H11704" s="475"/>
    </row>
    <row r="11705" spans="1:8" x14ac:dyDescent="0.3">
      <c r="A11705" s="477" t="s">
        <v>3</v>
      </c>
      <c r="B11705" s="511"/>
      <c r="C11705" s="136"/>
      <c r="D11705" s="499" t="s">
        <v>4</v>
      </c>
      <c r="E11705" s="499"/>
      <c r="F11705" s="235"/>
      <c r="G11705" s="137" t="s">
        <v>134</v>
      </c>
      <c r="H11705" s="120"/>
    </row>
    <row r="11706" spans="1:8" ht="15.6" x14ac:dyDescent="0.3">
      <c r="A11706" s="4" t="s">
        <v>6</v>
      </c>
      <c r="B11706" s="5"/>
      <c r="C11706" s="512" t="s">
        <v>7</v>
      </c>
      <c r="D11706" s="513"/>
      <c r="E11706" s="482">
        <v>253</v>
      </c>
      <c r="F11706" s="482"/>
      <c r="G11706" s="7" t="s">
        <v>8</v>
      </c>
      <c r="H11706" s="9" t="s">
        <v>1887</v>
      </c>
    </row>
    <row r="11707" spans="1:8" ht="15.6" x14ac:dyDescent="0.3">
      <c r="A11707" s="514" t="s">
        <v>1894</v>
      </c>
      <c r="B11707" s="515"/>
      <c r="C11707" s="516" t="s">
        <v>10</v>
      </c>
      <c r="D11707" s="481"/>
      <c r="E11707" s="482"/>
      <c r="F11707" s="482"/>
      <c r="G11707" s="7" t="s">
        <v>8</v>
      </c>
      <c r="H11707" s="9"/>
    </row>
    <row r="11708" spans="1:8" ht="15" x14ac:dyDescent="0.3">
      <c r="A11708" s="517" t="s">
        <v>1895</v>
      </c>
      <c r="B11708" s="518"/>
      <c r="C11708" s="484" t="s">
        <v>12</v>
      </c>
      <c r="D11708" s="519"/>
      <c r="E11708" s="520"/>
      <c r="F11708" s="520"/>
      <c r="G11708" s="10" t="s">
        <v>8</v>
      </c>
      <c r="H11708" s="11"/>
    </row>
    <row r="11709" spans="1:8" ht="15.6" x14ac:dyDescent="0.3">
      <c r="A11709" s="517" t="s">
        <v>1896</v>
      </c>
      <c r="B11709" s="518"/>
      <c r="C11709" s="521" t="s">
        <v>15</v>
      </c>
      <c r="D11709" s="522"/>
      <c r="E11709" s="523" t="s">
        <v>1893</v>
      </c>
      <c r="F11709" s="524"/>
      <c r="G11709" s="524"/>
      <c r="H11709" s="6"/>
    </row>
    <row r="11710" spans="1:8" ht="15.6" x14ac:dyDescent="0.3">
      <c r="A11710" s="525" t="s">
        <v>1897</v>
      </c>
      <c r="B11710" s="526"/>
      <c r="C11710" s="230"/>
      <c r="D11710" s="231"/>
      <c r="E11710" s="232"/>
      <c r="F11710" s="233"/>
      <c r="G11710" s="233"/>
      <c r="H11710" s="231"/>
    </row>
    <row r="11711" spans="1:8" ht="15" x14ac:dyDescent="0.3">
      <c r="A11711" s="527" t="s">
        <v>17</v>
      </c>
      <c r="B11711" s="505" t="s">
        <v>18</v>
      </c>
      <c r="C11711" s="494" t="s">
        <v>19</v>
      </c>
      <c r="D11711" s="494" t="s">
        <v>20</v>
      </c>
      <c r="E11711" s="494" t="s">
        <v>21</v>
      </c>
      <c r="F11711" s="494" t="s">
        <v>22</v>
      </c>
      <c r="G11711" s="494"/>
      <c r="H11711" s="492" t="s">
        <v>23</v>
      </c>
    </row>
    <row r="11712" spans="1:8" ht="27.6" x14ac:dyDescent="0.3">
      <c r="A11712" s="492"/>
      <c r="B11712" s="494"/>
      <c r="C11712" s="494"/>
      <c r="D11712" s="494"/>
      <c r="E11712" s="494"/>
      <c r="F11712" s="53" t="s">
        <v>24</v>
      </c>
      <c r="G11712" s="53" t="s">
        <v>25</v>
      </c>
      <c r="H11712" s="492"/>
    </row>
    <row r="11713" spans="1:8" x14ac:dyDescent="0.3">
      <c r="A11713" s="57">
        <v>1</v>
      </c>
      <c r="B11713" s="60" t="s">
        <v>1899</v>
      </c>
      <c r="C11713" s="57">
        <v>1</v>
      </c>
      <c r="D11713" s="434">
        <v>998719</v>
      </c>
      <c r="E11713" s="185">
        <v>1500</v>
      </c>
      <c r="F11713" s="93">
        <f t="shared" ref="F11713:F11714" si="339">E11713*C11713*9%</f>
        <v>135</v>
      </c>
      <c r="G11713" s="93">
        <f t="shared" ref="G11713:G11714" si="340">F11713</f>
        <v>135</v>
      </c>
      <c r="H11713" s="62">
        <f t="shared" ref="H11713:H11714" si="341">G11713+F11713+E11713*C11713</f>
        <v>1770</v>
      </c>
    </row>
    <row r="11714" spans="1:8" x14ac:dyDescent="0.3">
      <c r="A11714" s="57">
        <v>2</v>
      </c>
      <c r="B11714" s="60" t="s">
        <v>1900</v>
      </c>
      <c r="C11714" s="188">
        <v>1</v>
      </c>
      <c r="D11714" s="434">
        <v>998719</v>
      </c>
      <c r="E11714" s="57">
        <v>25000</v>
      </c>
      <c r="F11714" s="93">
        <f t="shared" si="339"/>
        <v>2250</v>
      </c>
      <c r="G11714" s="93">
        <f t="shared" si="340"/>
        <v>2250</v>
      </c>
      <c r="H11714" s="62">
        <f t="shared" si="341"/>
        <v>29500</v>
      </c>
    </row>
    <row r="11715" spans="1:8" x14ac:dyDescent="0.3">
      <c r="A11715" s="57"/>
      <c r="B11715" s="237"/>
      <c r="C11715" s="57"/>
      <c r="D11715" s="56"/>
      <c r="E11715" s="57"/>
      <c r="F11715" s="93"/>
      <c r="G11715" s="93"/>
      <c r="H11715" s="62"/>
    </row>
    <row r="11716" spans="1:8" x14ac:dyDescent="0.3">
      <c r="A11716" s="57"/>
      <c r="B11716" s="238"/>
      <c r="C11716" s="57"/>
      <c r="D11716" s="56"/>
      <c r="E11716" s="57"/>
      <c r="F11716" s="58"/>
      <c r="G11716" s="58"/>
      <c r="H11716" s="59"/>
    </row>
    <row r="11717" spans="1:8" x14ac:dyDescent="0.3">
      <c r="A11717" s="57"/>
      <c r="B11717" s="60"/>
      <c r="C11717" s="239"/>
      <c r="D11717" s="56"/>
      <c r="E11717" s="57"/>
      <c r="F11717" s="58"/>
      <c r="G11717" s="58"/>
      <c r="H11717" s="59"/>
    </row>
    <row r="11718" spans="1:8" x14ac:dyDescent="0.3">
      <c r="A11718" s="173"/>
      <c r="B11718" s="174"/>
      <c r="C11718" s="264"/>
      <c r="D11718" s="152"/>
      <c r="E11718" s="175"/>
      <c r="F11718" s="165"/>
      <c r="G11718" s="165"/>
      <c r="H11718" s="166"/>
    </row>
    <row r="11719" spans="1:8" x14ac:dyDescent="0.3">
      <c r="A11719" s="173"/>
      <c r="B11719" s="174"/>
      <c r="C11719" s="264"/>
      <c r="D11719" s="152"/>
      <c r="E11719" s="175"/>
      <c r="F11719" s="165"/>
      <c r="G11719" s="165"/>
      <c r="H11719" s="166"/>
    </row>
    <row r="11720" spans="1:8" x14ac:dyDescent="0.3">
      <c r="A11720" s="173"/>
      <c r="B11720" s="174"/>
      <c r="C11720" s="264"/>
      <c r="D11720" s="152"/>
      <c r="E11720" s="175"/>
      <c r="F11720" s="165"/>
      <c r="G11720" s="165"/>
      <c r="H11720" s="166"/>
    </row>
    <row r="11721" spans="1:8" x14ac:dyDescent="0.3">
      <c r="A11721" s="173"/>
      <c r="B11721" s="174"/>
      <c r="C11721" s="264"/>
      <c r="D11721" s="152"/>
      <c r="E11721" s="175"/>
      <c r="F11721" s="165"/>
      <c r="G11721" s="165"/>
      <c r="H11721" s="166"/>
    </row>
    <row r="11722" spans="1:8" x14ac:dyDescent="0.3">
      <c r="A11722" s="173"/>
      <c r="B11722" s="174"/>
      <c r="C11722" s="264"/>
      <c r="D11722" s="152"/>
      <c r="E11722" s="175"/>
      <c r="F11722" s="165"/>
      <c r="G11722" s="165"/>
      <c r="H11722" s="166"/>
    </row>
    <row r="11723" spans="1:8" x14ac:dyDescent="0.3">
      <c r="A11723" s="173"/>
      <c r="B11723" s="174"/>
      <c r="C11723" s="264"/>
      <c r="D11723" s="152"/>
      <c r="E11723" s="175"/>
      <c r="F11723" s="165"/>
      <c r="G11723" s="165"/>
      <c r="H11723" s="166"/>
    </row>
    <row r="11724" spans="1:8" x14ac:dyDescent="0.3">
      <c r="A11724" s="173"/>
      <c r="B11724" s="174"/>
      <c r="C11724" s="264"/>
      <c r="D11724" s="152"/>
      <c r="E11724" s="175"/>
      <c r="F11724" s="165"/>
      <c r="G11724" s="165"/>
      <c r="H11724" s="166"/>
    </row>
    <row r="11725" spans="1:8" x14ac:dyDescent="0.3">
      <c r="A11725" s="173"/>
      <c r="B11725" s="174"/>
      <c r="C11725" s="264"/>
      <c r="D11725" s="152"/>
      <c r="E11725" s="175"/>
      <c r="F11725" s="165"/>
      <c r="G11725" s="165"/>
      <c r="H11725" s="166"/>
    </row>
    <row r="11726" spans="1:8" x14ac:dyDescent="0.3">
      <c r="A11726" s="173"/>
      <c r="B11726" s="174"/>
      <c r="C11726" s="264"/>
      <c r="D11726" s="152"/>
      <c r="E11726" s="175"/>
      <c r="F11726" s="165"/>
      <c r="G11726" s="165"/>
      <c r="H11726" s="166"/>
    </row>
    <row r="11727" spans="1:8" x14ac:dyDescent="0.3">
      <c r="A11727" s="173"/>
      <c r="B11727" s="174"/>
      <c r="C11727" s="175"/>
      <c r="D11727" s="152"/>
      <c r="E11727" s="175"/>
      <c r="F11727" s="165"/>
      <c r="G11727" s="165"/>
      <c r="H11727" s="166"/>
    </row>
    <row r="11728" spans="1:8" x14ac:dyDescent="0.3">
      <c r="A11728" s="173"/>
      <c r="B11728" s="174"/>
      <c r="C11728" s="175"/>
      <c r="D11728" s="152"/>
      <c r="E11728" s="175"/>
      <c r="F11728" s="165"/>
      <c r="G11728" s="165"/>
      <c r="H11728" s="166"/>
    </row>
    <row r="11729" spans="1:8" x14ac:dyDescent="0.3">
      <c r="A11729" s="27"/>
      <c r="B11729" s="174"/>
      <c r="C11729" s="24"/>
      <c r="D11729" s="152"/>
      <c r="E11729" s="175"/>
      <c r="F11729" s="175"/>
      <c r="G11729" s="162"/>
      <c r="H11729" s="154"/>
    </row>
    <row r="11730" spans="1:8" x14ac:dyDescent="0.3">
      <c r="A11730" s="27"/>
      <c r="B11730" s="174"/>
      <c r="C11730" s="24"/>
      <c r="D11730" s="152"/>
      <c r="E11730" s="25"/>
      <c r="F11730" s="175"/>
      <c r="G11730" s="162"/>
      <c r="H11730" s="154"/>
    </row>
    <row r="11731" spans="1:8" x14ac:dyDescent="0.3">
      <c r="A11731" s="27"/>
      <c r="B11731" s="28"/>
      <c r="C11731" s="24"/>
      <c r="D11731" s="152"/>
      <c r="E11731" s="25"/>
      <c r="F11731" s="175"/>
      <c r="G11731" s="162"/>
      <c r="H11731" s="154"/>
    </row>
    <row r="11732" spans="1:8" x14ac:dyDescent="0.3">
      <c r="A11732" s="27"/>
      <c r="B11732" s="28"/>
      <c r="C11732" s="24"/>
      <c r="D11732" s="25"/>
      <c r="E11732" s="25"/>
      <c r="F11732" s="25"/>
      <c r="G11732" s="28"/>
      <c r="H11732" s="32"/>
    </row>
    <row r="11733" spans="1:8" ht="15.6" x14ac:dyDescent="0.3">
      <c r="A11733" s="448" t="s">
        <v>45</v>
      </c>
      <c r="B11733" s="449"/>
      <c r="C11733" s="24"/>
      <c r="D11733" s="25"/>
      <c r="E11733" s="25"/>
      <c r="F11733" s="447" t="s">
        <v>46</v>
      </c>
      <c r="G11733" s="447"/>
      <c r="H11733" s="66">
        <v>26500</v>
      </c>
    </row>
    <row r="11734" spans="1:8" ht="15.6" x14ac:dyDescent="0.3">
      <c r="A11734" s="497" t="s">
        <v>1904</v>
      </c>
      <c r="B11734" s="498"/>
      <c r="C11734" s="498"/>
      <c r="D11734" s="498"/>
      <c r="E11734" s="498"/>
      <c r="F11734" s="447" t="s">
        <v>47</v>
      </c>
      <c r="G11734" s="447"/>
      <c r="H11734" s="66">
        <f>H11733*9%</f>
        <v>2385</v>
      </c>
    </row>
    <row r="11735" spans="1:8" ht="15.6" x14ac:dyDescent="0.3">
      <c r="A11735" s="27"/>
      <c r="B11735" s="28"/>
      <c r="C11735" s="24"/>
      <c r="D11735" s="25"/>
      <c r="E11735" s="25"/>
      <c r="F11735" s="447" t="s">
        <v>48</v>
      </c>
      <c r="G11735" s="447"/>
      <c r="H11735" s="66">
        <f>H11734</f>
        <v>2385</v>
      </c>
    </row>
    <row r="11736" spans="1:8" ht="15.6" x14ac:dyDescent="0.3">
      <c r="A11736" s="448" t="s">
        <v>49</v>
      </c>
      <c r="B11736" s="449"/>
      <c r="C11736" s="24"/>
      <c r="D11736" s="25"/>
      <c r="E11736" s="25"/>
      <c r="F11736" s="447" t="s">
        <v>50</v>
      </c>
      <c r="G11736" s="447"/>
      <c r="H11736" s="66">
        <v>31270</v>
      </c>
    </row>
    <row r="11737" spans="1:8" ht="15.6" x14ac:dyDescent="0.3">
      <c r="A11737" s="260"/>
      <c r="B11737" s="177"/>
      <c r="C11737" s="24"/>
      <c r="D11737" s="25"/>
      <c r="E11737" s="25"/>
      <c r="F11737" s="26"/>
      <c r="G11737" s="26"/>
      <c r="H11737" s="66"/>
    </row>
    <row r="11738" spans="1:8" ht="27" x14ac:dyDescent="0.3">
      <c r="A11738" s="29" t="s">
        <v>22</v>
      </c>
      <c r="B11738" s="30" t="s">
        <v>51</v>
      </c>
      <c r="C11738" s="31" t="s">
        <v>24</v>
      </c>
      <c r="D11738" s="31" t="s">
        <v>25</v>
      </c>
      <c r="E11738" s="528" t="s">
        <v>52</v>
      </c>
      <c r="F11738" s="528"/>
      <c r="G11738" s="28"/>
      <c r="H11738" s="32"/>
    </row>
    <row r="11739" spans="1:8" x14ac:dyDescent="0.3">
      <c r="A11739" s="33">
        <v>0.18</v>
      </c>
      <c r="B11739" s="34">
        <f>H11733</f>
        <v>26500</v>
      </c>
      <c r="C11739" s="240">
        <f>H11734</f>
        <v>2385</v>
      </c>
      <c r="D11739" s="240">
        <f>H11735</f>
        <v>2385</v>
      </c>
      <c r="E11739" s="529">
        <f>C11739+D11739</f>
        <v>4770</v>
      </c>
      <c r="F11739" s="530"/>
      <c r="G11739" s="28"/>
      <c r="H11739" s="32"/>
    </row>
    <row r="11740" spans="1:8" x14ac:dyDescent="0.3">
      <c r="A11740" s="452" t="s">
        <v>1905</v>
      </c>
      <c r="B11740" s="453"/>
      <c r="C11740" s="453"/>
      <c r="D11740" s="453"/>
      <c r="E11740" s="453"/>
      <c r="F11740" s="453"/>
      <c r="G11740" s="453"/>
      <c r="H11740" s="454"/>
    </row>
    <row r="11741" spans="1:8" ht="15.6" x14ac:dyDescent="0.3">
      <c r="A11741" s="455" t="s">
        <v>53</v>
      </c>
      <c r="B11741" s="456"/>
      <c r="C11741" s="456"/>
      <c r="D11741" s="117"/>
      <c r="E11741" s="458" t="s">
        <v>54</v>
      </c>
      <c r="F11741" s="459"/>
      <c r="G11741" s="459"/>
      <c r="H11741" s="460"/>
    </row>
    <row r="11742" spans="1:8" x14ac:dyDescent="0.3">
      <c r="A11742" s="100" t="s">
        <v>55</v>
      </c>
      <c r="B11742" s="101"/>
      <c r="C11742" s="101"/>
      <c r="D11742" s="102"/>
      <c r="E11742" s="39"/>
      <c r="F11742" s="25"/>
      <c r="G11742" s="28"/>
      <c r="H11742" s="32"/>
    </row>
    <row r="11743" spans="1:8" x14ac:dyDescent="0.3">
      <c r="A11743" s="461" t="s">
        <v>56</v>
      </c>
      <c r="B11743" s="462"/>
      <c r="C11743" s="462"/>
      <c r="D11743" s="463"/>
      <c r="E11743" s="39"/>
      <c r="F11743" s="25"/>
      <c r="G11743" s="28"/>
      <c r="H11743" s="32"/>
    </row>
    <row r="11744" spans="1:8" x14ac:dyDescent="0.3">
      <c r="A11744" s="461" t="s">
        <v>57</v>
      </c>
      <c r="B11744" s="462"/>
      <c r="C11744" s="462"/>
      <c r="D11744" s="463"/>
      <c r="E11744" s="25"/>
      <c r="F11744" s="25"/>
      <c r="G11744" s="28"/>
      <c r="H11744" s="32"/>
    </row>
    <row r="11745" spans="1:8" ht="15.6" x14ac:dyDescent="0.3">
      <c r="A11745" s="464" t="s">
        <v>58</v>
      </c>
      <c r="B11745" s="465"/>
      <c r="C11745" s="465"/>
      <c r="D11745" s="510"/>
      <c r="E11745" s="466" t="s">
        <v>59</v>
      </c>
      <c r="F11745" s="467"/>
      <c r="G11745" s="467"/>
      <c r="H11745" s="468"/>
    </row>
    <row r="11750" spans="1:8" ht="44.4" x14ac:dyDescent="0.7">
      <c r="A11750" s="469" t="s">
        <v>0</v>
      </c>
      <c r="B11750" s="470"/>
      <c r="C11750" s="470"/>
      <c r="D11750" s="470"/>
      <c r="E11750" s="471" t="s">
        <v>92</v>
      </c>
      <c r="F11750" s="472"/>
      <c r="G11750" s="472"/>
      <c r="H11750" s="473"/>
    </row>
    <row r="11751" spans="1:8" ht="20.399999999999999" x14ac:dyDescent="0.35">
      <c r="A11751" s="1"/>
      <c r="B11751" s="476" t="s">
        <v>2</v>
      </c>
      <c r="C11751" s="476"/>
      <c r="D11751" s="476"/>
      <c r="E11751" s="474"/>
      <c r="F11751" s="474"/>
      <c r="G11751" s="474"/>
      <c r="H11751" s="475"/>
    </row>
    <row r="11752" spans="1:8" x14ac:dyDescent="0.3">
      <c r="A11752" s="477" t="s">
        <v>3</v>
      </c>
      <c r="B11752" s="478"/>
      <c r="C11752" s="136"/>
      <c r="D11752" s="499" t="s">
        <v>4</v>
      </c>
      <c r="E11752" s="499"/>
      <c r="F11752" s="137"/>
      <c r="G11752" s="575" t="s">
        <v>134</v>
      </c>
      <c r="H11752" s="576"/>
    </row>
    <row r="11753" spans="1:8" ht="15.6" x14ac:dyDescent="0.3">
      <c r="A11753" s="138" t="s">
        <v>6</v>
      </c>
      <c r="B11753" s="5"/>
      <c r="C11753" s="481" t="s">
        <v>7</v>
      </c>
      <c r="D11753" s="481"/>
      <c r="E11753" s="482">
        <v>254</v>
      </c>
      <c r="F11753" s="482"/>
      <c r="G11753" s="7" t="s">
        <v>8</v>
      </c>
      <c r="H11753" s="8" t="s">
        <v>1906</v>
      </c>
    </row>
    <row r="11754" spans="1:8" ht="15.6" x14ac:dyDescent="0.3">
      <c r="A11754" s="514" t="s">
        <v>231</v>
      </c>
      <c r="B11754" s="515"/>
      <c r="C11754" s="481" t="s">
        <v>10</v>
      </c>
      <c r="D11754" s="481"/>
      <c r="E11754" s="482"/>
      <c r="F11754" s="482"/>
      <c r="G11754" s="7" t="s">
        <v>8</v>
      </c>
      <c r="H11754" s="6"/>
    </row>
    <row r="11755" spans="1:8" ht="15" x14ac:dyDescent="0.3">
      <c r="A11755" s="517" t="s">
        <v>232</v>
      </c>
      <c r="B11755" s="518"/>
      <c r="C11755" s="519" t="s">
        <v>12</v>
      </c>
      <c r="D11755" s="519"/>
      <c r="E11755" s="564"/>
      <c r="F11755" s="565"/>
      <c r="G11755" s="10" t="s">
        <v>8</v>
      </c>
      <c r="H11755" s="109"/>
    </row>
    <row r="11756" spans="1:8" ht="15.6" x14ac:dyDescent="0.3">
      <c r="A11756" s="517" t="s">
        <v>233</v>
      </c>
      <c r="B11756" s="518"/>
      <c r="C11756" s="481" t="s">
        <v>15</v>
      </c>
      <c r="D11756" s="481"/>
      <c r="E11756" s="566" t="s">
        <v>234</v>
      </c>
      <c r="F11756" s="567"/>
      <c r="G11756" s="567"/>
      <c r="H11756" s="568"/>
    </row>
    <row r="11757" spans="1:8" ht="15.6" x14ac:dyDescent="0.3">
      <c r="A11757" s="12" t="s">
        <v>13</v>
      </c>
      <c r="B11757" s="13" t="s">
        <v>14</v>
      </c>
      <c r="C11757" s="569"/>
      <c r="D11757" s="570"/>
      <c r="E11757" s="570"/>
      <c r="F11757" s="570"/>
      <c r="G11757" s="570"/>
      <c r="H11757" s="571"/>
    </row>
    <row r="11758" spans="1:8" ht="15" x14ac:dyDescent="0.3">
      <c r="A11758" s="492" t="s">
        <v>17</v>
      </c>
      <c r="B11758" s="494" t="s">
        <v>18</v>
      </c>
      <c r="C11758" s="494" t="s">
        <v>19</v>
      </c>
      <c r="D11758" s="494" t="s">
        <v>20</v>
      </c>
      <c r="E11758" s="494" t="s">
        <v>21</v>
      </c>
      <c r="F11758" s="494" t="s">
        <v>22</v>
      </c>
      <c r="G11758" s="494"/>
      <c r="H11758" s="492" t="s">
        <v>23</v>
      </c>
    </row>
    <row r="11759" spans="1:8" ht="27.6" x14ac:dyDescent="0.3">
      <c r="A11759" s="492"/>
      <c r="B11759" s="494"/>
      <c r="C11759" s="494"/>
      <c r="D11759" s="494"/>
      <c r="E11759" s="494"/>
      <c r="F11759" s="53" t="s">
        <v>24</v>
      </c>
      <c r="G11759" s="53" t="s">
        <v>25</v>
      </c>
      <c r="H11759" s="492"/>
    </row>
    <row r="11760" spans="1:8" x14ac:dyDescent="0.3">
      <c r="A11760" s="57">
        <v>1</v>
      </c>
      <c r="B11760" s="113" t="s">
        <v>1917</v>
      </c>
      <c r="C11760" s="57">
        <v>1</v>
      </c>
      <c r="D11760" s="171">
        <v>998719</v>
      </c>
      <c r="E11760" s="57">
        <v>5000</v>
      </c>
      <c r="F11760" s="58">
        <f>C11760*E11760*9%</f>
        <v>450</v>
      </c>
      <c r="G11760" s="58">
        <f>C11760*E11760*9%</f>
        <v>450</v>
      </c>
      <c r="H11760" s="59">
        <f>C11760*E11760+F11760+G11760</f>
        <v>5900</v>
      </c>
    </row>
    <row r="11761" spans="1:8" x14ac:dyDescent="0.3">
      <c r="A11761" s="57"/>
      <c r="B11761" s="60"/>
      <c r="C11761" s="57"/>
      <c r="D11761" s="56"/>
      <c r="E11761" s="57"/>
      <c r="F11761" s="58"/>
      <c r="G11761" s="58"/>
      <c r="H11761" s="59"/>
    </row>
    <row r="11762" spans="1:8" x14ac:dyDescent="0.3">
      <c r="A11762" s="55"/>
      <c r="B11762" s="63"/>
      <c r="C11762" s="55"/>
      <c r="D11762" s="56"/>
      <c r="E11762" s="55"/>
      <c r="F11762" s="58"/>
      <c r="G11762" s="58"/>
      <c r="H11762" s="59"/>
    </row>
    <row r="11763" spans="1:8" x14ac:dyDescent="0.3">
      <c r="A11763" s="90"/>
      <c r="B11763" s="132"/>
      <c r="C11763" s="24"/>
      <c r="D11763" s="164"/>
      <c r="E11763" s="24"/>
      <c r="F11763" s="165"/>
      <c r="G11763" s="165"/>
      <c r="H11763" s="166"/>
    </row>
    <row r="11764" spans="1:8" x14ac:dyDescent="0.3">
      <c r="A11764" s="90"/>
      <c r="B11764" s="132"/>
      <c r="C11764" s="24"/>
      <c r="D11764" s="164"/>
      <c r="E11764" s="24"/>
      <c r="F11764" s="165"/>
      <c r="G11764" s="165"/>
      <c r="H11764" s="166"/>
    </row>
    <row r="11765" spans="1:8" x14ac:dyDescent="0.3">
      <c r="A11765" s="90"/>
      <c r="B11765" s="132"/>
      <c r="C11765" s="24"/>
      <c r="D11765" s="164"/>
      <c r="E11765" s="24"/>
      <c r="F11765" s="165"/>
      <c r="G11765" s="165"/>
      <c r="H11765" s="166"/>
    </row>
    <row r="11766" spans="1:8" x14ac:dyDescent="0.3">
      <c r="A11766" s="27"/>
      <c r="B11766" s="132"/>
      <c r="C11766" s="24"/>
      <c r="D11766" s="25"/>
      <c r="E11766" s="25"/>
      <c r="F11766" s="165"/>
      <c r="G11766" s="165"/>
      <c r="H11766" s="166"/>
    </row>
    <row r="11767" spans="1:8" x14ac:dyDescent="0.3">
      <c r="A11767" s="27"/>
      <c r="B11767" s="28"/>
      <c r="C11767" s="24"/>
      <c r="D11767" s="25"/>
      <c r="E11767" s="25"/>
      <c r="F11767" s="165"/>
      <c r="G11767" s="165"/>
      <c r="H11767" s="166"/>
    </row>
    <row r="11768" spans="1:8" x14ac:dyDescent="0.3">
      <c r="A11768" s="27"/>
      <c r="B11768" s="28"/>
      <c r="C11768" s="24"/>
      <c r="D11768" s="25"/>
      <c r="E11768" s="25"/>
      <c r="F11768" s="165"/>
      <c r="G11768" s="165"/>
      <c r="H11768" s="166"/>
    </row>
    <row r="11769" spans="1:8" x14ac:dyDescent="0.3">
      <c r="A11769" s="27"/>
      <c r="B11769" s="28"/>
      <c r="C11769" s="24"/>
      <c r="D11769" s="25"/>
      <c r="E11769" s="25"/>
      <c r="F11769" s="165"/>
      <c r="G11769" s="165"/>
      <c r="H11769" s="166"/>
    </row>
    <row r="11770" spans="1:8" x14ac:dyDescent="0.3">
      <c r="A11770" s="27"/>
      <c r="B11770" s="28"/>
      <c r="C11770" s="24"/>
      <c r="D11770" s="25"/>
      <c r="E11770" s="25"/>
      <c r="F11770" s="165"/>
      <c r="G11770" s="165"/>
      <c r="H11770" s="166"/>
    </row>
    <row r="11771" spans="1:8" x14ac:dyDescent="0.3">
      <c r="A11771" s="27"/>
      <c r="B11771" s="28"/>
      <c r="C11771" s="24"/>
      <c r="D11771" s="25"/>
      <c r="E11771" s="25"/>
      <c r="F11771" s="165"/>
      <c r="G11771" s="165"/>
      <c r="H11771" s="166"/>
    </row>
    <row r="11772" spans="1:8" x14ac:dyDescent="0.3">
      <c r="A11772" s="27"/>
      <c r="B11772" s="28"/>
      <c r="C11772" s="24"/>
      <c r="D11772" s="25"/>
      <c r="E11772" s="25"/>
      <c r="F11772" s="28"/>
      <c r="G11772" s="28"/>
      <c r="H11772" s="32"/>
    </row>
    <row r="11773" spans="1:8" x14ac:dyDescent="0.3">
      <c r="A11773" s="27"/>
      <c r="B11773" s="28"/>
      <c r="C11773" s="24"/>
      <c r="D11773" s="25"/>
      <c r="E11773" s="25"/>
      <c r="F11773" s="28"/>
      <c r="G11773" s="28"/>
      <c r="H11773" s="32"/>
    </row>
    <row r="11774" spans="1:8" x14ac:dyDescent="0.3">
      <c r="A11774" s="27"/>
      <c r="B11774" s="28"/>
      <c r="C11774" s="24"/>
      <c r="D11774" s="25"/>
      <c r="E11774" s="25"/>
      <c r="F11774" s="28"/>
      <c r="G11774" s="28"/>
      <c r="H11774" s="32"/>
    </row>
    <row r="11775" spans="1:8" x14ac:dyDescent="0.3">
      <c r="A11775" s="27"/>
      <c r="B11775" s="28"/>
      <c r="C11775" s="24"/>
      <c r="D11775" s="25"/>
      <c r="E11775" s="25"/>
      <c r="F11775" s="28"/>
      <c r="G11775" s="28"/>
      <c r="H11775" s="32"/>
    </row>
    <row r="11776" spans="1:8" x14ac:dyDescent="0.3">
      <c r="A11776" s="27"/>
      <c r="B11776" s="28"/>
      <c r="C11776" s="24"/>
      <c r="D11776" s="25"/>
      <c r="E11776" s="25"/>
      <c r="F11776" s="28"/>
      <c r="G11776" s="28"/>
      <c r="H11776" s="32"/>
    </row>
    <row r="11777" spans="1:8" x14ac:dyDescent="0.3">
      <c r="A11777" s="27"/>
      <c r="B11777" s="28"/>
      <c r="C11777" s="24"/>
      <c r="D11777" s="25"/>
      <c r="E11777" s="25"/>
      <c r="F11777" s="28"/>
      <c r="G11777" s="28"/>
      <c r="H11777" s="32"/>
    </row>
    <row r="11778" spans="1:8" x14ac:dyDescent="0.3">
      <c r="A11778" s="27"/>
      <c r="B11778" s="28"/>
      <c r="C11778" s="24"/>
      <c r="D11778" s="25"/>
      <c r="E11778" s="25"/>
      <c r="F11778" s="28"/>
      <c r="G11778" s="28"/>
      <c r="H11778" s="32"/>
    </row>
    <row r="11779" spans="1:8" x14ac:dyDescent="0.3">
      <c r="A11779" s="27"/>
      <c r="B11779" s="28"/>
      <c r="C11779" s="24"/>
      <c r="D11779" s="25"/>
      <c r="E11779" s="25"/>
      <c r="F11779" s="28"/>
      <c r="G11779" s="28"/>
      <c r="H11779" s="32"/>
    </row>
    <row r="11780" spans="1:8" x14ac:dyDescent="0.3">
      <c r="A11780" s="27"/>
      <c r="B11780" s="28"/>
      <c r="C11780" s="24"/>
      <c r="D11780" s="25"/>
      <c r="E11780" s="25"/>
      <c r="F11780" s="28"/>
      <c r="G11780" s="28"/>
      <c r="H11780" s="32"/>
    </row>
    <row r="11781" spans="1:8" x14ac:dyDescent="0.3">
      <c r="A11781" s="27"/>
      <c r="B11781" s="28"/>
      <c r="C11781" s="24"/>
      <c r="D11781" s="25"/>
      <c r="E11781" s="25"/>
      <c r="F11781" s="28"/>
      <c r="G11781" s="28"/>
      <c r="H11781" s="32"/>
    </row>
    <row r="11782" spans="1:8" x14ac:dyDescent="0.3">
      <c r="A11782" s="27"/>
      <c r="B11782" s="28"/>
      <c r="C11782" s="24"/>
      <c r="D11782" s="25"/>
      <c r="E11782" s="25"/>
      <c r="F11782" s="28"/>
      <c r="G11782" s="28"/>
      <c r="H11782" s="32"/>
    </row>
    <row r="11783" spans="1:8" ht="15.6" x14ac:dyDescent="0.3">
      <c r="A11783" s="448" t="s">
        <v>45</v>
      </c>
      <c r="B11783" s="449"/>
      <c r="C11783" s="449"/>
      <c r="D11783" s="25"/>
      <c r="E11783" s="25"/>
      <c r="F11783" s="447" t="s">
        <v>46</v>
      </c>
      <c r="G11783" s="447"/>
      <c r="H11783" s="66">
        <f>(C11760*E11760)+(C11761*E11761)+(C11762*E11762)</f>
        <v>5000</v>
      </c>
    </row>
    <row r="11784" spans="1:8" ht="15.6" x14ac:dyDescent="0.3">
      <c r="A11784" s="497" t="s">
        <v>1907</v>
      </c>
      <c r="B11784" s="498"/>
      <c r="C11784" s="498"/>
      <c r="D11784" s="498"/>
      <c r="E11784" s="498"/>
      <c r="F11784" s="447" t="s">
        <v>47</v>
      </c>
      <c r="G11784" s="447"/>
      <c r="H11784" s="66">
        <f>H11783*9%</f>
        <v>450</v>
      </c>
    </row>
    <row r="11785" spans="1:8" ht="15.6" x14ac:dyDescent="0.3">
      <c r="A11785" s="27"/>
      <c r="B11785" s="28"/>
      <c r="C11785" s="24"/>
      <c r="D11785" s="25"/>
      <c r="E11785" s="25"/>
      <c r="F11785" s="447" t="s">
        <v>48</v>
      </c>
      <c r="G11785" s="447"/>
      <c r="H11785" s="66">
        <f>H11783*9%</f>
        <v>450</v>
      </c>
    </row>
    <row r="11786" spans="1:8" ht="15.6" x14ac:dyDescent="0.3">
      <c r="A11786" s="448" t="s">
        <v>49</v>
      </c>
      <c r="B11786" s="449"/>
      <c r="C11786" s="449"/>
      <c r="D11786" s="449"/>
      <c r="E11786" s="25"/>
      <c r="F11786" s="447" t="s">
        <v>50</v>
      </c>
      <c r="G11786" s="447"/>
      <c r="H11786" s="66">
        <f>SUM(H11783:H11785)</f>
        <v>5900</v>
      </c>
    </row>
    <row r="11787" spans="1:8" ht="27" x14ac:dyDescent="0.3">
      <c r="A11787" s="68" t="s">
        <v>22</v>
      </c>
      <c r="B11787" s="69" t="s">
        <v>51</v>
      </c>
      <c r="C11787" s="70" t="s">
        <v>24</v>
      </c>
      <c r="D11787" s="31" t="s">
        <v>25</v>
      </c>
      <c r="E11787" s="450" t="s">
        <v>52</v>
      </c>
      <c r="F11787" s="450"/>
      <c r="G11787" s="28"/>
      <c r="H11787" s="32"/>
    </row>
    <row r="11788" spans="1:8" x14ac:dyDescent="0.3">
      <c r="A11788" s="72">
        <v>0.18</v>
      </c>
      <c r="B11788" s="73">
        <f>H11783</f>
        <v>5000</v>
      </c>
      <c r="C11788" s="74">
        <f>H11784</f>
        <v>450</v>
      </c>
      <c r="D11788" s="74">
        <f>H11785</f>
        <v>450</v>
      </c>
      <c r="E11788" s="507">
        <f>C11788+D11788</f>
        <v>900</v>
      </c>
      <c r="F11788" s="507"/>
      <c r="G11788" s="74"/>
      <c r="H11788" s="75"/>
    </row>
    <row r="11789" spans="1:8" x14ac:dyDescent="0.3">
      <c r="A11789" s="452" t="s">
        <v>1908</v>
      </c>
      <c r="B11789" s="453"/>
      <c r="C11789" s="453"/>
      <c r="D11789" s="453"/>
      <c r="E11789" s="453"/>
      <c r="F11789" s="453"/>
      <c r="G11789" s="453"/>
      <c r="H11789" s="454"/>
    </row>
    <row r="11790" spans="1:8" ht="15.6" x14ac:dyDescent="0.3">
      <c r="A11790" s="455" t="s">
        <v>53</v>
      </c>
      <c r="B11790" s="456"/>
      <c r="C11790" s="456"/>
      <c r="D11790" s="457"/>
      <c r="E11790" s="458" t="s">
        <v>54</v>
      </c>
      <c r="F11790" s="459"/>
      <c r="G11790" s="459"/>
      <c r="H11790" s="460"/>
    </row>
    <row r="11791" spans="1:8" x14ac:dyDescent="0.3">
      <c r="A11791" s="461" t="s">
        <v>55</v>
      </c>
      <c r="B11791" s="462"/>
      <c r="C11791" s="462"/>
      <c r="D11791" s="463"/>
      <c r="E11791" s="39"/>
      <c r="F11791" s="28"/>
      <c r="G11791" s="28"/>
      <c r="H11791" s="32"/>
    </row>
    <row r="11792" spans="1:8" x14ac:dyDescent="0.3">
      <c r="A11792" s="461" t="s">
        <v>56</v>
      </c>
      <c r="B11792" s="462"/>
      <c r="C11792" s="462"/>
      <c r="D11792" s="463"/>
      <c r="E11792" s="39"/>
      <c r="F11792" s="28"/>
      <c r="G11792" s="28"/>
      <c r="H11792" s="32"/>
    </row>
    <row r="11793" spans="1:8" x14ac:dyDescent="0.3">
      <c r="A11793" s="461" t="s">
        <v>57</v>
      </c>
      <c r="B11793" s="462"/>
      <c r="C11793" s="462"/>
      <c r="D11793" s="463"/>
      <c r="E11793" s="167"/>
      <c r="H11793" s="168"/>
    </row>
    <row r="11794" spans="1:8" ht="15.6" x14ac:dyDescent="0.3">
      <c r="A11794" s="464" t="s">
        <v>58</v>
      </c>
      <c r="B11794" s="465"/>
      <c r="C11794" s="465"/>
      <c r="D11794" s="510"/>
      <c r="E11794" s="466" t="s">
        <v>59</v>
      </c>
      <c r="F11794" s="467"/>
      <c r="G11794" s="467"/>
      <c r="H11794" s="468"/>
    </row>
    <row r="11798" spans="1:8" ht="44.4" x14ac:dyDescent="0.7">
      <c r="A11798" s="469" t="s">
        <v>0</v>
      </c>
      <c r="B11798" s="470"/>
      <c r="C11798" s="470"/>
      <c r="D11798" s="470"/>
      <c r="E11798" s="471" t="s">
        <v>1</v>
      </c>
      <c r="F11798" s="472"/>
      <c r="G11798" s="472"/>
      <c r="H11798" s="473"/>
    </row>
    <row r="11799" spans="1:8" ht="20.399999999999999" x14ac:dyDescent="0.35">
      <c r="A11799" s="1"/>
      <c r="B11799" s="476" t="s">
        <v>2</v>
      </c>
      <c r="C11799" s="476"/>
      <c r="D11799" s="476"/>
      <c r="E11799" s="474"/>
      <c r="F11799" s="474"/>
      <c r="G11799" s="474"/>
      <c r="H11799" s="475"/>
    </row>
    <row r="11800" spans="1:8" x14ac:dyDescent="0.3">
      <c r="A11800" s="477" t="s">
        <v>3</v>
      </c>
      <c r="B11800" s="478"/>
      <c r="C11800" s="136"/>
      <c r="D11800" s="499" t="s">
        <v>4</v>
      </c>
      <c r="E11800" s="499"/>
      <c r="F11800" s="137"/>
      <c r="G11800" s="137" t="s">
        <v>134</v>
      </c>
      <c r="H11800" s="120"/>
    </row>
    <row r="11801" spans="1:8" ht="15.6" x14ac:dyDescent="0.3">
      <c r="A11801" s="4" t="s">
        <v>6</v>
      </c>
      <c r="B11801" s="5"/>
      <c r="C11801" s="481" t="s">
        <v>7</v>
      </c>
      <c r="D11801" s="481"/>
      <c r="E11801" s="482">
        <v>255</v>
      </c>
      <c r="F11801" s="482"/>
      <c r="G11801" s="7" t="s">
        <v>8</v>
      </c>
      <c r="H11801" s="8" t="s">
        <v>1918</v>
      </c>
    </row>
    <row r="11802" spans="1:8" ht="15.6" x14ac:dyDescent="0.3">
      <c r="A11802" s="500" t="s">
        <v>1909</v>
      </c>
      <c r="B11802" s="501"/>
      <c r="C11802" s="481" t="s">
        <v>10</v>
      </c>
      <c r="D11802" s="481"/>
      <c r="E11802" s="482"/>
      <c r="F11802" s="482"/>
      <c r="G11802" s="7" t="s">
        <v>8</v>
      </c>
      <c r="H11802" s="9"/>
    </row>
    <row r="11803" spans="1:8" ht="15.6" x14ac:dyDescent="0.3">
      <c r="A11803" s="500" t="s">
        <v>1910</v>
      </c>
      <c r="B11803" s="501"/>
      <c r="C11803" s="483" t="s">
        <v>12</v>
      </c>
      <c r="D11803" s="484"/>
      <c r="E11803" s="485"/>
      <c r="F11803" s="485"/>
      <c r="G11803" s="10" t="s">
        <v>8</v>
      </c>
      <c r="H11803" s="8"/>
    </row>
    <row r="11804" spans="1:8" ht="15.6" x14ac:dyDescent="0.3">
      <c r="A11804" s="500" t="s">
        <v>1911</v>
      </c>
      <c r="B11804" s="501"/>
      <c r="C11804" s="481" t="s">
        <v>15</v>
      </c>
      <c r="D11804" s="481"/>
      <c r="E11804" s="502" t="s">
        <v>1912</v>
      </c>
      <c r="F11804" s="503"/>
      <c r="G11804" s="503"/>
      <c r="H11804" s="504"/>
    </row>
    <row r="11805" spans="1:8" ht="15.6" x14ac:dyDescent="0.3">
      <c r="A11805" s="255" t="s">
        <v>1913</v>
      </c>
      <c r="B11805" s="256"/>
      <c r="C11805" s="489"/>
      <c r="D11805" s="490"/>
      <c r="E11805" s="490"/>
      <c r="F11805" s="490"/>
      <c r="G11805" s="490"/>
      <c r="H11805" s="491"/>
    </row>
    <row r="11806" spans="1:8" ht="15" x14ac:dyDescent="0.3">
      <c r="A11806" s="492" t="s">
        <v>17</v>
      </c>
      <c r="B11806" s="494" t="s">
        <v>18</v>
      </c>
      <c r="C11806" s="494" t="s">
        <v>19</v>
      </c>
      <c r="D11806" s="495" t="s">
        <v>20</v>
      </c>
      <c r="E11806" s="494" t="s">
        <v>21</v>
      </c>
      <c r="F11806" s="494" t="s">
        <v>22</v>
      </c>
      <c r="G11806" s="494"/>
      <c r="H11806" s="492" t="s">
        <v>23</v>
      </c>
    </row>
    <row r="11807" spans="1:8" ht="27.6" x14ac:dyDescent="0.3">
      <c r="A11807" s="492"/>
      <c r="B11807" s="494"/>
      <c r="C11807" s="494"/>
      <c r="D11807" s="505"/>
      <c r="E11807" s="494"/>
      <c r="F11807" s="53" t="s">
        <v>24</v>
      </c>
      <c r="G11807" s="53" t="s">
        <v>25</v>
      </c>
      <c r="H11807" s="492"/>
    </row>
    <row r="11808" spans="1:8" x14ac:dyDescent="0.3">
      <c r="A11808" s="55">
        <v>1</v>
      </c>
      <c r="B11808" s="127" t="s">
        <v>1914</v>
      </c>
      <c r="C11808" s="55">
        <v>1</v>
      </c>
      <c r="D11808" s="86">
        <v>998719</v>
      </c>
      <c r="E11808" s="55">
        <v>28350</v>
      </c>
      <c r="F11808" s="20">
        <f>E11808*C11808*9%</f>
        <v>2551.5</v>
      </c>
      <c r="G11808" s="20">
        <f>F11808</f>
        <v>2551.5</v>
      </c>
      <c r="H11808" s="55">
        <f t="shared" ref="H11808" si="342">G11808+F11808+E11808*C11808</f>
        <v>33453</v>
      </c>
    </row>
    <row r="11809" spans="1:8" x14ac:dyDescent="0.3">
      <c r="A11809" s="55"/>
      <c r="B11809" s="130"/>
      <c r="C11809" s="57"/>
      <c r="D11809" s="86"/>
      <c r="E11809" s="57"/>
      <c r="F11809" s="55"/>
      <c r="G11809" s="55"/>
      <c r="H11809" s="55"/>
    </row>
    <row r="11810" spans="1:8" x14ac:dyDescent="0.3">
      <c r="A11810" s="55"/>
      <c r="B11810" s="130"/>
      <c r="C11810" s="57"/>
      <c r="D11810" s="297"/>
      <c r="E11810" s="57"/>
      <c r="F11810" s="57"/>
      <c r="G11810" s="57"/>
      <c r="H11810" s="57"/>
    </row>
    <row r="11811" spans="1:8" x14ac:dyDescent="0.3">
      <c r="A11811" s="57"/>
      <c r="B11811" s="84"/>
      <c r="C11811" s="85"/>
      <c r="D11811" s="86"/>
      <c r="E11811" s="87"/>
      <c r="F11811" s="47"/>
      <c r="G11811" s="47"/>
      <c r="H11811" s="47"/>
    </row>
    <row r="11812" spans="1:8" x14ac:dyDescent="0.3">
      <c r="A11812" s="57"/>
      <c r="B11812" s="84"/>
      <c r="C11812" s="85"/>
      <c r="D11812" s="86"/>
      <c r="E11812" s="87"/>
      <c r="F11812" s="58"/>
      <c r="G11812" s="58"/>
      <c r="H11812" s="59"/>
    </row>
    <row r="11813" spans="1:8" x14ac:dyDescent="0.3">
      <c r="A11813" s="57"/>
      <c r="B11813" s="84"/>
      <c r="C11813" s="85"/>
      <c r="D11813" s="86"/>
      <c r="E11813" s="87"/>
      <c r="F11813" s="93"/>
      <c r="G11813" s="58"/>
      <c r="H11813" s="59"/>
    </row>
    <row r="11814" spans="1:8" x14ac:dyDescent="0.3">
      <c r="A11814" s="57"/>
      <c r="B11814" s="84"/>
      <c r="C11814" s="85"/>
      <c r="D11814" s="86"/>
      <c r="E11814" s="87"/>
      <c r="F11814" s="47"/>
      <c r="G11814" s="58"/>
      <c r="H11814" s="47"/>
    </row>
    <row r="11815" spans="1:8" x14ac:dyDescent="0.3">
      <c r="A11815" s="57"/>
      <c r="B11815" s="84"/>
      <c r="C11815" s="85"/>
      <c r="D11815" s="86"/>
      <c r="E11815" s="87"/>
      <c r="F11815" s="47"/>
      <c r="G11815" s="47"/>
      <c r="H11815" s="47"/>
    </row>
    <row r="11816" spans="1:8" x14ac:dyDescent="0.3">
      <c r="A11816" s="178"/>
      <c r="B11816" s="163"/>
      <c r="C11816" s="178"/>
      <c r="D11816" s="178"/>
      <c r="E11816" s="178"/>
      <c r="F11816" s="163"/>
      <c r="G11816" s="163"/>
      <c r="H11816" s="178"/>
    </row>
    <row r="11817" spans="1:8" x14ac:dyDescent="0.3">
      <c r="A11817" s="57"/>
      <c r="B11817" s="84"/>
      <c r="C11817" s="85"/>
      <c r="D11817" s="86"/>
      <c r="E11817" s="87"/>
      <c r="F11817" s="47"/>
      <c r="G11817" s="47"/>
      <c r="H11817" s="47"/>
    </row>
    <row r="11818" spans="1:8" x14ac:dyDescent="0.3">
      <c r="A11818" s="57"/>
      <c r="B11818" s="84"/>
      <c r="C11818" s="85"/>
      <c r="D11818" s="86"/>
      <c r="E11818" s="87"/>
      <c r="F11818" s="47"/>
      <c r="G11818" s="47"/>
      <c r="H11818" s="47"/>
    </row>
    <row r="11819" spans="1:8" x14ac:dyDescent="0.3">
      <c r="A11819" s="57"/>
      <c r="B11819" s="84"/>
      <c r="C11819" s="85"/>
      <c r="D11819" s="86"/>
      <c r="E11819" s="87"/>
      <c r="F11819" s="47"/>
      <c r="G11819" s="47"/>
      <c r="H11819" s="47"/>
    </row>
    <row r="11820" spans="1:8" x14ac:dyDescent="0.3">
      <c r="A11820" s="57"/>
      <c r="B11820" s="84"/>
      <c r="C11820" s="85"/>
      <c r="D11820" s="86"/>
      <c r="E11820" s="87"/>
      <c r="F11820" s="47"/>
      <c r="G11820" s="47"/>
      <c r="H11820" s="47"/>
    </row>
    <row r="11821" spans="1:8" x14ac:dyDescent="0.3">
      <c r="A11821" s="57"/>
      <c r="B11821" s="84"/>
      <c r="C11821" s="85"/>
      <c r="D11821" s="86"/>
      <c r="E11821" s="47"/>
      <c r="F11821" s="47"/>
      <c r="G11821" s="47"/>
      <c r="H11821" s="47"/>
    </row>
    <row r="11822" spans="1:8" x14ac:dyDescent="0.3">
      <c r="A11822" s="55"/>
      <c r="B11822" s="84"/>
      <c r="C11822" s="55"/>
      <c r="D11822" s="86"/>
      <c r="E11822" s="47"/>
      <c r="F11822" s="47"/>
      <c r="G11822" s="47"/>
      <c r="H11822" s="47"/>
    </row>
    <row r="11823" spans="1:8" x14ac:dyDescent="0.3">
      <c r="A11823" s="27"/>
      <c r="B11823" s="28"/>
      <c r="C11823" s="24"/>
      <c r="D11823" s="25"/>
      <c r="E11823" s="25"/>
      <c r="F11823" s="28"/>
      <c r="G11823" s="28"/>
      <c r="H11823" s="32"/>
    </row>
    <row r="11824" spans="1:8" ht="15.6" x14ac:dyDescent="0.3">
      <c r="A11824" s="448" t="s">
        <v>45</v>
      </c>
      <c r="B11824" s="449"/>
      <c r="C11824" s="24"/>
      <c r="D11824" s="25"/>
      <c r="E11824" s="25"/>
      <c r="F11824" s="447" t="s">
        <v>46</v>
      </c>
      <c r="G11824" s="447"/>
      <c r="H11824" s="66">
        <f>E11808*C11808</f>
        <v>28350</v>
      </c>
    </row>
    <row r="11825" spans="1:8" ht="15.6" x14ac:dyDescent="0.3">
      <c r="A11825" s="497" t="s">
        <v>1915</v>
      </c>
      <c r="B11825" s="498"/>
      <c r="C11825" s="498"/>
      <c r="D11825" s="498"/>
      <c r="E11825" s="498"/>
      <c r="F11825" s="447" t="s">
        <v>47</v>
      </c>
      <c r="G11825" s="447"/>
      <c r="H11825" s="66">
        <f>H11824*9%</f>
        <v>2551.5</v>
      </c>
    </row>
    <row r="11826" spans="1:8" ht="15.6" x14ac:dyDescent="0.3">
      <c r="A11826" s="27"/>
      <c r="B11826" s="28"/>
      <c r="C11826" s="24"/>
      <c r="D11826" s="25"/>
      <c r="E11826" s="25"/>
      <c r="F11826" s="447" t="s">
        <v>48</v>
      </c>
      <c r="G11826" s="447"/>
      <c r="H11826" s="66">
        <f>H11825</f>
        <v>2551.5</v>
      </c>
    </row>
    <row r="11827" spans="1:8" ht="15.6" x14ac:dyDescent="0.3">
      <c r="A11827" s="64" t="s">
        <v>49</v>
      </c>
      <c r="B11827" s="65"/>
      <c r="C11827" s="24"/>
      <c r="D11827" s="25"/>
      <c r="E11827" s="25"/>
      <c r="F11827" s="447" t="s">
        <v>50</v>
      </c>
      <c r="G11827" s="447"/>
      <c r="H11827" s="66">
        <f>SUM(H11824:H11826)</f>
        <v>33453</v>
      </c>
    </row>
    <row r="11828" spans="1:8" ht="27" x14ac:dyDescent="0.3">
      <c r="A11828" s="68" t="s">
        <v>22</v>
      </c>
      <c r="B11828" s="30" t="s">
        <v>51</v>
      </c>
      <c r="C11828" s="70" t="s">
        <v>24</v>
      </c>
      <c r="D11828" s="31" t="s">
        <v>25</v>
      </c>
      <c r="E11828" s="450" t="s">
        <v>52</v>
      </c>
      <c r="F11828" s="450"/>
      <c r="G11828" s="28"/>
      <c r="H11828" s="32"/>
    </row>
    <row r="11829" spans="1:8" x14ac:dyDescent="0.3">
      <c r="A11829" s="72">
        <v>0.18</v>
      </c>
      <c r="B11829" s="73">
        <f>H11824</f>
        <v>28350</v>
      </c>
      <c r="C11829" s="91">
        <f>H11825</f>
        <v>2551.5</v>
      </c>
      <c r="D11829" s="91">
        <f>H11825</f>
        <v>2551.5</v>
      </c>
      <c r="E11829" s="506">
        <f>C11829+D11829</f>
        <v>5103</v>
      </c>
      <c r="F11829" s="507"/>
      <c r="G11829" s="74"/>
      <c r="H11829" s="75"/>
    </row>
    <row r="11830" spans="1:8" x14ac:dyDescent="0.3">
      <c r="A11830" s="508" t="s">
        <v>1916</v>
      </c>
      <c r="B11830" s="509"/>
      <c r="C11830" s="509"/>
      <c r="D11830" s="509"/>
      <c r="E11830" s="453"/>
      <c r="F11830" s="453"/>
      <c r="G11830" s="453"/>
      <c r="H11830" s="454"/>
    </row>
    <row r="11831" spans="1:8" ht="15.6" x14ac:dyDescent="0.3">
      <c r="A11831" s="455" t="s">
        <v>53</v>
      </c>
      <c r="B11831" s="456"/>
      <c r="C11831" s="456"/>
      <c r="D11831" s="457"/>
      <c r="E11831" s="458" t="s">
        <v>54</v>
      </c>
      <c r="F11831" s="459"/>
      <c r="G11831" s="459"/>
      <c r="H11831" s="460"/>
    </row>
    <row r="11832" spans="1:8" x14ac:dyDescent="0.3">
      <c r="A11832" s="461" t="s">
        <v>55</v>
      </c>
      <c r="B11832" s="462"/>
      <c r="C11832" s="462"/>
      <c r="D11832" s="463"/>
      <c r="E11832" s="39"/>
      <c r="F11832" s="28"/>
      <c r="G11832" s="28"/>
      <c r="H11832" s="32"/>
    </row>
    <row r="11833" spans="1:8" x14ac:dyDescent="0.3">
      <c r="A11833" s="461" t="s">
        <v>56</v>
      </c>
      <c r="B11833" s="462"/>
      <c r="C11833" s="462"/>
      <c r="D11833" s="463"/>
      <c r="E11833" s="39"/>
      <c r="F11833" s="28"/>
      <c r="G11833" s="28"/>
      <c r="H11833" s="32"/>
    </row>
    <row r="11834" spans="1:8" x14ac:dyDescent="0.3">
      <c r="A11834" s="461" t="s">
        <v>57</v>
      </c>
      <c r="B11834" s="462"/>
      <c r="C11834" s="462"/>
      <c r="D11834" s="463"/>
      <c r="E11834" s="39"/>
      <c r="F11834" s="28"/>
      <c r="G11834" s="28"/>
      <c r="H11834" s="32"/>
    </row>
    <row r="11835" spans="1:8" ht="15.6" x14ac:dyDescent="0.3">
      <c r="A11835" s="464" t="s">
        <v>58</v>
      </c>
      <c r="B11835" s="465"/>
      <c r="C11835" s="465"/>
      <c r="D11835" s="465"/>
      <c r="E11835" s="466" t="s">
        <v>59</v>
      </c>
      <c r="F11835" s="467"/>
      <c r="G11835" s="467"/>
      <c r="H11835" s="468"/>
    </row>
    <row r="11839" spans="1:8" ht="44.4" x14ac:dyDescent="0.7">
      <c r="A11839" s="469" t="s">
        <v>0</v>
      </c>
      <c r="B11839" s="470"/>
      <c r="C11839" s="470"/>
      <c r="D11839" s="470"/>
      <c r="E11839" s="471" t="s">
        <v>92</v>
      </c>
      <c r="F11839" s="472"/>
      <c r="G11839" s="472"/>
      <c r="H11839" s="473"/>
    </row>
    <row r="11840" spans="1:8" ht="20.399999999999999" x14ac:dyDescent="0.35">
      <c r="A11840" s="1"/>
      <c r="B11840" s="476" t="s">
        <v>2</v>
      </c>
      <c r="C11840" s="476"/>
      <c r="D11840" s="476"/>
      <c r="E11840" s="474"/>
      <c r="F11840" s="474"/>
      <c r="G11840" s="474"/>
      <c r="H11840" s="475"/>
    </row>
    <row r="11841" spans="1:8" x14ac:dyDescent="0.3">
      <c r="A11841" s="477" t="s">
        <v>3</v>
      </c>
      <c r="B11841" s="478"/>
      <c r="C11841" s="479" t="s">
        <v>4</v>
      </c>
      <c r="D11841" s="479"/>
      <c r="E11841" s="480" t="s">
        <v>5</v>
      </c>
      <c r="F11841" s="480"/>
      <c r="G11841" s="480"/>
      <c r="H11841" s="480"/>
    </row>
    <row r="11842" spans="1:8" ht="15.6" x14ac:dyDescent="0.3">
      <c r="A11842" s="4" t="s">
        <v>6</v>
      </c>
      <c r="B11842" s="5"/>
      <c r="C11842" s="481" t="s">
        <v>7</v>
      </c>
      <c r="D11842" s="481"/>
      <c r="E11842" s="482">
        <v>256</v>
      </c>
      <c r="F11842" s="482"/>
      <c r="G11842" s="7" t="s">
        <v>8</v>
      </c>
      <c r="H11842" s="8" t="s">
        <v>1906</v>
      </c>
    </row>
    <row r="11843" spans="1:8" ht="15.6" x14ac:dyDescent="0.3">
      <c r="A11843" s="45" t="s">
        <v>1919</v>
      </c>
      <c r="B11843" s="436"/>
      <c r="C11843" s="481" t="s">
        <v>10</v>
      </c>
      <c r="D11843" s="481"/>
      <c r="E11843" s="482"/>
      <c r="F11843" s="482"/>
      <c r="G11843" s="7" t="s">
        <v>8</v>
      </c>
      <c r="H11843" s="9"/>
    </row>
    <row r="11844" spans="1:8" ht="15" x14ac:dyDescent="0.3">
      <c r="A11844" s="45" t="s">
        <v>1920</v>
      </c>
      <c r="B11844" s="437"/>
      <c r="C11844" s="483" t="s">
        <v>12</v>
      </c>
      <c r="D11844" s="484"/>
      <c r="E11844" s="485"/>
      <c r="F11844" s="485"/>
      <c r="G11844" s="10" t="s">
        <v>8</v>
      </c>
      <c r="H11844" s="8"/>
    </row>
    <row r="11845" spans="1:8" ht="15.6" x14ac:dyDescent="0.3">
      <c r="A11845" s="438" t="s">
        <v>1921</v>
      </c>
      <c r="B11845" s="439"/>
      <c r="C11845" s="481" t="s">
        <v>15</v>
      </c>
      <c r="D11845" s="481"/>
      <c r="E11845" s="486" t="s">
        <v>1922</v>
      </c>
      <c r="F11845" s="487"/>
      <c r="G11845" s="487"/>
      <c r="H11845" s="488"/>
    </row>
    <row r="11846" spans="1:8" ht="15.6" x14ac:dyDescent="0.3">
      <c r="A11846" s="255" t="s">
        <v>1113</v>
      </c>
      <c r="B11846" s="256"/>
      <c r="C11846" s="489"/>
      <c r="D11846" s="490"/>
      <c r="E11846" s="490"/>
      <c r="F11846" s="490"/>
      <c r="G11846" s="490"/>
      <c r="H11846" s="491"/>
    </row>
    <row r="11847" spans="1:8" ht="15" x14ac:dyDescent="0.3">
      <c r="A11847" s="492" t="s">
        <v>17</v>
      </c>
      <c r="B11847" s="494" t="s">
        <v>18</v>
      </c>
      <c r="C11847" s="494" t="s">
        <v>19</v>
      </c>
      <c r="D11847" s="495" t="s">
        <v>20</v>
      </c>
      <c r="E11847" s="494" t="s">
        <v>21</v>
      </c>
      <c r="F11847" s="494" t="s">
        <v>22</v>
      </c>
      <c r="G11847" s="494"/>
      <c r="H11847" s="492" t="s">
        <v>23</v>
      </c>
    </row>
    <row r="11848" spans="1:8" ht="27.6" x14ac:dyDescent="0.3">
      <c r="A11848" s="493"/>
      <c r="B11848" s="495"/>
      <c r="C11848" s="495"/>
      <c r="D11848" s="496"/>
      <c r="E11848" s="495"/>
      <c r="F11848" s="435" t="s">
        <v>24</v>
      </c>
      <c r="G11848" s="435" t="s">
        <v>25</v>
      </c>
      <c r="H11848" s="493"/>
    </row>
    <row r="11849" spans="1:8" x14ac:dyDescent="0.3">
      <c r="A11849" s="57">
        <v>1</v>
      </c>
      <c r="B11849" s="440" t="s">
        <v>1923</v>
      </c>
      <c r="C11849" s="57">
        <v>1</v>
      </c>
      <c r="D11849" s="441">
        <v>85371000</v>
      </c>
      <c r="E11849" s="213">
        <v>471000</v>
      </c>
      <c r="F11849" s="20">
        <f>E11849*C11849*9%</f>
        <v>42390</v>
      </c>
      <c r="G11849" s="20">
        <f>F11849</f>
        <v>42390</v>
      </c>
      <c r="H11849" s="55">
        <f t="shared" ref="H11849" si="343">G11849+F11849+E11849*C11849</f>
        <v>555780</v>
      </c>
    </row>
    <row r="11850" spans="1:8" x14ac:dyDescent="0.3">
      <c r="A11850" s="55"/>
      <c r="B11850" s="440"/>
      <c r="C11850" s="55"/>
      <c r="D11850" s="441"/>
      <c r="E11850" s="213"/>
      <c r="F11850" s="215"/>
      <c r="G11850" s="215"/>
      <c r="H11850" s="213"/>
    </row>
    <row r="11851" spans="1:8" x14ac:dyDescent="0.3">
      <c r="A11851" s="54"/>
      <c r="B11851" s="442"/>
      <c r="C11851" s="54"/>
      <c r="D11851" s="443"/>
      <c r="E11851" s="54"/>
      <c r="F11851" s="444"/>
      <c r="G11851" s="444"/>
      <c r="H11851" s="445"/>
    </row>
    <row r="11852" spans="1:8" x14ac:dyDescent="0.3">
      <c r="A11852" s="55"/>
      <c r="B11852" s="84"/>
      <c r="C11852" s="57"/>
      <c r="D11852" s="86"/>
      <c r="E11852" s="15"/>
      <c r="F11852" s="55"/>
      <c r="G11852" s="55"/>
      <c r="H11852" s="47"/>
    </row>
    <row r="11853" spans="1:8" x14ac:dyDescent="0.3">
      <c r="A11853" s="55"/>
      <c r="B11853" s="84"/>
      <c r="C11853" s="57"/>
      <c r="D11853" s="86"/>
      <c r="E11853" s="15"/>
      <c r="F11853" s="55"/>
      <c r="G11853" s="55"/>
      <c r="H11853" s="47"/>
    </row>
    <row r="11854" spans="1:8" x14ac:dyDescent="0.3">
      <c r="A11854" s="55"/>
      <c r="B11854" s="84"/>
      <c r="C11854" s="57"/>
      <c r="D11854" s="86"/>
      <c r="E11854" s="15"/>
      <c r="F11854" s="55"/>
      <c r="G11854" s="55"/>
      <c r="H11854" s="47"/>
    </row>
    <row r="11855" spans="1:8" x14ac:dyDescent="0.3">
      <c r="A11855" s="55"/>
      <c r="B11855" s="446"/>
      <c r="C11855" s="57"/>
      <c r="D11855" s="86"/>
      <c r="E11855" s="15"/>
      <c r="F11855" s="55"/>
      <c r="G11855" s="55"/>
      <c r="H11855" s="47"/>
    </row>
    <row r="11856" spans="1:8" x14ac:dyDescent="0.3">
      <c r="A11856" s="57"/>
      <c r="B11856" s="84"/>
      <c r="C11856" s="57"/>
      <c r="D11856" s="86"/>
      <c r="E11856" s="15"/>
      <c r="F11856" s="47"/>
      <c r="G11856" s="58"/>
      <c r="H11856" s="47"/>
    </row>
    <row r="11857" spans="1:8" x14ac:dyDescent="0.3">
      <c r="A11857" s="57"/>
      <c r="B11857" s="84"/>
      <c r="C11857" s="57"/>
      <c r="D11857" s="86"/>
      <c r="E11857" s="15"/>
      <c r="F11857" s="47"/>
      <c r="G11857" s="47"/>
      <c r="H11857" s="47"/>
    </row>
    <row r="11858" spans="1:8" x14ac:dyDescent="0.3">
      <c r="A11858" s="178"/>
      <c r="B11858" s="163"/>
      <c r="C11858" s="178"/>
      <c r="D11858" s="178"/>
      <c r="E11858" s="178"/>
      <c r="F11858" s="163"/>
      <c r="G11858" s="163"/>
      <c r="H11858" s="178"/>
    </row>
    <row r="11859" spans="1:8" x14ac:dyDescent="0.3">
      <c r="A11859" s="57"/>
      <c r="B11859" s="84"/>
      <c r="C11859" s="85"/>
      <c r="D11859" s="86"/>
      <c r="E11859" s="87"/>
      <c r="F11859" s="47"/>
      <c r="G11859" s="47"/>
      <c r="H11859" s="47"/>
    </row>
    <row r="11860" spans="1:8" x14ac:dyDescent="0.3">
      <c r="A11860" s="57"/>
      <c r="B11860" s="84"/>
      <c r="C11860" s="85"/>
      <c r="D11860" s="86"/>
      <c r="E11860" s="87"/>
      <c r="F11860" s="47"/>
      <c r="G11860" s="47"/>
      <c r="H11860" s="47"/>
    </row>
    <row r="11861" spans="1:8" x14ac:dyDescent="0.3">
      <c r="A11861" s="57"/>
      <c r="B11861" s="84"/>
      <c r="C11861" s="85"/>
      <c r="D11861" s="86"/>
      <c r="E11861" s="87"/>
      <c r="F11861" s="47"/>
      <c r="G11861" s="47"/>
      <c r="H11861" s="47"/>
    </row>
    <row r="11862" spans="1:8" x14ac:dyDescent="0.3">
      <c r="A11862" s="57"/>
      <c r="B11862" s="84"/>
      <c r="C11862" s="85"/>
      <c r="D11862" s="86"/>
      <c r="E11862" s="87"/>
      <c r="F11862" s="47"/>
      <c r="G11862" s="47"/>
      <c r="H11862" s="47"/>
    </row>
    <row r="11863" spans="1:8" x14ac:dyDescent="0.3">
      <c r="A11863" s="57"/>
      <c r="B11863" s="84"/>
      <c r="C11863" s="85"/>
      <c r="D11863" s="86"/>
      <c r="E11863" s="47"/>
      <c r="F11863" s="47"/>
      <c r="G11863" s="47"/>
      <c r="H11863" s="47"/>
    </row>
    <row r="11864" spans="1:8" x14ac:dyDescent="0.3">
      <c r="A11864" s="55"/>
      <c r="B11864" s="84"/>
      <c r="C11864" s="55"/>
      <c r="D11864" s="86"/>
      <c r="E11864" s="47"/>
      <c r="F11864" s="47"/>
      <c r="G11864" s="47"/>
      <c r="H11864" s="47"/>
    </row>
    <row r="11865" spans="1:8" x14ac:dyDescent="0.3">
      <c r="A11865" s="27"/>
      <c r="B11865" s="28"/>
      <c r="C11865" s="24"/>
      <c r="D11865" s="25"/>
      <c r="E11865" s="25"/>
      <c r="F11865" s="28"/>
      <c r="G11865" s="28"/>
      <c r="H11865" s="32"/>
    </row>
    <row r="11866" spans="1:8" ht="15.6" x14ac:dyDescent="0.3">
      <c r="A11866" s="448" t="s">
        <v>45</v>
      </c>
      <c r="B11866" s="449"/>
      <c r="C11866" s="449"/>
      <c r="D11866" s="25"/>
      <c r="E11866" s="25"/>
      <c r="F11866" s="447" t="s">
        <v>1329</v>
      </c>
      <c r="G11866" s="447"/>
      <c r="H11866" s="66">
        <v>471000</v>
      </c>
    </row>
    <row r="11867" spans="1:8" ht="15.6" x14ac:dyDescent="0.3">
      <c r="A11867" s="497" t="s">
        <v>1924</v>
      </c>
      <c r="B11867" s="498"/>
      <c r="C11867" s="498"/>
      <c r="D11867" s="498"/>
      <c r="E11867" s="498"/>
      <c r="F11867" s="447" t="s">
        <v>47</v>
      </c>
      <c r="G11867" s="447"/>
      <c r="H11867" s="66">
        <f>H11866*9%</f>
        <v>42390</v>
      </c>
    </row>
    <row r="11868" spans="1:8" ht="15.6" x14ac:dyDescent="0.3">
      <c r="A11868" s="27"/>
      <c r="B11868" s="28"/>
      <c r="C11868" s="24"/>
      <c r="D11868" s="25"/>
      <c r="E11868" s="25"/>
      <c r="F11868" s="447" t="s">
        <v>48</v>
      </c>
      <c r="G11868" s="447"/>
      <c r="H11868" s="66">
        <f>H11866*9%</f>
        <v>42390</v>
      </c>
    </row>
    <row r="11869" spans="1:8" ht="15.6" x14ac:dyDescent="0.3">
      <c r="A11869" s="448" t="s">
        <v>49</v>
      </c>
      <c r="B11869" s="449"/>
      <c r="C11869" s="449"/>
      <c r="D11869" s="449"/>
      <c r="E11869" s="25"/>
      <c r="F11869" s="447" t="s">
        <v>50</v>
      </c>
      <c r="G11869" s="447"/>
      <c r="H11869" s="66">
        <v>555780</v>
      </c>
    </row>
    <row r="11870" spans="1:8" ht="27" x14ac:dyDescent="0.3">
      <c r="A11870" s="68" t="s">
        <v>22</v>
      </c>
      <c r="B11870" s="69" t="s">
        <v>51</v>
      </c>
      <c r="C11870" s="70" t="s">
        <v>24</v>
      </c>
      <c r="D11870" s="31" t="s">
        <v>25</v>
      </c>
      <c r="E11870" s="450" t="s">
        <v>52</v>
      </c>
      <c r="F11870" s="450"/>
      <c r="G11870" s="28"/>
      <c r="H11870" s="32"/>
    </row>
    <row r="11871" spans="1:8" x14ac:dyDescent="0.3">
      <c r="A11871" s="96">
        <v>0.18</v>
      </c>
      <c r="B11871" s="91">
        <f>H11866</f>
        <v>471000</v>
      </c>
      <c r="C11871" s="382">
        <f>H11867</f>
        <v>42390</v>
      </c>
      <c r="D11871" s="382">
        <f>H11868</f>
        <v>42390</v>
      </c>
      <c r="E11871" s="451">
        <f>C11871+D11871</f>
        <v>84780</v>
      </c>
      <c r="F11871" s="451"/>
      <c r="G11871" s="382"/>
      <c r="H11871" s="386"/>
    </row>
    <row r="11872" spans="1:8" x14ac:dyDescent="0.3">
      <c r="A11872" s="452" t="s">
        <v>1925</v>
      </c>
      <c r="B11872" s="453"/>
      <c r="C11872" s="453"/>
      <c r="D11872" s="453"/>
      <c r="E11872" s="453"/>
      <c r="F11872" s="453"/>
      <c r="G11872" s="453"/>
      <c r="H11872" s="454"/>
    </row>
    <row r="11873" spans="1:8" ht="15.6" x14ac:dyDescent="0.3">
      <c r="A11873" s="455" t="s">
        <v>53</v>
      </c>
      <c r="B11873" s="456"/>
      <c r="C11873" s="456"/>
      <c r="D11873" s="457"/>
      <c r="E11873" s="458" t="s">
        <v>54</v>
      </c>
      <c r="F11873" s="459"/>
      <c r="G11873" s="459"/>
      <c r="H11873" s="460"/>
    </row>
    <row r="11874" spans="1:8" x14ac:dyDescent="0.3">
      <c r="A11874" s="461" t="s">
        <v>55</v>
      </c>
      <c r="B11874" s="462"/>
      <c r="C11874" s="462"/>
      <c r="D11874" s="463"/>
      <c r="E11874" s="39"/>
      <c r="F11874" s="28"/>
      <c r="G11874" s="28"/>
      <c r="H11874" s="32"/>
    </row>
    <row r="11875" spans="1:8" x14ac:dyDescent="0.3">
      <c r="A11875" s="461" t="s">
        <v>56</v>
      </c>
      <c r="B11875" s="462"/>
      <c r="C11875" s="462"/>
      <c r="D11875" s="463"/>
      <c r="E11875" s="39"/>
      <c r="F11875" s="28"/>
      <c r="G11875" s="28"/>
      <c r="H11875" s="32"/>
    </row>
    <row r="11876" spans="1:8" x14ac:dyDescent="0.3">
      <c r="A11876" s="461" t="s">
        <v>57</v>
      </c>
      <c r="B11876" s="462"/>
      <c r="C11876" s="462"/>
      <c r="D11876" s="463"/>
      <c r="E11876" s="39"/>
      <c r="F11876" s="28"/>
      <c r="G11876" s="28"/>
      <c r="H11876" s="32"/>
    </row>
    <row r="11877" spans="1:8" ht="15.6" x14ac:dyDescent="0.3">
      <c r="A11877" s="464" t="s">
        <v>58</v>
      </c>
      <c r="B11877" s="465"/>
      <c r="C11877" s="465"/>
      <c r="D11877" s="465"/>
      <c r="E11877" s="466" t="s">
        <v>59</v>
      </c>
      <c r="F11877" s="467"/>
      <c r="G11877" s="467"/>
      <c r="H11877" s="468"/>
    </row>
  </sheetData>
  <mergeCells count="10546">
    <mergeCell ref="E11788:F11788"/>
    <mergeCell ref="A11789:H11789"/>
    <mergeCell ref="A11790:D11790"/>
    <mergeCell ref="E11790:H11790"/>
    <mergeCell ref="A11791:D11791"/>
    <mergeCell ref="A11792:D11792"/>
    <mergeCell ref="A11793:D11793"/>
    <mergeCell ref="A11794:D11794"/>
    <mergeCell ref="E11794:H11794"/>
    <mergeCell ref="A11750:D11750"/>
    <mergeCell ref="E11750:H11751"/>
    <mergeCell ref="B11751:D11751"/>
    <mergeCell ref="A11752:B11752"/>
    <mergeCell ref="D11752:E11752"/>
    <mergeCell ref="G11752:H11752"/>
    <mergeCell ref="C11753:D11753"/>
    <mergeCell ref="E11753:F11753"/>
    <mergeCell ref="A11754:B11754"/>
    <mergeCell ref="C11754:D11754"/>
    <mergeCell ref="E11754:F11754"/>
    <mergeCell ref="A11755:B11755"/>
    <mergeCell ref="C11755:D11755"/>
    <mergeCell ref="E11755:F11755"/>
    <mergeCell ref="A11756:B11756"/>
    <mergeCell ref="C11756:D11756"/>
    <mergeCell ref="E11756:H11756"/>
    <mergeCell ref="C11757:H11757"/>
    <mergeCell ref="A11758:A11759"/>
    <mergeCell ref="B11758:B11759"/>
    <mergeCell ref="C11758:C11759"/>
    <mergeCell ref="D11758:D11759"/>
    <mergeCell ref="E11758:E11759"/>
    <mergeCell ref="F11758:G11758"/>
    <mergeCell ref="H11758:H11759"/>
    <mergeCell ref="A11783:C11783"/>
    <mergeCell ref="F11783:G11783"/>
    <mergeCell ref="A11784:E11784"/>
    <mergeCell ref="F11784:G11784"/>
    <mergeCell ref="F11785:G11785"/>
    <mergeCell ref="A11786:D11786"/>
    <mergeCell ref="F11786:G11786"/>
    <mergeCell ref="E11787:F11787"/>
    <mergeCell ref="A11690:B11690"/>
    <mergeCell ref="F11690:G11690"/>
    <mergeCell ref="E11692:F11692"/>
    <mergeCell ref="E11693:F11693"/>
    <mergeCell ref="A11694:H11694"/>
    <mergeCell ref="A11695:C11695"/>
    <mergeCell ref="E11695:H11695"/>
    <mergeCell ref="A11697:D11697"/>
    <mergeCell ref="A11698:D11698"/>
    <mergeCell ref="A11699:D11699"/>
    <mergeCell ref="E11699:H11699"/>
    <mergeCell ref="A11661:B11661"/>
    <mergeCell ref="A11662:B11662"/>
    <mergeCell ref="A11663:B11663"/>
    <mergeCell ref="A11649:D11649"/>
    <mergeCell ref="E11651:H11651"/>
    <mergeCell ref="A11647:C11647"/>
    <mergeCell ref="A11650:D11650"/>
    <mergeCell ref="A11651:D11651"/>
    <mergeCell ref="A11656:D11656"/>
    <mergeCell ref="E11656:H11657"/>
    <mergeCell ref="B11657:D11657"/>
    <mergeCell ref="A11658:B11658"/>
    <mergeCell ref="D11658:E11658"/>
    <mergeCell ref="C11659:D11659"/>
    <mergeCell ref="E11659:F11659"/>
    <mergeCell ref="A11660:B11660"/>
    <mergeCell ref="C11660:D11660"/>
    <mergeCell ref="E11660:F11660"/>
    <mergeCell ref="C11661:D11661"/>
    <mergeCell ref="E11661:F11661"/>
    <mergeCell ref="C11662:D11662"/>
    <mergeCell ref="E11662:G11662"/>
    <mergeCell ref="A11664:A11665"/>
    <mergeCell ref="B11664:B11665"/>
    <mergeCell ref="C11664:C11665"/>
    <mergeCell ref="D11664:D11665"/>
    <mergeCell ref="E11664:E11665"/>
    <mergeCell ref="F11664:G11664"/>
    <mergeCell ref="H11664:H11665"/>
    <mergeCell ref="A11687:B11687"/>
    <mergeCell ref="F11687:G11687"/>
    <mergeCell ref="A11688:E11688"/>
    <mergeCell ref="F11688:G11688"/>
    <mergeCell ref="F11689:G11689"/>
    <mergeCell ref="A11608:D11608"/>
    <mergeCell ref="E11608:H11609"/>
    <mergeCell ref="B11609:D11609"/>
    <mergeCell ref="A11610:B11610"/>
    <mergeCell ref="D11610:E11610"/>
    <mergeCell ref="C11611:D11611"/>
    <mergeCell ref="E11611:F11611"/>
    <mergeCell ref="A11612:B11612"/>
    <mergeCell ref="C11612:D11612"/>
    <mergeCell ref="E11612:F11612"/>
    <mergeCell ref="A11613:B11614"/>
    <mergeCell ref="C11613:D11613"/>
    <mergeCell ref="E11613:F11613"/>
    <mergeCell ref="C11614:D11614"/>
    <mergeCell ref="E11614:G11614"/>
    <mergeCell ref="A11616:A11617"/>
    <mergeCell ref="B11616:B11617"/>
    <mergeCell ref="C11616:C11617"/>
    <mergeCell ref="D11616:D11617"/>
    <mergeCell ref="E11616:E11617"/>
    <mergeCell ref="F11616:G11616"/>
    <mergeCell ref="H11616:H11617"/>
    <mergeCell ref="A11639:B11639"/>
    <mergeCell ref="F11639:G11639"/>
    <mergeCell ref="A11640:E11640"/>
    <mergeCell ref="F11640:G11640"/>
    <mergeCell ref="F11641:G11641"/>
    <mergeCell ref="A11642:B11642"/>
    <mergeCell ref="F11642:G11642"/>
    <mergeCell ref="E11644:F11644"/>
    <mergeCell ref="E11645:F11645"/>
    <mergeCell ref="A11646:H11646"/>
    <mergeCell ref="E11647:H11647"/>
    <mergeCell ref="A11465:D11465"/>
    <mergeCell ref="E11465:H11466"/>
    <mergeCell ref="B11466:D11466"/>
    <mergeCell ref="A11467:B11467"/>
    <mergeCell ref="C11467:D11467"/>
    <mergeCell ref="E11467:H11467"/>
    <mergeCell ref="C11468:D11468"/>
    <mergeCell ref="E11468:F11468"/>
    <mergeCell ref="C11469:D11469"/>
    <mergeCell ref="E11469:F11469"/>
    <mergeCell ref="C11470:D11470"/>
    <mergeCell ref="E11470:F11470"/>
    <mergeCell ref="C11471:D11471"/>
    <mergeCell ref="A11472:B11472"/>
    <mergeCell ref="A11473:A11474"/>
    <mergeCell ref="B11473:B11474"/>
    <mergeCell ref="C11473:C11474"/>
    <mergeCell ref="D11473:D11474"/>
    <mergeCell ref="E11473:E11474"/>
    <mergeCell ref="F11473:G11473"/>
    <mergeCell ref="H11473:H11474"/>
    <mergeCell ref="A11498:B11498"/>
    <mergeCell ref="A11499:D11499"/>
    <mergeCell ref="A11501:C11501"/>
    <mergeCell ref="E11502:F11502"/>
    <mergeCell ref="E11503:F11503"/>
    <mergeCell ref="A11504:E11504"/>
    <mergeCell ref="A11505:C11505"/>
    <mergeCell ref="A11507:D11507"/>
    <mergeCell ref="A11508:D11508"/>
    <mergeCell ref="A11509:D11509"/>
    <mergeCell ref="E11509:H11509"/>
    <mergeCell ref="A11355:B11355"/>
    <mergeCell ref="F11355:G11355"/>
    <mergeCell ref="A11356:E11356"/>
    <mergeCell ref="F11356:G11356"/>
    <mergeCell ref="F11357:G11357"/>
    <mergeCell ref="F11358:G11358"/>
    <mergeCell ref="E11359:F11359"/>
    <mergeCell ref="E11360:F11360"/>
    <mergeCell ref="A11361:H11361"/>
    <mergeCell ref="A11362:D11362"/>
    <mergeCell ref="E11362:H11362"/>
    <mergeCell ref="A11363:D11363"/>
    <mergeCell ref="A11364:D11364"/>
    <mergeCell ref="A11365:D11365"/>
    <mergeCell ref="A11366:D11366"/>
    <mergeCell ref="E11366:H11366"/>
    <mergeCell ref="A11425:B11425"/>
    <mergeCell ref="C11425:H11425"/>
    <mergeCell ref="A11426:A11427"/>
    <mergeCell ref="B11426:B11427"/>
    <mergeCell ref="C11426:C11427"/>
    <mergeCell ref="D11426:D11427"/>
    <mergeCell ref="E11426:E11427"/>
    <mergeCell ref="F11426:G11426"/>
    <mergeCell ref="H11426:H11427"/>
    <mergeCell ref="A11450:B11450"/>
    <mergeCell ref="F11450:G11450"/>
    <mergeCell ref="A11451:E11451"/>
    <mergeCell ref="F11451:G11451"/>
    <mergeCell ref="F11452:G11452"/>
    <mergeCell ref="A11453:B11453"/>
    <mergeCell ref="F11453:G11453"/>
    <mergeCell ref="A11327:B11327"/>
    <mergeCell ref="C11327:D11327"/>
    <mergeCell ref="E11327:H11327"/>
    <mergeCell ref="C11328:D11328"/>
    <mergeCell ref="E11328:F11328"/>
    <mergeCell ref="A11329:B11329"/>
    <mergeCell ref="C11329:D11329"/>
    <mergeCell ref="E11329:F11329"/>
    <mergeCell ref="A11330:B11330"/>
    <mergeCell ref="C11330:D11330"/>
    <mergeCell ref="E11330:F11330"/>
    <mergeCell ref="C11331:D11331"/>
    <mergeCell ref="E11331:H11331"/>
    <mergeCell ref="C11332:H11332"/>
    <mergeCell ref="A11333:A11334"/>
    <mergeCell ref="B11333:B11334"/>
    <mergeCell ref="C11333:C11334"/>
    <mergeCell ref="D11333:D11334"/>
    <mergeCell ref="E11333:E11334"/>
    <mergeCell ref="F11333:G11333"/>
    <mergeCell ref="H11333:H11334"/>
    <mergeCell ref="A11310:B11310"/>
    <mergeCell ref="F11310:G11310"/>
    <mergeCell ref="A11311:E11311"/>
    <mergeCell ref="F11311:G11311"/>
    <mergeCell ref="F11312:G11312"/>
    <mergeCell ref="F11313:G11313"/>
    <mergeCell ref="E11314:F11314"/>
    <mergeCell ref="E11315:F11315"/>
    <mergeCell ref="A11316:H11316"/>
    <mergeCell ref="A11317:D11317"/>
    <mergeCell ref="E11317:H11317"/>
    <mergeCell ref="A11318:D11318"/>
    <mergeCell ref="A11319:D11319"/>
    <mergeCell ref="A11320:D11320"/>
    <mergeCell ref="A11321:D11321"/>
    <mergeCell ref="E11321:H11321"/>
    <mergeCell ref="A11325:D11325"/>
    <mergeCell ref="E11325:H11326"/>
    <mergeCell ref="B11326:D11326"/>
    <mergeCell ref="A11282:B11282"/>
    <mergeCell ref="C11282:D11282"/>
    <mergeCell ref="E11282:H11282"/>
    <mergeCell ref="C11283:D11283"/>
    <mergeCell ref="E11283:F11283"/>
    <mergeCell ref="A11284:B11284"/>
    <mergeCell ref="C11284:D11284"/>
    <mergeCell ref="E11284:F11284"/>
    <mergeCell ref="A11285:B11285"/>
    <mergeCell ref="C11285:D11285"/>
    <mergeCell ref="E11285:F11285"/>
    <mergeCell ref="C11286:D11286"/>
    <mergeCell ref="E11286:H11286"/>
    <mergeCell ref="C11287:H11287"/>
    <mergeCell ref="A11288:A11289"/>
    <mergeCell ref="B11288:B11289"/>
    <mergeCell ref="C11288:C11289"/>
    <mergeCell ref="D11288:D11289"/>
    <mergeCell ref="E11288:E11289"/>
    <mergeCell ref="F11288:G11288"/>
    <mergeCell ref="H11288:H11289"/>
    <mergeCell ref="A11266:E11266"/>
    <mergeCell ref="F11266:G11266"/>
    <mergeCell ref="F11267:G11267"/>
    <mergeCell ref="F11268:G11268"/>
    <mergeCell ref="E11269:F11269"/>
    <mergeCell ref="E11270:F11270"/>
    <mergeCell ref="A11271:H11271"/>
    <mergeCell ref="A11272:D11272"/>
    <mergeCell ref="E11272:H11272"/>
    <mergeCell ref="A11273:D11273"/>
    <mergeCell ref="A11274:D11274"/>
    <mergeCell ref="A11275:D11275"/>
    <mergeCell ref="A11276:D11276"/>
    <mergeCell ref="E11276:H11276"/>
    <mergeCell ref="A11280:D11280"/>
    <mergeCell ref="E11280:H11281"/>
    <mergeCell ref="B11281:D11281"/>
    <mergeCell ref="A11239:B11239"/>
    <mergeCell ref="C11239:D11239"/>
    <mergeCell ref="E11239:F11239"/>
    <mergeCell ref="A11240:B11240"/>
    <mergeCell ref="C11240:D11240"/>
    <mergeCell ref="E11240:F11240"/>
    <mergeCell ref="C11241:D11241"/>
    <mergeCell ref="E11241:H11241"/>
    <mergeCell ref="C11242:H11242"/>
    <mergeCell ref="A11243:A11244"/>
    <mergeCell ref="B11243:B11244"/>
    <mergeCell ref="C11243:C11244"/>
    <mergeCell ref="D11243:D11244"/>
    <mergeCell ref="E11243:E11244"/>
    <mergeCell ref="F11243:G11243"/>
    <mergeCell ref="H11243:H11244"/>
    <mergeCell ref="A11265:B11265"/>
    <mergeCell ref="F11265:G11265"/>
    <mergeCell ref="E11225:F11225"/>
    <mergeCell ref="A11226:H11226"/>
    <mergeCell ref="A11227:D11227"/>
    <mergeCell ref="E11227:H11227"/>
    <mergeCell ref="A11228:D11228"/>
    <mergeCell ref="A11229:D11229"/>
    <mergeCell ref="A11230:D11230"/>
    <mergeCell ref="A11231:D11231"/>
    <mergeCell ref="E11231:H11231"/>
    <mergeCell ref="A11235:D11235"/>
    <mergeCell ref="E11235:H11236"/>
    <mergeCell ref="B11236:D11236"/>
    <mergeCell ref="A11237:B11237"/>
    <mergeCell ref="C11237:D11237"/>
    <mergeCell ref="E11237:H11237"/>
    <mergeCell ref="C11238:D11238"/>
    <mergeCell ref="E11238:F11238"/>
    <mergeCell ref="C11196:D11196"/>
    <mergeCell ref="E11196:H11196"/>
    <mergeCell ref="C11197:H11197"/>
    <mergeCell ref="A11198:A11199"/>
    <mergeCell ref="B11198:B11199"/>
    <mergeCell ref="C11198:C11199"/>
    <mergeCell ref="D11198:D11199"/>
    <mergeCell ref="E11198:E11199"/>
    <mergeCell ref="F11198:G11198"/>
    <mergeCell ref="H11198:H11199"/>
    <mergeCell ref="A11220:B11220"/>
    <mergeCell ref="F11220:G11220"/>
    <mergeCell ref="A11221:E11221"/>
    <mergeCell ref="F11221:G11221"/>
    <mergeCell ref="F11222:G11222"/>
    <mergeCell ref="F11223:G11223"/>
    <mergeCell ref="E11224:F11224"/>
    <mergeCell ref="A11183:D11183"/>
    <mergeCell ref="A11184:D11184"/>
    <mergeCell ref="A11185:D11185"/>
    <mergeCell ref="A11186:D11186"/>
    <mergeCell ref="E11186:H11186"/>
    <mergeCell ref="A11190:D11190"/>
    <mergeCell ref="E11190:H11191"/>
    <mergeCell ref="B11191:D11191"/>
    <mergeCell ref="A11192:B11192"/>
    <mergeCell ref="C11192:D11192"/>
    <mergeCell ref="E11192:H11192"/>
    <mergeCell ref="C11193:D11193"/>
    <mergeCell ref="E11193:F11193"/>
    <mergeCell ref="A11194:B11194"/>
    <mergeCell ref="C11194:D11194"/>
    <mergeCell ref="E11194:F11194"/>
    <mergeCell ref="A11195:B11195"/>
    <mergeCell ref="C11195:D11195"/>
    <mergeCell ref="E11195:F11195"/>
    <mergeCell ref="A11153:A11154"/>
    <mergeCell ref="B11153:B11154"/>
    <mergeCell ref="C11153:C11154"/>
    <mergeCell ref="D11153:D11154"/>
    <mergeCell ref="E11153:E11154"/>
    <mergeCell ref="F11153:G11153"/>
    <mergeCell ref="H11153:H11154"/>
    <mergeCell ref="A11175:B11175"/>
    <mergeCell ref="F11175:G11175"/>
    <mergeCell ref="A11176:E11176"/>
    <mergeCell ref="F11176:G11176"/>
    <mergeCell ref="F11177:G11177"/>
    <mergeCell ref="F11178:G11178"/>
    <mergeCell ref="E11179:F11179"/>
    <mergeCell ref="E11180:F11180"/>
    <mergeCell ref="A11181:H11181"/>
    <mergeCell ref="A11182:D11182"/>
    <mergeCell ref="E11182:H11182"/>
    <mergeCell ref="A11145:D11145"/>
    <mergeCell ref="E11145:H11146"/>
    <mergeCell ref="B11146:D11146"/>
    <mergeCell ref="A11147:B11147"/>
    <mergeCell ref="C11147:D11147"/>
    <mergeCell ref="E11147:H11147"/>
    <mergeCell ref="C11148:D11148"/>
    <mergeCell ref="E11148:F11148"/>
    <mergeCell ref="A11149:B11149"/>
    <mergeCell ref="C11149:D11149"/>
    <mergeCell ref="E11149:F11149"/>
    <mergeCell ref="A11150:B11150"/>
    <mergeCell ref="C11150:D11150"/>
    <mergeCell ref="E11150:F11150"/>
    <mergeCell ref="C11151:D11151"/>
    <mergeCell ref="E11151:H11151"/>
    <mergeCell ref="C11152:H11152"/>
    <mergeCell ref="A11129:B11129"/>
    <mergeCell ref="F11129:G11129"/>
    <mergeCell ref="A11130:E11130"/>
    <mergeCell ref="F11130:G11130"/>
    <mergeCell ref="F11131:G11131"/>
    <mergeCell ref="F11132:G11132"/>
    <mergeCell ref="E11133:F11133"/>
    <mergeCell ref="E11134:F11134"/>
    <mergeCell ref="A11135:H11135"/>
    <mergeCell ref="A11136:D11136"/>
    <mergeCell ref="E11136:H11136"/>
    <mergeCell ref="A11137:D11137"/>
    <mergeCell ref="A11138:D11138"/>
    <mergeCell ref="A11139:D11139"/>
    <mergeCell ref="A11140:D11140"/>
    <mergeCell ref="E11140:H11140"/>
    <mergeCell ref="A11099:D11099"/>
    <mergeCell ref="E11099:H11100"/>
    <mergeCell ref="B11100:D11100"/>
    <mergeCell ref="A11101:B11101"/>
    <mergeCell ref="E11101:H11101"/>
    <mergeCell ref="A11104:B11104"/>
    <mergeCell ref="E11104:F11104"/>
    <mergeCell ref="C11105:D11105"/>
    <mergeCell ref="E11105:H11105"/>
    <mergeCell ref="C11106:H11106"/>
    <mergeCell ref="A11107:A11108"/>
    <mergeCell ref="B11107:B11108"/>
    <mergeCell ref="C11107:C11108"/>
    <mergeCell ref="D11107:D11108"/>
    <mergeCell ref="E11107:E11108"/>
    <mergeCell ref="F11107:G11107"/>
    <mergeCell ref="C11101:D11101"/>
    <mergeCell ref="C11102:D11102"/>
    <mergeCell ref="E11102:F11102"/>
    <mergeCell ref="A11103:B11103"/>
    <mergeCell ref="C11103:D11103"/>
    <mergeCell ref="E11103:F11103"/>
    <mergeCell ref="C11104:D11104"/>
    <mergeCell ref="H11107:H11108"/>
    <mergeCell ref="A11083:B11083"/>
    <mergeCell ref="F11083:G11083"/>
    <mergeCell ref="A11084:E11084"/>
    <mergeCell ref="F11084:G11084"/>
    <mergeCell ref="F11085:G11085"/>
    <mergeCell ref="F11086:G11086"/>
    <mergeCell ref="E11087:F11087"/>
    <mergeCell ref="E11088:F11088"/>
    <mergeCell ref="A11089:H11089"/>
    <mergeCell ref="A11090:D11090"/>
    <mergeCell ref="E11090:H11090"/>
    <mergeCell ref="A11091:D11091"/>
    <mergeCell ref="A11092:D11092"/>
    <mergeCell ref="A11093:D11093"/>
    <mergeCell ref="A11094:D11094"/>
    <mergeCell ref="E11094:H11094"/>
    <mergeCell ref="A11052:B11052"/>
    <mergeCell ref="C11052:D11052"/>
    <mergeCell ref="E11052:H11052"/>
    <mergeCell ref="C11053:D11053"/>
    <mergeCell ref="E11053:F11053"/>
    <mergeCell ref="A11054:B11054"/>
    <mergeCell ref="C11054:D11054"/>
    <mergeCell ref="E11054:F11054"/>
    <mergeCell ref="A11055:B11055"/>
    <mergeCell ref="C11055:D11055"/>
    <mergeCell ref="E11055:F11055"/>
    <mergeCell ref="C11056:D11056"/>
    <mergeCell ref="E11056:H11056"/>
    <mergeCell ref="C11057:H11057"/>
    <mergeCell ref="A11058:A11059"/>
    <mergeCell ref="B11058:B11059"/>
    <mergeCell ref="C11058:C11059"/>
    <mergeCell ref="D11058:D11059"/>
    <mergeCell ref="E11058:E11059"/>
    <mergeCell ref="F11058:G11058"/>
    <mergeCell ref="H11058:H11059"/>
    <mergeCell ref="A11035:B11035"/>
    <mergeCell ref="F11035:G11035"/>
    <mergeCell ref="A11036:E11036"/>
    <mergeCell ref="F11036:G11036"/>
    <mergeCell ref="F11037:G11037"/>
    <mergeCell ref="F11038:G11038"/>
    <mergeCell ref="E11039:F11039"/>
    <mergeCell ref="E11040:F11040"/>
    <mergeCell ref="A11041:H11041"/>
    <mergeCell ref="A11042:D11042"/>
    <mergeCell ref="E11042:H11042"/>
    <mergeCell ref="A11043:D11043"/>
    <mergeCell ref="A11044:D11044"/>
    <mergeCell ref="A11045:D11045"/>
    <mergeCell ref="A11046:D11046"/>
    <mergeCell ref="E11046:H11046"/>
    <mergeCell ref="A11050:D11050"/>
    <mergeCell ref="E11050:H11051"/>
    <mergeCell ref="B11051:D11051"/>
    <mergeCell ref="A11004:B11004"/>
    <mergeCell ref="C11004:D11004"/>
    <mergeCell ref="E11004:H11004"/>
    <mergeCell ref="C11005:D11005"/>
    <mergeCell ref="E11005:F11005"/>
    <mergeCell ref="A11006:B11006"/>
    <mergeCell ref="C11006:D11006"/>
    <mergeCell ref="E11006:F11006"/>
    <mergeCell ref="A11007:B11007"/>
    <mergeCell ref="C11007:D11007"/>
    <mergeCell ref="E11007:F11007"/>
    <mergeCell ref="C11008:D11008"/>
    <mergeCell ref="E11008:H11008"/>
    <mergeCell ref="C11009:H11009"/>
    <mergeCell ref="A11010:A11011"/>
    <mergeCell ref="B11010:B11011"/>
    <mergeCell ref="C11010:C11011"/>
    <mergeCell ref="D11010:D11011"/>
    <mergeCell ref="E11010:E11011"/>
    <mergeCell ref="F11010:G11010"/>
    <mergeCell ref="H11010:H11011"/>
    <mergeCell ref="A10988:B10988"/>
    <mergeCell ref="F10988:G10988"/>
    <mergeCell ref="A10989:E10989"/>
    <mergeCell ref="F10989:G10989"/>
    <mergeCell ref="F10990:G10990"/>
    <mergeCell ref="F10991:G10991"/>
    <mergeCell ref="E10992:F10992"/>
    <mergeCell ref="E10993:F10993"/>
    <mergeCell ref="A10994:H10994"/>
    <mergeCell ref="A10995:D10995"/>
    <mergeCell ref="E10995:H10995"/>
    <mergeCell ref="A10996:D10996"/>
    <mergeCell ref="A10997:D10997"/>
    <mergeCell ref="A10998:D10998"/>
    <mergeCell ref="A10999:D10999"/>
    <mergeCell ref="E10999:H10999"/>
    <mergeCell ref="A11002:D11002"/>
    <mergeCell ref="E11002:H11003"/>
    <mergeCell ref="B11003:D11003"/>
    <mergeCell ref="A10957:B10957"/>
    <mergeCell ref="C10957:D10957"/>
    <mergeCell ref="E10957:H10957"/>
    <mergeCell ref="C10958:D10958"/>
    <mergeCell ref="E10958:F10958"/>
    <mergeCell ref="A10959:B10959"/>
    <mergeCell ref="C10959:D10959"/>
    <mergeCell ref="E10959:F10959"/>
    <mergeCell ref="A10960:B10960"/>
    <mergeCell ref="C10960:D10960"/>
    <mergeCell ref="E10960:F10960"/>
    <mergeCell ref="C10961:D10961"/>
    <mergeCell ref="E10961:H10961"/>
    <mergeCell ref="C10962:H10962"/>
    <mergeCell ref="A10963:A10964"/>
    <mergeCell ref="B10963:B10964"/>
    <mergeCell ref="C10963:C10964"/>
    <mergeCell ref="D10963:D10964"/>
    <mergeCell ref="E10963:E10964"/>
    <mergeCell ref="F10963:G10963"/>
    <mergeCell ref="H10963:H10964"/>
    <mergeCell ref="A10939:B10939"/>
    <mergeCell ref="F10939:G10939"/>
    <mergeCell ref="A10940:E10940"/>
    <mergeCell ref="F10940:G10940"/>
    <mergeCell ref="F10941:G10941"/>
    <mergeCell ref="F10942:G10942"/>
    <mergeCell ref="E10943:F10943"/>
    <mergeCell ref="E10944:F10944"/>
    <mergeCell ref="A10945:H10945"/>
    <mergeCell ref="A10946:D10946"/>
    <mergeCell ref="E10946:H10946"/>
    <mergeCell ref="A10947:D10947"/>
    <mergeCell ref="A10948:D10948"/>
    <mergeCell ref="A10949:D10949"/>
    <mergeCell ref="A10950:D10950"/>
    <mergeCell ref="E10950:H10950"/>
    <mergeCell ref="A10955:D10955"/>
    <mergeCell ref="E10955:H10956"/>
    <mergeCell ref="B10956:D10956"/>
    <mergeCell ref="A10908:B10908"/>
    <mergeCell ref="C10908:D10908"/>
    <mergeCell ref="E10908:H10908"/>
    <mergeCell ref="C10909:D10909"/>
    <mergeCell ref="E10909:F10909"/>
    <mergeCell ref="A10910:B10910"/>
    <mergeCell ref="C10910:D10910"/>
    <mergeCell ref="E10910:F10910"/>
    <mergeCell ref="A10911:B10911"/>
    <mergeCell ref="C10911:D10911"/>
    <mergeCell ref="E10911:F10911"/>
    <mergeCell ref="C10912:D10912"/>
    <mergeCell ref="E10912:H10912"/>
    <mergeCell ref="C10913:H10913"/>
    <mergeCell ref="A10914:A10915"/>
    <mergeCell ref="B10914:B10915"/>
    <mergeCell ref="C10914:C10915"/>
    <mergeCell ref="D10914:D10915"/>
    <mergeCell ref="E10914:E10915"/>
    <mergeCell ref="F10914:G10914"/>
    <mergeCell ref="H10914:H10915"/>
    <mergeCell ref="A10891:B10891"/>
    <mergeCell ref="F10891:G10891"/>
    <mergeCell ref="A10892:E10892"/>
    <mergeCell ref="F10892:G10892"/>
    <mergeCell ref="F10893:G10893"/>
    <mergeCell ref="F10894:G10894"/>
    <mergeCell ref="E10895:F10895"/>
    <mergeCell ref="E10896:F10896"/>
    <mergeCell ref="A10897:H10897"/>
    <mergeCell ref="A10898:D10898"/>
    <mergeCell ref="E10898:H10898"/>
    <mergeCell ref="A10899:D10899"/>
    <mergeCell ref="A10900:D10900"/>
    <mergeCell ref="A10901:D10901"/>
    <mergeCell ref="A10902:D10902"/>
    <mergeCell ref="E10902:H10902"/>
    <mergeCell ref="A10906:D10906"/>
    <mergeCell ref="E10906:H10907"/>
    <mergeCell ref="B10907:D10907"/>
    <mergeCell ref="A10860:B10860"/>
    <mergeCell ref="C10860:D10860"/>
    <mergeCell ref="E10860:H10860"/>
    <mergeCell ref="C10861:D10861"/>
    <mergeCell ref="E10861:F10861"/>
    <mergeCell ref="A10862:B10862"/>
    <mergeCell ref="C10862:D10862"/>
    <mergeCell ref="E10862:F10862"/>
    <mergeCell ref="A10863:B10863"/>
    <mergeCell ref="C10863:D10863"/>
    <mergeCell ref="E10863:F10863"/>
    <mergeCell ref="C10864:D10864"/>
    <mergeCell ref="E10864:H10864"/>
    <mergeCell ref="C10865:H10865"/>
    <mergeCell ref="A10866:A10867"/>
    <mergeCell ref="B10866:B10867"/>
    <mergeCell ref="C10866:C10867"/>
    <mergeCell ref="D10866:D10867"/>
    <mergeCell ref="E10866:E10867"/>
    <mergeCell ref="F10866:G10866"/>
    <mergeCell ref="H10866:H10867"/>
    <mergeCell ref="A10844:B10844"/>
    <mergeCell ref="F10844:G10844"/>
    <mergeCell ref="A10845:E10845"/>
    <mergeCell ref="F10845:G10845"/>
    <mergeCell ref="F10846:G10846"/>
    <mergeCell ref="F10847:G10847"/>
    <mergeCell ref="E10848:F10848"/>
    <mergeCell ref="E10849:F10849"/>
    <mergeCell ref="A10850:H10850"/>
    <mergeCell ref="A10851:D10851"/>
    <mergeCell ref="E10851:H10851"/>
    <mergeCell ref="A10852:D10852"/>
    <mergeCell ref="A10853:D10853"/>
    <mergeCell ref="A10854:D10854"/>
    <mergeCell ref="A10855:D10855"/>
    <mergeCell ref="E10855:H10855"/>
    <mergeCell ref="A10858:D10858"/>
    <mergeCell ref="E10858:H10859"/>
    <mergeCell ref="B10859:D10859"/>
    <mergeCell ref="A10814:B10814"/>
    <mergeCell ref="C10814:D10814"/>
    <mergeCell ref="E10814:H10814"/>
    <mergeCell ref="C10815:D10815"/>
    <mergeCell ref="E10815:F10815"/>
    <mergeCell ref="A10816:B10816"/>
    <mergeCell ref="C10816:D10816"/>
    <mergeCell ref="E10816:F10816"/>
    <mergeCell ref="A10817:B10817"/>
    <mergeCell ref="C10817:D10817"/>
    <mergeCell ref="E10817:F10817"/>
    <mergeCell ref="C10818:D10818"/>
    <mergeCell ref="E10818:H10818"/>
    <mergeCell ref="C10819:H10819"/>
    <mergeCell ref="A10820:A10821"/>
    <mergeCell ref="B10820:B10821"/>
    <mergeCell ref="C10820:C10821"/>
    <mergeCell ref="D10820:D10821"/>
    <mergeCell ref="E10820:E10821"/>
    <mergeCell ref="F10820:G10820"/>
    <mergeCell ref="H10820:H10821"/>
    <mergeCell ref="F10798:G10798"/>
    <mergeCell ref="F10799:G10799"/>
    <mergeCell ref="E10800:F10800"/>
    <mergeCell ref="E10801:F10801"/>
    <mergeCell ref="A10802:H10802"/>
    <mergeCell ref="A10803:D10803"/>
    <mergeCell ref="E10803:H10803"/>
    <mergeCell ref="A10804:D10804"/>
    <mergeCell ref="A10805:D10805"/>
    <mergeCell ref="A10806:D10806"/>
    <mergeCell ref="A10807:D10807"/>
    <mergeCell ref="E10807:H10807"/>
    <mergeCell ref="A10812:D10812"/>
    <mergeCell ref="E10812:H10813"/>
    <mergeCell ref="B10813:D10813"/>
    <mergeCell ref="A10766:B10766"/>
    <mergeCell ref="C10766:D10766"/>
    <mergeCell ref="E10766:H10766"/>
    <mergeCell ref="C10767:D10767"/>
    <mergeCell ref="E10767:F10767"/>
    <mergeCell ref="A10768:B10768"/>
    <mergeCell ref="C10768:D10768"/>
    <mergeCell ref="E10768:F10768"/>
    <mergeCell ref="A10769:B10769"/>
    <mergeCell ref="C10769:D10769"/>
    <mergeCell ref="E10769:F10769"/>
    <mergeCell ref="C10770:D10770"/>
    <mergeCell ref="E10770:H10770"/>
    <mergeCell ref="C10771:H10771"/>
    <mergeCell ref="A10772:A10773"/>
    <mergeCell ref="B10772:B10773"/>
    <mergeCell ref="C10772:C10773"/>
    <mergeCell ref="D10772:D10773"/>
    <mergeCell ref="E10772:E10773"/>
    <mergeCell ref="F10772:G10772"/>
    <mergeCell ref="H10772:H10773"/>
    <mergeCell ref="A10107:H10107"/>
    <mergeCell ref="A10108:D10108"/>
    <mergeCell ref="E10108:H10108"/>
    <mergeCell ref="A10109:D10109"/>
    <mergeCell ref="A10110:D10110"/>
    <mergeCell ref="A10111:D10111"/>
    <mergeCell ref="A10112:D10112"/>
    <mergeCell ref="E10112:H10112"/>
    <mergeCell ref="A10116:D10116"/>
    <mergeCell ref="E10116:H10117"/>
    <mergeCell ref="B10117:D10117"/>
    <mergeCell ref="A10118:B10118"/>
    <mergeCell ref="D10118:E10118"/>
    <mergeCell ref="G10118:H10118"/>
    <mergeCell ref="C10119:D10119"/>
    <mergeCell ref="E10119:F10119"/>
    <mergeCell ref="A10120:B10120"/>
    <mergeCell ref="C10120:D10120"/>
    <mergeCell ref="E10120:F10120"/>
    <mergeCell ref="A10121:B10121"/>
    <mergeCell ref="C10121:D10121"/>
    <mergeCell ref="E10121:F10121"/>
    <mergeCell ref="C10719:D10719"/>
    <mergeCell ref="E10719:F10719"/>
    <mergeCell ref="E10624:F10624"/>
    <mergeCell ref="A10625:B10625"/>
    <mergeCell ref="C10625:D10625"/>
    <mergeCell ref="E10625:F10625"/>
    <mergeCell ref="A10626:B10626"/>
    <mergeCell ref="C10626:D10626"/>
    <mergeCell ref="E10626:F10626"/>
    <mergeCell ref="C10627:D10627"/>
    <mergeCell ref="E10627:H10627"/>
    <mergeCell ref="C10628:H10628"/>
    <mergeCell ref="C10674:D10674"/>
    <mergeCell ref="E10674:H10674"/>
    <mergeCell ref="C10675:H10675"/>
    <mergeCell ref="A10676:A10677"/>
    <mergeCell ref="B10676:B10677"/>
    <mergeCell ref="C10676:C10677"/>
    <mergeCell ref="D10676:D10677"/>
    <mergeCell ref="E10676:E10677"/>
    <mergeCell ref="F10676:G10676"/>
    <mergeCell ref="H10676:H10677"/>
    <mergeCell ref="A10701:B10701"/>
    <mergeCell ref="F10701:G10701"/>
    <mergeCell ref="A10702:E10702"/>
    <mergeCell ref="F10702:G10702"/>
    <mergeCell ref="F10703:G10703"/>
    <mergeCell ref="F10704:G10704"/>
    <mergeCell ref="E10705:F10705"/>
    <mergeCell ref="A10662:D10662"/>
    <mergeCell ref="A10663:D10663"/>
    <mergeCell ref="A10664:D10664"/>
    <mergeCell ref="A10665:D10665"/>
    <mergeCell ref="E10665:H10665"/>
    <mergeCell ref="A10668:D10668"/>
    <mergeCell ref="E10668:H10669"/>
    <mergeCell ref="B10669:D10669"/>
    <mergeCell ref="A10670:B10670"/>
    <mergeCell ref="C10670:D10670"/>
    <mergeCell ref="E10670:H10670"/>
    <mergeCell ref="C10671:D10671"/>
    <mergeCell ref="E10671:F10671"/>
    <mergeCell ref="A9920:D9920"/>
    <mergeCell ref="E9920:H9920"/>
    <mergeCell ref="A9921:D9921"/>
    <mergeCell ref="A9922:D9922"/>
    <mergeCell ref="A9923:D9923"/>
    <mergeCell ref="A9924:D9924"/>
    <mergeCell ref="E9924:H9924"/>
    <mergeCell ref="A9929:D9929"/>
    <mergeCell ref="E9929:H9930"/>
    <mergeCell ref="B9930:D9930"/>
    <mergeCell ref="A9931:B9931"/>
    <mergeCell ref="C9931:D9931"/>
    <mergeCell ref="E9931:H9931"/>
    <mergeCell ref="E10023:H10023"/>
    <mergeCell ref="C10024:D10024"/>
    <mergeCell ref="E10024:F10024"/>
    <mergeCell ref="A10025:B10025"/>
    <mergeCell ref="C10025:D10025"/>
    <mergeCell ref="E10025:F10025"/>
    <mergeCell ref="A10026:B10026"/>
    <mergeCell ref="C10026:D10026"/>
    <mergeCell ref="E10026:F10026"/>
    <mergeCell ref="C10027:D10027"/>
    <mergeCell ref="E10027:H10027"/>
    <mergeCell ref="C10028:H10028"/>
    <mergeCell ref="A10029:A10030"/>
    <mergeCell ref="B10029:B10030"/>
    <mergeCell ref="C10029:C10030"/>
    <mergeCell ref="D10029:D10030"/>
    <mergeCell ref="E10029:E10030"/>
    <mergeCell ref="F10029:G10029"/>
    <mergeCell ref="H10029:H10030"/>
    <mergeCell ref="C9932:D9932"/>
    <mergeCell ref="E9932:F9932"/>
    <mergeCell ref="A9933:B9933"/>
    <mergeCell ref="C9933:D9933"/>
    <mergeCell ref="E9933:F9933"/>
    <mergeCell ref="F9961:G9961"/>
    <mergeCell ref="F9962:G9962"/>
    <mergeCell ref="E9963:F9963"/>
    <mergeCell ref="E9964:F9964"/>
    <mergeCell ref="A9965:H9965"/>
    <mergeCell ref="A9966:D9966"/>
    <mergeCell ref="E9966:H9966"/>
    <mergeCell ref="A9967:D9967"/>
    <mergeCell ref="A9968:D9968"/>
    <mergeCell ref="A9969:D9969"/>
    <mergeCell ref="A9970:D9970"/>
    <mergeCell ref="E9970:H9970"/>
    <mergeCell ref="A9974:D9974"/>
    <mergeCell ref="E9974:H9975"/>
    <mergeCell ref="B9975:D9975"/>
    <mergeCell ref="D9976:E9976"/>
    <mergeCell ref="C9977:D9977"/>
    <mergeCell ref="E9977:F9977"/>
    <mergeCell ref="A9934:B9934"/>
    <mergeCell ref="C9934:D9934"/>
    <mergeCell ref="E9934:F9934"/>
    <mergeCell ref="A9935:B9935"/>
    <mergeCell ref="C9935:D9935"/>
    <mergeCell ref="E9935:H9935"/>
    <mergeCell ref="A9936:B9936"/>
    <mergeCell ref="C9936:H9936"/>
    <mergeCell ref="A9937:A9938"/>
    <mergeCell ref="A9890:B9890"/>
    <mergeCell ref="C9890:H9890"/>
    <mergeCell ref="A9891:A9892"/>
    <mergeCell ref="B9891:B9892"/>
    <mergeCell ref="C9891:C9892"/>
    <mergeCell ref="D9891:D9892"/>
    <mergeCell ref="E9891:E9892"/>
    <mergeCell ref="F9891:G9891"/>
    <mergeCell ref="H9891:H9892"/>
    <mergeCell ref="F9913:G9913"/>
    <mergeCell ref="A9914:E9914"/>
    <mergeCell ref="F9914:G9914"/>
    <mergeCell ref="F9915:G9915"/>
    <mergeCell ref="F9916:G9916"/>
    <mergeCell ref="E9917:F9917"/>
    <mergeCell ref="E9918:F9918"/>
    <mergeCell ref="A9919:H9919"/>
    <mergeCell ref="A9883:D9883"/>
    <mergeCell ref="E9883:H9884"/>
    <mergeCell ref="B9884:D9884"/>
    <mergeCell ref="A9885:B9885"/>
    <mergeCell ref="C9885:D9885"/>
    <mergeCell ref="E9885:H9885"/>
    <mergeCell ref="C9886:D9886"/>
    <mergeCell ref="E9886:F9886"/>
    <mergeCell ref="A9887:B9887"/>
    <mergeCell ref="C9887:D9887"/>
    <mergeCell ref="E9887:F9887"/>
    <mergeCell ref="A9888:B9888"/>
    <mergeCell ref="C9888:D9888"/>
    <mergeCell ref="E9888:F9888"/>
    <mergeCell ref="A9889:B9889"/>
    <mergeCell ref="C9889:D9889"/>
    <mergeCell ref="E9889:H9889"/>
    <mergeCell ref="E9589:F9589"/>
    <mergeCell ref="A9590:H9590"/>
    <mergeCell ref="A9591:D9591"/>
    <mergeCell ref="E9591:H9591"/>
    <mergeCell ref="F9396:G9396"/>
    <mergeCell ref="F9397:G9397"/>
    <mergeCell ref="E9398:F9398"/>
    <mergeCell ref="E9399:F9399"/>
    <mergeCell ref="A9400:H9400"/>
    <mergeCell ref="A9401:D9401"/>
    <mergeCell ref="E9401:H9401"/>
    <mergeCell ref="A9408:D9408"/>
    <mergeCell ref="C9411:D9411"/>
    <mergeCell ref="E9411:F9411"/>
    <mergeCell ref="A9412:B9412"/>
    <mergeCell ref="C9412:D9412"/>
    <mergeCell ref="E9412:F9412"/>
    <mergeCell ref="A9413:B9413"/>
    <mergeCell ref="C9267:D9267"/>
    <mergeCell ref="E9267:F9267"/>
    <mergeCell ref="A9268:B9268"/>
    <mergeCell ref="C9268:D9268"/>
    <mergeCell ref="E9268:F9268"/>
    <mergeCell ref="A9269:B9269"/>
    <mergeCell ref="C9269:D9269"/>
    <mergeCell ref="E9269:F9269"/>
    <mergeCell ref="C9270:D9270"/>
    <mergeCell ref="E9270:H9270"/>
    <mergeCell ref="C9271:H9271"/>
    <mergeCell ref="A9272:A9273"/>
    <mergeCell ref="B9272:B9273"/>
    <mergeCell ref="C9272:C9273"/>
    <mergeCell ref="D9272:D9273"/>
    <mergeCell ref="E9272:E9273"/>
    <mergeCell ref="F9272:G9272"/>
    <mergeCell ref="H9272:H9273"/>
    <mergeCell ref="C9320:C9321"/>
    <mergeCell ref="D9320:D9321"/>
    <mergeCell ref="E9320:E9321"/>
    <mergeCell ref="F9320:G9320"/>
    <mergeCell ref="H9320:H9321"/>
    <mergeCell ref="A9298:B9298"/>
    <mergeCell ref="F9298:G9298"/>
    <mergeCell ref="A9299:E9299"/>
    <mergeCell ref="F9299:G9299"/>
    <mergeCell ref="F9300:G9300"/>
    <mergeCell ref="F9301:G9301"/>
    <mergeCell ref="E9302:F9302"/>
    <mergeCell ref="E9303:F9303"/>
    <mergeCell ref="A9304:H9304"/>
    <mergeCell ref="A9305:D9305"/>
    <mergeCell ref="E9305:H9305"/>
    <mergeCell ref="A9306:D9306"/>
    <mergeCell ref="A9307:D9307"/>
    <mergeCell ref="A9308:D9308"/>
    <mergeCell ref="A9309:D9309"/>
    <mergeCell ref="E9309:H9309"/>
    <mergeCell ref="A9312:D9312"/>
    <mergeCell ref="E9312:H9313"/>
    <mergeCell ref="B9313:D9313"/>
    <mergeCell ref="A9346:B9346"/>
    <mergeCell ref="F9346:G9346"/>
    <mergeCell ref="A9347:E9347"/>
    <mergeCell ref="F9347:G9347"/>
    <mergeCell ref="A9592:D9592"/>
    <mergeCell ref="A9593:D9593"/>
    <mergeCell ref="A9594:D9594"/>
    <mergeCell ref="A9595:D9595"/>
    <mergeCell ref="E9595:H9595"/>
    <mergeCell ref="A9550:D9550"/>
    <mergeCell ref="E9550:H9551"/>
    <mergeCell ref="B9551:D9551"/>
    <mergeCell ref="E9552:H9552"/>
    <mergeCell ref="E9554:F9554"/>
    <mergeCell ref="C9555:D9555"/>
    <mergeCell ref="E9555:F9555"/>
    <mergeCell ref="C9556:D9556"/>
    <mergeCell ref="E9556:H9556"/>
    <mergeCell ref="A8986:B8986"/>
    <mergeCell ref="C8986:D8986"/>
    <mergeCell ref="E8986:F8986"/>
    <mergeCell ref="C8987:D8987"/>
    <mergeCell ref="E8987:H8987"/>
    <mergeCell ref="C8988:H8988"/>
    <mergeCell ref="A8989:A8990"/>
    <mergeCell ref="B8989:B8990"/>
    <mergeCell ref="C8989:C8990"/>
    <mergeCell ref="D8989:D8990"/>
    <mergeCell ref="E8989:E8990"/>
    <mergeCell ref="F8989:G8989"/>
    <mergeCell ref="C9557:H9557"/>
    <mergeCell ref="A9558:A9559"/>
    <mergeCell ref="B9558:B9559"/>
    <mergeCell ref="C9558:C9559"/>
    <mergeCell ref="D9558:D9559"/>
    <mergeCell ref="E9558:E9559"/>
    <mergeCell ref="F9558:G9558"/>
    <mergeCell ref="H9558:H9559"/>
    <mergeCell ref="A9584:B9584"/>
    <mergeCell ref="F9584:G9584"/>
    <mergeCell ref="A9585:E9585"/>
    <mergeCell ref="F9585:G9585"/>
    <mergeCell ref="F9586:G9586"/>
    <mergeCell ref="F9587:G9587"/>
    <mergeCell ref="E9588:F9588"/>
    <mergeCell ref="A9552:B9552"/>
    <mergeCell ref="C9552:D9552"/>
    <mergeCell ref="C9553:D9553"/>
    <mergeCell ref="E9553:F9553"/>
    <mergeCell ref="A9554:B9554"/>
    <mergeCell ref="C9554:D9554"/>
    <mergeCell ref="A9555:B9555"/>
    <mergeCell ref="A9402:D9402"/>
    <mergeCell ref="A9403:D9403"/>
    <mergeCell ref="A9404:D9404"/>
    <mergeCell ref="A9405:D9405"/>
    <mergeCell ref="E9405:H9405"/>
    <mergeCell ref="A9368:A9369"/>
    <mergeCell ref="B9368:B9369"/>
    <mergeCell ref="C9368:C9369"/>
    <mergeCell ref="D9368:D9369"/>
    <mergeCell ref="E9368:E9369"/>
    <mergeCell ref="F9368:G9368"/>
    <mergeCell ref="H9368:H9369"/>
    <mergeCell ref="A9394:B9394"/>
    <mergeCell ref="F9394:G9394"/>
    <mergeCell ref="A9395:E9395"/>
    <mergeCell ref="F9395:G9395"/>
    <mergeCell ref="A8974:D8974"/>
    <mergeCell ref="E8974:H8974"/>
    <mergeCell ref="A8975:D8975"/>
    <mergeCell ref="A8976:D8976"/>
    <mergeCell ref="A8977:D8977"/>
    <mergeCell ref="A8978:D8978"/>
    <mergeCell ref="E8978:H8978"/>
    <mergeCell ref="A8943:B8943"/>
    <mergeCell ref="C8943:H8943"/>
    <mergeCell ref="A8944:A8945"/>
    <mergeCell ref="B8944:B8945"/>
    <mergeCell ref="C8944:C8945"/>
    <mergeCell ref="D8944:D8945"/>
    <mergeCell ref="E8944:E8945"/>
    <mergeCell ref="F8944:G8944"/>
    <mergeCell ref="H8944:H8945"/>
    <mergeCell ref="F8967:G8967"/>
    <mergeCell ref="A8968:E8968"/>
    <mergeCell ref="F8968:G8968"/>
    <mergeCell ref="F8969:G8969"/>
    <mergeCell ref="F8970:G8970"/>
    <mergeCell ref="E8971:F8971"/>
    <mergeCell ref="E8972:F8972"/>
    <mergeCell ref="A8973:H8973"/>
    <mergeCell ref="A8981:D8981"/>
    <mergeCell ref="E8981:H8982"/>
    <mergeCell ref="B8982:D8982"/>
    <mergeCell ref="A8983:B8983"/>
    <mergeCell ref="C8983:D8983"/>
    <mergeCell ref="E8983:H8983"/>
    <mergeCell ref="C8984:D8984"/>
    <mergeCell ref="E8984:F8984"/>
    <mergeCell ref="A8985:B8985"/>
    <mergeCell ref="C8985:D8985"/>
    <mergeCell ref="E8985:F8985"/>
    <mergeCell ref="E8802:E8803"/>
    <mergeCell ref="F8802:G8802"/>
    <mergeCell ref="H8802:H8803"/>
    <mergeCell ref="A8936:D8936"/>
    <mergeCell ref="E8936:H8937"/>
    <mergeCell ref="B8937:D8937"/>
    <mergeCell ref="A8938:B8938"/>
    <mergeCell ref="C8938:D8938"/>
    <mergeCell ref="E8938:H8938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H8942"/>
    <mergeCell ref="A8875:B8875"/>
    <mergeCell ref="A8876:D8876"/>
    <mergeCell ref="A8878:C8878"/>
    <mergeCell ref="E8879:F8879"/>
    <mergeCell ref="E8880:F8880"/>
    <mergeCell ref="A8881:E8881"/>
    <mergeCell ref="A8882:C8882"/>
    <mergeCell ref="A8884:D8884"/>
    <mergeCell ref="A8885:D8885"/>
    <mergeCell ref="A8886:D8886"/>
    <mergeCell ref="E8886:H8886"/>
    <mergeCell ref="A8842:D8842"/>
    <mergeCell ref="E8842:H8843"/>
    <mergeCell ref="B8843:D8843"/>
    <mergeCell ref="A8844:B8844"/>
    <mergeCell ref="C8844:D8844"/>
    <mergeCell ref="E8844:H8844"/>
    <mergeCell ref="C8845:D8845"/>
    <mergeCell ref="E8845:F8845"/>
    <mergeCell ref="C8846:D8846"/>
    <mergeCell ref="E8846:F8846"/>
    <mergeCell ref="C8847:D8847"/>
    <mergeCell ref="E8847:F8847"/>
    <mergeCell ref="C8848:D8848"/>
    <mergeCell ref="A8849:B8849"/>
    <mergeCell ref="A8850:A8851"/>
    <mergeCell ref="B8850:B8851"/>
    <mergeCell ref="C8850:C8851"/>
    <mergeCell ref="D8850:D8851"/>
    <mergeCell ref="E8850:E8851"/>
    <mergeCell ref="F8850:G8850"/>
    <mergeCell ref="H8850:H8851"/>
    <mergeCell ref="A8932:D8932"/>
    <mergeCell ref="A8933:D8933"/>
    <mergeCell ref="A8934:D8934"/>
    <mergeCell ref="E8934:H8934"/>
    <mergeCell ref="A8561:B8561"/>
    <mergeCell ref="C8561:D8561"/>
    <mergeCell ref="E8561:F8561"/>
    <mergeCell ref="A8562:B8562"/>
    <mergeCell ref="C8562:D8562"/>
    <mergeCell ref="E8562:H8562"/>
    <mergeCell ref="A8563:B8563"/>
    <mergeCell ref="C8563:H8563"/>
    <mergeCell ref="A8564:A8565"/>
    <mergeCell ref="B8564:B8565"/>
    <mergeCell ref="C8564:C8565"/>
    <mergeCell ref="D8564:D8565"/>
    <mergeCell ref="E8564:E8565"/>
    <mergeCell ref="E8785:F8785"/>
    <mergeCell ref="A8786:H8786"/>
    <mergeCell ref="A8787:D8787"/>
    <mergeCell ref="E8787:H8787"/>
    <mergeCell ref="A8788:D8788"/>
    <mergeCell ref="A8789:D8789"/>
    <mergeCell ref="A8790:D8790"/>
    <mergeCell ref="A8791:D8791"/>
    <mergeCell ref="E8791:H8791"/>
    <mergeCell ref="A8794:D8794"/>
    <mergeCell ref="E8794:H8795"/>
    <mergeCell ref="B8795:D8795"/>
    <mergeCell ref="A8796:B8796"/>
    <mergeCell ref="D8796:E8796"/>
    <mergeCell ref="G8796:H8796"/>
    <mergeCell ref="C8797:D8797"/>
    <mergeCell ref="E8797:F8797"/>
    <mergeCell ref="A8754:B8754"/>
    <mergeCell ref="C8754:H8754"/>
    <mergeCell ref="A8755:A8756"/>
    <mergeCell ref="B8755:B8756"/>
    <mergeCell ref="C8755:C8756"/>
    <mergeCell ref="D8755:D8756"/>
    <mergeCell ref="E8755:E8756"/>
    <mergeCell ref="F8755:G8755"/>
    <mergeCell ref="H8755:H8756"/>
    <mergeCell ref="A8780:C8780"/>
    <mergeCell ref="F8780:G8780"/>
    <mergeCell ref="A8781:E8781"/>
    <mergeCell ref="F8781:G8781"/>
    <mergeCell ref="F8782:G8782"/>
    <mergeCell ref="A8783:D8783"/>
    <mergeCell ref="F8783:G8783"/>
    <mergeCell ref="E8784:F8784"/>
    <mergeCell ref="F8564:G8564"/>
    <mergeCell ref="H8564:H8565"/>
    <mergeCell ref="A8589:C8589"/>
    <mergeCell ref="F8589:G8589"/>
    <mergeCell ref="A8590:E8590"/>
    <mergeCell ref="F8590:G8590"/>
    <mergeCell ref="F8591:G8591"/>
    <mergeCell ref="A8592:D8592"/>
    <mergeCell ref="F8592:G8592"/>
    <mergeCell ref="E8593:F8593"/>
    <mergeCell ref="E8594:F8594"/>
    <mergeCell ref="A8595:H8595"/>
    <mergeCell ref="A8596:D8596"/>
    <mergeCell ref="E8596:H8596"/>
    <mergeCell ref="A8597:D8597"/>
    <mergeCell ref="A8598:D8598"/>
    <mergeCell ref="A8599:D8599"/>
    <mergeCell ref="A8549:D8549"/>
    <mergeCell ref="A8550:D8550"/>
    <mergeCell ref="A8551:D8551"/>
    <mergeCell ref="A8552:D8552"/>
    <mergeCell ref="E8552:H8552"/>
    <mergeCell ref="A8520:A8521"/>
    <mergeCell ref="B8520:B8521"/>
    <mergeCell ref="C8520:C8521"/>
    <mergeCell ref="D8520:D8521"/>
    <mergeCell ref="E8520:E8521"/>
    <mergeCell ref="F8520:G8520"/>
    <mergeCell ref="H8520:H8521"/>
    <mergeCell ref="A8541:B8541"/>
    <mergeCell ref="F8541:G8541"/>
    <mergeCell ref="A8542:E8542"/>
    <mergeCell ref="F8542:G8542"/>
    <mergeCell ref="F8543:G8543"/>
    <mergeCell ref="F8544:G8544"/>
    <mergeCell ref="E8545:F8545"/>
    <mergeCell ref="E8546:F8546"/>
    <mergeCell ref="A8547:H8547"/>
    <mergeCell ref="A8548:D8548"/>
    <mergeCell ref="E8548:H8548"/>
    <mergeCell ref="A8556:D8556"/>
    <mergeCell ref="E8556:H8557"/>
    <mergeCell ref="B8557:D8557"/>
    <mergeCell ref="A8558:B8558"/>
    <mergeCell ref="D8558:E8558"/>
    <mergeCell ref="G8558:H8558"/>
    <mergeCell ref="C8559:D8559"/>
    <mergeCell ref="E8559:F8559"/>
    <mergeCell ref="A8560:B8560"/>
    <mergeCell ref="C8560:D8560"/>
    <mergeCell ref="E8560:F8560"/>
    <mergeCell ref="A8512:D8512"/>
    <mergeCell ref="E8512:H8513"/>
    <mergeCell ref="B8513:D8513"/>
    <mergeCell ref="A8514:B8514"/>
    <mergeCell ref="D8514:E8514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A8519:B8519"/>
    <mergeCell ref="C8519:H8519"/>
    <mergeCell ref="A8174:B8174"/>
    <mergeCell ref="A8175:D8175"/>
    <mergeCell ref="A8177:C8177"/>
    <mergeCell ref="E8178:F8178"/>
    <mergeCell ref="E8179:F8179"/>
    <mergeCell ref="A8180:E8180"/>
    <mergeCell ref="A8181:C8181"/>
    <mergeCell ref="A8183:D8183"/>
    <mergeCell ref="A8184:D8184"/>
    <mergeCell ref="A8185:D8185"/>
    <mergeCell ref="E8185:H8185"/>
    <mergeCell ref="A8141:D8141"/>
    <mergeCell ref="E8141:H8142"/>
    <mergeCell ref="B8142:D8142"/>
    <mergeCell ref="A8143:B8143"/>
    <mergeCell ref="C8143:D8143"/>
    <mergeCell ref="E8143:H8143"/>
    <mergeCell ref="C8144:D8144"/>
    <mergeCell ref="E8144:F8144"/>
    <mergeCell ref="C8145:D8145"/>
    <mergeCell ref="E8145:F8145"/>
    <mergeCell ref="C8146:D8146"/>
    <mergeCell ref="E8146:F8146"/>
    <mergeCell ref="C8147:D8147"/>
    <mergeCell ref="A8148:B8148"/>
    <mergeCell ref="A8149:A8150"/>
    <mergeCell ref="B8149:B8150"/>
    <mergeCell ref="C8149:C8150"/>
    <mergeCell ref="D8149:D8150"/>
    <mergeCell ref="E8149:E8150"/>
    <mergeCell ref="F8149:G8149"/>
    <mergeCell ref="H8149:H8150"/>
    <mergeCell ref="A8190:C8190"/>
    <mergeCell ref="D8190:E8190"/>
    <mergeCell ref="G8190:H8190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G8194"/>
    <mergeCell ref="A8230:D8230"/>
    <mergeCell ref="E8054:F8054"/>
    <mergeCell ref="A8055:B8055"/>
    <mergeCell ref="C8055:D8055"/>
    <mergeCell ref="E8055:G8055"/>
    <mergeCell ref="A8056:B8056"/>
    <mergeCell ref="A8102:A8103"/>
    <mergeCell ref="B8102:B8103"/>
    <mergeCell ref="C8102:C8103"/>
    <mergeCell ref="D8102:D8103"/>
    <mergeCell ref="E8102:E8103"/>
    <mergeCell ref="F8102:G8102"/>
    <mergeCell ref="H8102:H8103"/>
    <mergeCell ref="A8127:B8127"/>
    <mergeCell ref="A8128:D8128"/>
    <mergeCell ref="A8130:C8130"/>
    <mergeCell ref="E8131:F8131"/>
    <mergeCell ref="E8132:F8132"/>
    <mergeCell ref="A8133:E8133"/>
    <mergeCell ref="A8134:C8134"/>
    <mergeCell ref="A8136:D8136"/>
    <mergeCell ref="A8137:D8137"/>
    <mergeCell ref="A8138:D8138"/>
    <mergeCell ref="E8138:H8138"/>
    <mergeCell ref="A8091:D8091"/>
    <mergeCell ref="A8092:D8092"/>
    <mergeCell ref="E8092:H8092"/>
    <mergeCell ref="A8094:D8094"/>
    <mergeCell ref="E8094:H8095"/>
    <mergeCell ref="B8095:D8095"/>
    <mergeCell ref="A8096:B8096"/>
    <mergeCell ref="C8096:D8096"/>
    <mergeCell ref="E8096:H8096"/>
    <mergeCell ref="C8097:D8097"/>
    <mergeCell ref="E8097:F8097"/>
    <mergeCell ref="C8098:D8098"/>
    <mergeCell ref="E8098:F8098"/>
    <mergeCell ref="C8099:D8099"/>
    <mergeCell ref="E8099:F8099"/>
    <mergeCell ref="C8100:D8100"/>
    <mergeCell ref="A8101:B8101"/>
    <mergeCell ref="A7996:D7996"/>
    <mergeCell ref="A7997:D7997"/>
    <mergeCell ref="E7997:H7997"/>
    <mergeCell ref="A7962:A7963"/>
    <mergeCell ref="B7962:B7963"/>
    <mergeCell ref="C7962:C7963"/>
    <mergeCell ref="D7962:D7963"/>
    <mergeCell ref="E7962:E7963"/>
    <mergeCell ref="F7962:G7962"/>
    <mergeCell ref="H7962:H7963"/>
    <mergeCell ref="A7986:B7986"/>
    <mergeCell ref="A7987:D7987"/>
    <mergeCell ref="A7989:C7989"/>
    <mergeCell ref="E7990:F7990"/>
    <mergeCell ref="E7991:F7991"/>
    <mergeCell ref="A7992:E7992"/>
    <mergeCell ref="A7993:D7993"/>
    <mergeCell ref="E7993:H7993"/>
    <mergeCell ref="A7994:D7994"/>
    <mergeCell ref="A7995:D7995"/>
    <mergeCell ref="A7954:D7954"/>
    <mergeCell ref="E7954:H7955"/>
    <mergeCell ref="B7955:D7955"/>
    <mergeCell ref="A7956:B7956"/>
    <mergeCell ref="C7956:D7956"/>
    <mergeCell ref="E7956:H7956"/>
    <mergeCell ref="C7957:D7957"/>
    <mergeCell ref="E7957:F7957"/>
    <mergeCell ref="C7958:D7958"/>
    <mergeCell ref="E7958:F7958"/>
    <mergeCell ref="A7959:B7959"/>
    <mergeCell ref="C7959:D7959"/>
    <mergeCell ref="E7959:F7959"/>
    <mergeCell ref="A7960:B7960"/>
    <mergeCell ref="C7960:D7960"/>
    <mergeCell ref="E7960:G7960"/>
    <mergeCell ref="A7961:B7961"/>
    <mergeCell ref="A7947:D7947"/>
    <mergeCell ref="A7948:D7948"/>
    <mergeCell ref="A7949:D7949"/>
    <mergeCell ref="A7950:D7950"/>
    <mergeCell ref="E7950:H7950"/>
    <mergeCell ref="A7916:A7917"/>
    <mergeCell ref="B7916:B7917"/>
    <mergeCell ref="C7916:C7917"/>
    <mergeCell ref="D7916:D7917"/>
    <mergeCell ref="E7916:E7917"/>
    <mergeCell ref="F7916:G7916"/>
    <mergeCell ref="H7916:H7917"/>
    <mergeCell ref="F7939:G7939"/>
    <mergeCell ref="A7940:E7940"/>
    <mergeCell ref="F7940:G7940"/>
    <mergeCell ref="F7941:G7941"/>
    <mergeCell ref="F7942:G7942"/>
    <mergeCell ref="E7943:F7943"/>
    <mergeCell ref="E7944:F7944"/>
    <mergeCell ref="A7945:H7945"/>
    <mergeCell ref="A7946:D7946"/>
    <mergeCell ref="E7946:H7946"/>
    <mergeCell ref="A7908:D7908"/>
    <mergeCell ref="E7908:H7909"/>
    <mergeCell ref="B7909:D7909"/>
    <mergeCell ref="D7910:E7910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H7914"/>
    <mergeCell ref="A7915:B7915"/>
    <mergeCell ref="C7915:H7915"/>
    <mergeCell ref="A7866:B7866"/>
    <mergeCell ref="C7866:D7866"/>
    <mergeCell ref="E7866:F7866"/>
    <mergeCell ref="A7867:B7867"/>
    <mergeCell ref="C7867:D7867"/>
    <mergeCell ref="E7867:H7867"/>
    <mergeCell ref="A7868:B7868"/>
    <mergeCell ref="C7868:H7868"/>
    <mergeCell ref="A7900:D7900"/>
    <mergeCell ref="A7901:D7901"/>
    <mergeCell ref="A7902:D7902"/>
    <mergeCell ref="A7903:D7903"/>
    <mergeCell ref="E7903:H7903"/>
    <mergeCell ref="A7869:A7870"/>
    <mergeCell ref="B7869:B7870"/>
    <mergeCell ref="C7869:C7870"/>
    <mergeCell ref="D7869:D7870"/>
    <mergeCell ref="E7869:E7870"/>
    <mergeCell ref="F7869:G7869"/>
    <mergeCell ref="H7869:H7870"/>
    <mergeCell ref="F7892:G7892"/>
    <mergeCell ref="A7893:E7893"/>
    <mergeCell ref="F7893:G7893"/>
    <mergeCell ref="F7894:G7894"/>
    <mergeCell ref="F7895:G7895"/>
    <mergeCell ref="E7896:F7896"/>
    <mergeCell ref="E7897:F7897"/>
    <mergeCell ref="A7898:H7898"/>
    <mergeCell ref="A7899:D7899"/>
    <mergeCell ref="E7899:H7899"/>
    <mergeCell ref="A7807:H7807"/>
    <mergeCell ref="A7808:D7808"/>
    <mergeCell ref="E7808:H7808"/>
    <mergeCell ref="A7809:D7809"/>
    <mergeCell ref="A7810:D7810"/>
    <mergeCell ref="A7811:D7811"/>
    <mergeCell ref="A7812:D7812"/>
    <mergeCell ref="E7812:H7812"/>
    <mergeCell ref="A7820:B7820"/>
    <mergeCell ref="C7820:D7820"/>
    <mergeCell ref="E7820:F7820"/>
    <mergeCell ref="A7821:B7821"/>
    <mergeCell ref="C7821:D7821"/>
    <mergeCell ref="E7821:H7821"/>
    <mergeCell ref="A7822:B7822"/>
    <mergeCell ref="C7822:H7822"/>
    <mergeCell ref="A7854:D7854"/>
    <mergeCell ref="A7855:D7855"/>
    <mergeCell ref="A7856:D7856"/>
    <mergeCell ref="A7857:D7857"/>
    <mergeCell ref="E7857:H7857"/>
    <mergeCell ref="A7823:A7824"/>
    <mergeCell ref="B7823:B7824"/>
    <mergeCell ref="C7823:C7824"/>
    <mergeCell ref="D7823:D7824"/>
    <mergeCell ref="E7823:E7824"/>
    <mergeCell ref="F7823:G7823"/>
    <mergeCell ref="H7823:H7824"/>
    <mergeCell ref="F7846:G7846"/>
    <mergeCell ref="A7847:E7847"/>
    <mergeCell ref="F7847:G7847"/>
    <mergeCell ref="F7848:G7848"/>
    <mergeCell ref="F7849:G7849"/>
    <mergeCell ref="E7850:F7850"/>
    <mergeCell ref="A7777:B7777"/>
    <mergeCell ref="A7778:A7779"/>
    <mergeCell ref="B7778:B7779"/>
    <mergeCell ref="C7778:C7779"/>
    <mergeCell ref="D7778:D7779"/>
    <mergeCell ref="E7778:E7779"/>
    <mergeCell ref="F7778:G7778"/>
    <mergeCell ref="H7778:H7779"/>
    <mergeCell ref="A7800:B7800"/>
    <mergeCell ref="F7800:G7800"/>
    <mergeCell ref="A7801:E7801"/>
    <mergeCell ref="F7801:G7801"/>
    <mergeCell ref="F7802:G7802"/>
    <mergeCell ref="A7803:B7803"/>
    <mergeCell ref="F7803:G7803"/>
    <mergeCell ref="E7805:F7805"/>
    <mergeCell ref="E7806:F7806"/>
    <mergeCell ref="A7770:D7770"/>
    <mergeCell ref="E7770:H7771"/>
    <mergeCell ref="B7771:D7771"/>
    <mergeCell ref="A7772:B7772"/>
    <mergeCell ref="C7772:D7772"/>
    <mergeCell ref="E7772:H7772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G7776"/>
    <mergeCell ref="E7682:F7682"/>
    <mergeCell ref="A7683:B7683"/>
    <mergeCell ref="C7683:D7683"/>
    <mergeCell ref="E7683:G7683"/>
    <mergeCell ref="F7757:G7757"/>
    <mergeCell ref="F7758:G7758"/>
    <mergeCell ref="E7759:F7759"/>
    <mergeCell ref="E7760:F7760"/>
    <mergeCell ref="A7761:H7761"/>
    <mergeCell ref="A7762:D7762"/>
    <mergeCell ref="E7762:H7762"/>
    <mergeCell ref="A7763:D7763"/>
    <mergeCell ref="A7764:D7764"/>
    <mergeCell ref="A7765:D7765"/>
    <mergeCell ref="A7766:D7766"/>
    <mergeCell ref="E7766:H7766"/>
    <mergeCell ref="A7728:B7728"/>
    <mergeCell ref="C7728:D7728"/>
    <mergeCell ref="E7728:F7728"/>
    <mergeCell ref="C7729:D7729"/>
    <mergeCell ref="E7729:H7729"/>
    <mergeCell ref="C7730:H7730"/>
    <mergeCell ref="A7731:A7732"/>
    <mergeCell ref="B7731:B7732"/>
    <mergeCell ref="C7731:C7732"/>
    <mergeCell ref="D7731:D7732"/>
    <mergeCell ref="E7731:E7732"/>
    <mergeCell ref="F7731:G7731"/>
    <mergeCell ref="H7731:H7732"/>
    <mergeCell ref="A7755:B7755"/>
    <mergeCell ref="F7755:G7755"/>
    <mergeCell ref="A7756:E7756"/>
    <mergeCell ref="F7756:G7756"/>
    <mergeCell ref="A7716:D7716"/>
    <mergeCell ref="E7716:H7716"/>
    <mergeCell ref="A7717:D7717"/>
    <mergeCell ref="A7718:D7718"/>
    <mergeCell ref="A7719:D7719"/>
    <mergeCell ref="A7720:D7720"/>
    <mergeCell ref="E7720:H7720"/>
    <mergeCell ref="A7723:D7723"/>
    <mergeCell ref="E7723:H7724"/>
    <mergeCell ref="B7724:D7724"/>
    <mergeCell ref="A7725:B7725"/>
    <mergeCell ref="C7725:D7725"/>
    <mergeCell ref="E7725:H7725"/>
    <mergeCell ref="C7726:D7726"/>
    <mergeCell ref="E7726:F7726"/>
    <mergeCell ref="A7727:B7727"/>
    <mergeCell ref="C7727:D7727"/>
    <mergeCell ref="E7727:F7727"/>
    <mergeCell ref="A7441:D7441"/>
    <mergeCell ref="A7442:D7442"/>
    <mergeCell ref="A7443:D7443"/>
    <mergeCell ref="E7443:H7443"/>
    <mergeCell ref="A7398:D7398"/>
    <mergeCell ref="E7398:H7399"/>
    <mergeCell ref="B7399:D7399"/>
    <mergeCell ref="A7400:B7400"/>
    <mergeCell ref="C7400:D7400"/>
    <mergeCell ref="E7400:H7400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G7404"/>
    <mergeCell ref="A7405:B7405"/>
    <mergeCell ref="A7406:A7407"/>
    <mergeCell ref="B7406:B7407"/>
    <mergeCell ref="C7406:C7407"/>
    <mergeCell ref="D7406:D7407"/>
    <mergeCell ref="E7406:E7407"/>
    <mergeCell ref="F7406:G7406"/>
    <mergeCell ref="H7406:H7407"/>
    <mergeCell ref="A7622:D7622"/>
    <mergeCell ref="E7622:H7622"/>
    <mergeCell ref="A7629:D7629"/>
    <mergeCell ref="E7629:H7630"/>
    <mergeCell ref="B7630:D7630"/>
    <mergeCell ref="A7593:A7594"/>
    <mergeCell ref="B7593:B7594"/>
    <mergeCell ref="C7593:C7594"/>
    <mergeCell ref="D7593:D7594"/>
    <mergeCell ref="E7593:E7594"/>
    <mergeCell ref="F7593:G7593"/>
    <mergeCell ref="H7593:H7594"/>
    <mergeCell ref="A7604:B7604"/>
    <mergeCell ref="C7604:E7604"/>
    <mergeCell ref="C7605:E7605"/>
    <mergeCell ref="C7606:E7606"/>
    <mergeCell ref="A7607:B7607"/>
    <mergeCell ref="C7607:E7607"/>
    <mergeCell ref="A7611:B7611"/>
    <mergeCell ref="F7611:G7611"/>
    <mergeCell ref="A7612:E7612"/>
    <mergeCell ref="F7612:G7612"/>
    <mergeCell ref="A7451:B7451"/>
    <mergeCell ref="C7451:D7451"/>
    <mergeCell ref="E7451:F7451"/>
    <mergeCell ref="A7452:B7452"/>
    <mergeCell ref="C7452:D7452"/>
    <mergeCell ref="E7452:H7452"/>
    <mergeCell ref="A7453:B7453"/>
    <mergeCell ref="C7453:H7453"/>
    <mergeCell ref="A7454:A7455"/>
    <mergeCell ref="B7454:B7455"/>
    <mergeCell ref="C7454:C7455"/>
    <mergeCell ref="D7454:D7455"/>
    <mergeCell ref="E7454:E7455"/>
    <mergeCell ref="A7266:B7266"/>
    <mergeCell ref="C7266:D7266"/>
    <mergeCell ref="E7266:G7266"/>
    <mergeCell ref="A7267:B7267"/>
    <mergeCell ref="A7302:D7302"/>
    <mergeCell ref="A7303:D7303"/>
    <mergeCell ref="E7303:H7303"/>
    <mergeCell ref="A7268:A7269"/>
    <mergeCell ref="B7268:B7269"/>
    <mergeCell ref="C7268:C7269"/>
    <mergeCell ref="D7268:D7269"/>
    <mergeCell ref="E7268:E7269"/>
    <mergeCell ref="F7268:G7268"/>
    <mergeCell ref="H7268:H7269"/>
    <mergeCell ref="E7340:F7340"/>
    <mergeCell ref="E7341:F7341"/>
    <mergeCell ref="A7342:H7342"/>
    <mergeCell ref="A7343:D7343"/>
    <mergeCell ref="E7343:H7343"/>
    <mergeCell ref="A7344:D7344"/>
    <mergeCell ref="A7345:D7345"/>
    <mergeCell ref="A7346:D7346"/>
    <mergeCell ref="A7347:D7347"/>
    <mergeCell ref="E7347:H7347"/>
    <mergeCell ref="A7354:D7354"/>
    <mergeCell ref="E7354:H7355"/>
    <mergeCell ref="B7355:D7355"/>
    <mergeCell ref="A7356:B7356"/>
    <mergeCell ref="C7356:D7356"/>
    <mergeCell ref="E7356:H7356"/>
    <mergeCell ref="C7357:D7357"/>
    <mergeCell ref="E7357:F7357"/>
    <mergeCell ref="A7314:B7314"/>
    <mergeCell ref="C7314:H7314"/>
    <mergeCell ref="A7315:A7316"/>
    <mergeCell ref="B7315:B7316"/>
    <mergeCell ref="C7315:C7316"/>
    <mergeCell ref="D7315:D7316"/>
    <mergeCell ref="E7315:E7316"/>
    <mergeCell ref="F7315:G7315"/>
    <mergeCell ref="H7315:H7316"/>
    <mergeCell ref="F7334:G7334"/>
    <mergeCell ref="A7336:C7336"/>
    <mergeCell ref="F7336:G7336"/>
    <mergeCell ref="A7337:E7337"/>
    <mergeCell ref="F7337:G7337"/>
    <mergeCell ref="F7338:G7338"/>
    <mergeCell ref="A7339:D7339"/>
    <mergeCell ref="F7339:G7339"/>
    <mergeCell ref="A7292:B7292"/>
    <mergeCell ref="A7293:D7293"/>
    <mergeCell ref="A7295:C7295"/>
    <mergeCell ref="E7296:F7296"/>
    <mergeCell ref="E7297:F7297"/>
    <mergeCell ref="A7298:E7298"/>
    <mergeCell ref="A7299:D7299"/>
    <mergeCell ref="E7299:H7299"/>
    <mergeCell ref="A7300:D7300"/>
    <mergeCell ref="A7301:D7301"/>
    <mergeCell ref="A7307:D7307"/>
    <mergeCell ref="E7307:H7308"/>
    <mergeCell ref="B7308:D7308"/>
    <mergeCell ref="A7309:B7309"/>
    <mergeCell ref="C7309:D7309"/>
    <mergeCell ref="A7254:D7254"/>
    <mergeCell ref="A7255:D7255"/>
    <mergeCell ref="A7256:D7256"/>
    <mergeCell ref="A7257:D7257"/>
    <mergeCell ref="E7257:H7257"/>
    <mergeCell ref="A7222:A7223"/>
    <mergeCell ref="B7222:B7223"/>
    <mergeCell ref="C7222:C7223"/>
    <mergeCell ref="D7222:D7223"/>
    <mergeCell ref="E7222:E7223"/>
    <mergeCell ref="F7222:G7222"/>
    <mergeCell ref="H7222:H7223"/>
    <mergeCell ref="A7246:B7246"/>
    <mergeCell ref="A7247:D7247"/>
    <mergeCell ref="A7249:C7249"/>
    <mergeCell ref="E7250:F7250"/>
    <mergeCell ref="E7251:F7251"/>
    <mergeCell ref="A7252:E7252"/>
    <mergeCell ref="A7253:D7253"/>
    <mergeCell ref="E7253:H7253"/>
    <mergeCell ref="A7260:D7260"/>
    <mergeCell ref="E7260:H7261"/>
    <mergeCell ref="B7261:D7261"/>
    <mergeCell ref="A7262:B7262"/>
    <mergeCell ref="C7262:D7262"/>
    <mergeCell ref="E7262:H7262"/>
    <mergeCell ref="C7263:D7263"/>
    <mergeCell ref="E7263:F7263"/>
    <mergeCell ref="C7264:D7264"/>
    <mergeCell ref="E7264:F7264"/>
    <mergeCell ref="A7265:B7265"/>
    <mergeCell ref="C7265:D7265"/>
    <mergeCell ref="E7265:F7265"/>
    <mergeCell ref="A7214:D7214"/>
    <mergeCell ref="E7214:H7215"/>
    <mergeCell ref="B7215:D7215"/>
    <mergeCell ref="A7216:B7216"/>
    <mergeCell ref="C7216:D7216"/>
    <mergeCell ref="E7216:H7216"/>
    <mergeCell ref="C7217:D7217"/>
    <mergeCell ref="E7217:F7217"/>
    <mergeCell ref="C7218:D7218"/>
    <mergeCell ref="E7218:F7218"/>
    <mergeCell ref="A7219:B7219"/>
    <mergeCell ref="C7219:D7219"/>
    <mergeCell ref="E7219:F7219"/>
    <mergeCell ref="A7220:B7220"/>
    <mergeCell ref="C7220:D7220"/>
    <mergeCell ref="E7220:G7220"/>
    <mergeCell ref="A7221:B7221"/>
    <mergeCell ref="A7207:D7207"/>
    <mergeCell ref="A7208:D7208"/>
    <mergeCell ref="A7209:D7209"/>
    <mergeCell ref="A7210:D7210"/>
    <mergeCell ref="E7210:H7210"/>
    <mergeCell ref="A7177:A7178"/>
    <mergeCell ref="B7177:B7178"/>
    <mergeCell ref="C7177:C7178"/>
    <mergeCell ref="D7177:D7178"/>
    <mergeCell ref="E7177:E7178"/>
    <mergeCell ref="F7177:G7177"/>
    <mergeCell ref="H7177:H7178"/>
    <mergeCell ref="A7199:B7199"/>
    <mergeCell ref="F7199:G7199"/>
    <mergeCell ref="A7200:E7200"/>
    <mergeCell ref="F7200:G7200"/>
    <mergeCell ref="F7201:G7201"/>
    <mergeCell ref="F7202:G7202"/>
    <mergeCell ref="E7203:F7203"/>
    <mergeCell ref="E7204:F7204"/>
    <mergeCell ref="A7205:H7205"/>
    <mergeCell ref="A7206:D7206"/>
    <mergeCell ref="E7206:H7206"/>
    <mergeCell ref="A7169:D7169"/>
    <mergeCell ref="E7169:H7170"/>
    <mergeCell ref="B7170:D7170"/>
    <mergeCell ref="A7171:B7171"/>
    <mergeCell ref="C7171:D7171"/>
    <mergeCell ref="E7171:H7171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C7175:D7175"/>
    <mergeCell ref="E7175:H7175"/>
    <mergeCell ref="C7176:H7176"/>
    <mergeCell ref="A7175:B7175"/>
    <mergeCell ref="A7176:B7176"/>
    <mergeCell ref="F7150:G7150"/>
    <mergeCell ref="F7151:G7151"/>
    <mergeCell ref="E7152:F7152"/>
    <mergeCell ref="E7153:F7153"/>
    <mergeCell ref="A7154:H7154"/>
    <mergeCell ref="A7155:D7155"/>
    <mergeCell ref="E7155:H7155"/>
    <mergeCell ref="A7156:D7156"/>
    <mergeCell ref="A7157:D7157"/>
    <mergeCell ref="A7158:D7158"/>
    <mergeCell ref="A7159:D7159"/>
    <mergeCell ref="E7159:H7159"/>
    <mergeCell ref="A7130:A7131"/>
    <mergeCell ref="B7130:B7131"/>
    <mergeCell ref="C7130:C7131"/>
    <mergeCell ref="D7130:D7131"/>
    <mergeCell ref="E7130:E7131"/>
    <mergeCell ref="F7130:G7130"/>
    <mergeCell ref="H7130:H7131"/>
    <mergeCell ref="A7141:B7141"/>
    <mergeCell ref="C7141:E7141"/>
    <mergeCell ref="C7142:E7142"/>
    <mergeCell ref="C7143:E7143"/>
    <mergeCell ref="A7144:B7144"/>
    <mergeCell ref="C7144:E7144"/>
    <mergeCell ref="A7148:B7148"/>
    <mergeCell ref="F7148:G7148"/>
    <mergeCell ref="A7149:E7149"/>
    <mergeCell ref="F7149:G7149"/>
    <mergeCell ref="A7122:D7122"/>
    <mergeCell ref="E7122:H7123"/>
    <mergeCell ref="B7123:D7123"/>
    <mergeCell ref="A7124:B7124"/>
    <mergeCell ref="D7124:E7124"/>
    <mergeCell ref="C7125:D7125"/>
    <mergeCell ref="E7125:F7125"/>
    <mergeCell ref="C7126:D7126"/>
    <mergeCell ref="E7126:F7126"/>
    <mergeCell ref="A7127:B7127"/>
    <mergeCell ref="C7127:D7127"/>
    <mergeCell ref="E7127:F7127"/>
    <mergeCell ref="A7128:B7128"/>
    <mergeCell ref="C7128:D7128"/>
    <mergeCell ref="E7128:G7128"/>
    <mergeCell ref="A7129:B7129"/>
    <mergeCell ref="C7129:H7129"/>
    <mergeCell ref="A7115:D7115"/>
    <mergeCell ref="A7116:D7116"/>
    <mergeCell ref="A7117:D7117"/>
    <mergeCell ref="A7118:D7118"/>
    <mergeCell ref="E7118:H7118"/>
    <mergeCell ref="A7085:A7086"/>
    <mergeCell ref="B7085:B7086"/>
    <mergeCell ref="C7085:C7086"/>
    <mergeCell ref="D7085:D7086"/>
    <mergeCell ref="E7085:E7086"/>
    <mergeCell ref="F7085:G7085"/>
    <mergeCell ref="H7085:H7086"/>
    <mergeCell ref="A7107:B7107"/>
    <mergeCell ref="F7107:G7107"/>
    <mergeCell ref="A7108:E7108"/>
    <mergeCell ref="F7108:G7108"/>
    <mergeCell ref="F7109:G7109"/>
    <mergeCell ref="F7110:G7110"/>
    <mergeCell ref="E7111:F7111"/>
    <mergeCell ref="E7112:F7112"/>
    <mergeCell ref="A7113:H7113"/>
    <mergeCell ref="A7114:D7114"/>
    <mergeCell ref="E7114:H7114"/>
    <mergeCell ref="A7077:D7077"/>
    <mergeCell ref="E7077:H7078"/>
    <mergeCell ref="B7078:D7078"/>
    <mergeCell ref="A7079:B7079"/>
    <mergeCell ref="C7079:D7079"/>
    <mergeCell ref="E7079:H7079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C7083:D7083"/>
    <mergeCell ref="E7083:H7083"/>
    <mergeCell ref="C7084:H7084"/>
    <mergeCell ref="A6971:B6971"/>
    <mergeCell ref="F6971:G6971"/>
    <mergeCell ref="A6972:E6972"/>
    <mergeCell ref="F6972:G6972"/>
    <mergeCell ref="F6973:G6973"/>
    <mergeCell ref="F6974:G6974"/>
    <mergeCell ref="E6975:F6975"/>
    <mergeCell ref="E6976:F6976"/>
    <mergeCell ref="A6977:H6977"/>
    <mergeCell ref="A6978:D6978"/>
    <mergeCell ref="E6978:H6978"/>
    <mergeCell ref="A6979:D6979"/>
    <mergeCell ref="A6980:D6980"/>
    <mergeCell ref="A6981:D6981"/>
    <mergeCell ref="A6982:D6982"/>
    <mergeCell ref="E6982:H6982"/>
    <mergeCell ref="A6985:D6985"/>
    <mergeCell ref="E6985:H6986"/>
    <mergeCell ref="B6986:D6986"/>
    <mergeCell ref="A6987:B6987"/>
    <mergeCell ref="C6987:D6987"/>
    <mergeCell ref="E6987:H6987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C6991:D6991"/>
    <mergeCell ref="E6991:H6991"/>
    <mergeCell ref="C6992:H6992"/>
    <mergeCell ref="A7024:D7024"/>
    <mergeCell ref="A7025:D7025"/>
    <mergeCell ref="A7026:D7026"/>
    <mergeCell ref="A7027:D7027"/>
    <mergeCell ref="E7027:H7027"/>
    <mergeCell ref="A6993:A6994"/>
    <mergeCell ref="B6993:B6994"/>
    <mergeCell ref="C6993:C6994"/>
    <mergeCell ref="D6993:D6994"/>
    <mergeCell ref="E6993:E6994"/>
    <mergeCell ref="F6993:G6993"/>
    <mergeCell ref="H6993:H6994"/>
    <mergeCell ref="A7016:B7016"/>
    <mergeCell ref="F7016:G7016"/>
    <mergeCell ref="A6942:B6942"/>
    <mergeCell ref="C6942:D6942"/>
    <mergeCell ref="E6942:H6942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C6946:D6946"/>
    <mergeCell ref="E6946:H6946"/>
    <mergeCell ref="C6947:H6947"/>
    <mergeCell ref="A6948:A6949"/>
    <mergeCell ref="B6948:B6949"/>
    <mergeCell ref="C6948:C6949"/>
    <mergeCell ref="D6948:D6949"/>
    <mergeCell ref="E6948:E6949"/>
    <mergeCell ref="F6948:G6948"/>
    <mergeCell ref="H6948:H6949"/>
    <mergeCell ref="A6926:B6926"/>
    <mergeCell ref="F6926:G6926"/>
    <mergeCell ref="A6927:E6927"/>
    <mergeCell ref="F6927:G6927"/>
    <mergeCell ref="F6928:G6928"/>
    <mergeCell ref="F6929:G6929"/>
    <mergeCell ref="E6930:F6930"/>
    <mergeCell ref="E6931:F6931"/>
    <mergeCell ref="A6932:H6932"/>
    <mergeCell ref="A6933:D6933"/>
    <mergeCell ref="E6933:H6933"/>
    <mergeCell ref="A6934:D6934"/>
    <mergeCell ref="A6935:D6935"/>
    <mergeCell ref="A6936:D6936"/>
    <mergeCell ref="A6937:D6937"/>
    <mergeCell ref="E6937:H6937"/>
    <mergeCell ref="A6940:D6940"/>
    <mergeCell ref="E6940:H6941"/>
    <mergeCell ref="B6941:D6941"/>
    <mergeCell ref="A6895:B6895"/>
    <mergeCell ref="C6895:D6895"/>
    <mergeCell ref="E6895:H6895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C6899:D6899"/>
    <mergeCell ref="E6899:H6899"/>
    <mergeCell ref="C6900:H6900"/>
    <mergeCell ref="A6901:A6902"/>
    <mergeCell ref="B6901:B6902"/>
    <mergeCell ref="C6901:C6902"/>
    <mergeCell ref="D6901:D6902"/>
    <mergeCell ref="E6901:E6902"/>
    <mergeCell ref="F6901:G6901"/>
    <mergeCell ref="H6901:H6902"/>
    <mergeCell ref="A6880:B6880"/>
    <mergeCell ref="F6880:G6880"/>
    <mergeCell ref="A6881:E6881"/>
    <mergeCell ref="F6881:G6881"/>
    <mergeCell ref="F6882:G6882"/>
    <mergeCell ref="F6883:G6883"/>
    <mergeCell ref="E6884:F6884"/>
    <mergeCell ref="E6885:F6885"/>
    <mergeCell ref="A6886:H6886"/>
    <mergeCell ref="A6887:D6887"/>
    <mergeCell ref="E6887:H6887"/>
    <mergeCell ref="A6888:D6888"/>
    <mergeCell ref="A6889:D6889"/>
    <mergeCell ref="A6890:D6890"/>
    <mergeCell ref="A6891:D6891"/>
    <mergeCell ref="E6891:H6891"/>
    <mergeCell ref="A6893:D6893"/>
    <mergeCell ref="E6893:H6894"/>
    <mergeCell ref="B6894:D6894"/>
    <mergeCell ref="A6851:B6851"/>
    <mergeCell ref="C6851:D6851"/>
    <mergeCell ref="E6851:H6851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C6855:D6855"/>
    <mergeCell ref="E6855:H6855"/>
    <mergeCell ref="C6856:H6856"/>
    <mergeCell ref="A6857:A6858"/>
    <mergeCell ref="B6857:B6858"/>
    <mergeCell ref="C6857:C6858"/>
    <mergeCell ref="D6857:D6858"/>
    <mergeCell ref="E6857:E6858"/>
    <mergeCell ref="F6857:G6857"/>
    <mergeCell ref="H6857:H6858"/>
    <mergeCell ref="A6834:B6834"/>
    <mergeCell ref="F6834:G6834"/>
    <mergeCell ref="A6835:E6835"/>
    <mergeCell ref="F6835:G6835"/>
    <mergeCell ref="F6836:G6836"/>
    <mergeCell ref="F6837:G6837"/>
    <mergeCell ref="E6838:F6838"/>
    <mergeCell ref="E6839:F6839"/>
    <mergeCell ref="A6840:H6840"/>
    <mergeCell ref="A6841:D6841"/>
    <mergeCell ref="E6841:H6841"/>
    <mergeCell ref="A6842:D6842"/>
    <mergeCell ref="A6843:D6843"/>
    <mergeCell ref="A6844:D6844"/>
    <mergeCell ref="A6845:D6845"/>
    <mergeCell ref="E6845:H6845"/>
    <mergeCell ref="A6849:D6849"/>
    <mergeCell ref="E6849:H6850"/>
    <mergeCell ref="B6850:D6850"/>
    <mergeCell ref="A6806:B6806"/>
    <mergeCell ref="C6806:D6806"/>
    <mergeCell ref="E6806:H6806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C6810:D6810"/>
    <mergeCell ref="E6810:H6810"/>
    <mergeCell ref="C6811:H6811"/>
    <mergeCell ref="A6812:A6813"/>
    <mergeCell ref="B6812:B6813"/>
    <mergeCell ref="C6812:C6813"/>
    <mergeCell ref="D6812:D6813"/>
    <mergeCell ref="E6812:E6813"/>
    <mergeCell ref="F6812:G6812"/>
    <mergeCell ref="H6812:H6813"/>
    <mergeCell ref="A6792:E6792"/>
    <mergeCell ref="F6792:G6792"/>
    <mergeCell ref="F6793:G6793"/>
    <mergeCell ref="F6794:G6794"/>
    <mergeCell ref="E6795:F6795"/>
    <mergeCell ref="E6796:F6796"/>
    <mergeCell ref="A6797:H6797"/>
    <mergeCell ref="A6798:D6798"/>
    <mergeCell ref="E6798:H6798"/>
    <mergeCell ref="A6799:D6799"/>
    <mergeCell ref="A6800:D6800"/>
    <mergeCell ref="A6801:D6801"/>
    <mergeCell ref="A6802:D6802"/>
    <mergeCell ref="E6802:H6802"/>
    <mergeCell ref="A6804:D6804"/>
    <mergeCell ref="E6804:H6805"/>
    <mergeCell ref="B6805:D6805"/>
    <mergeCell ref="A6762:B6762"/>
    <mergeCell ref="C6762:D6762"/>
    <mergeCell ref="E6762:F6762"/>
    <mergeCell ref="A6763:B6763"/>
    <mergeCell ref="C6763:D6763"/>
    <mergeCell ref="E6763:F6763"/>
    <mergeCell ref="C6764:D6764"/>
    <mergeCell ref="E6764:H6764"/>
    <mergeCell ref="C6765:H6765"/>
    <mergeCell ref="A6766:A6767"/>
    <mergeCell ref="B6766:B6767"/>
    <mergeCell ref="C6766:C6767"/>
    <mergeCell ref="D6766:D6767"/>
    <mergeCell ref="E6766:E6767"/>
    <mergeCell ref="F6766:G6766"/>
    <mergeCell ref="H6766:H6767"/>
    <mergeCell ref="A6791:B6791"/>
    <mergeCell ref="F6791:G6791"/>
    <mergeCell ref="E6749:F6749"/>
    <mergeCell ref="A6750:H6750"/>
    <mergeCell ref="A6751:D6751"/>
    <mergeCell ref="E6751:H6751"/>
    <mergeCell ref="A6752:D6752"/>
    <mergeCell ref="A6753:D6753"/>
    <mergeCell ref="A6754:D6754"/>
    <mergeCell ref="A6755:D6755"/>
    <mergeCell ref="E6755:H6755"/>
    <mergeCell ref="A6758:D6758"/>
    <mergeCell ref="E6758:H6759"/>
    <mergeCell ref="B6759:D6759"/>
    <mergeCell ref="A6760:B6760"/>
    <mergeCell ref="C6760:D6760"/>
    <mergeCell ref="E6760:H6760"/>
    <mergeCell ref="C6761:D6761"/>
    <mergeCell ref="E6761:F6761"/>
    <mergeCell ref="C6717:D6717"/>
    <mergeCell ref="E6717:H6717"/>
    <mergeCell ref="C6718:H6718"/>
    <mergeCell ref="A6719:A6720"/>
    <mergeCell ref="B6719:B6720"/>
    <mergeCell ref="C6719:C6720"/>
    <mergeCell ref="D6719:D6720"/>
    <mergeCell ref="E6719:E6720"/>
    <mergeCell ref="F6719:G6719"/>
    <mergeCell ref="H6719:H6720"/>
    <mergeCell ref="A6744:B6744"/>
    <mergeCell ref="F6744:G6744"/>
    <mergeCell ref="A6745:E6745"/>
    <mergeCell ref="F6745:G6745"/>
    <mergeCell ref="F6746:G6746"/>
    <mergeCell ref="F6747:G6747"/>
    <mergeCell ref="E6748:F6748"/>
    <mergeCell ref="A6706:D6706"/>
    <mergeCell ref="A6707:D6707"/>
    <mergeCell ref="A6708:D6708"/>
    <mergeCell ref="A6709:D6709"/>
    <mergeCell ref="E6709:H6709"/>
    <mergeCell ref="A6711:D6711"/>
    <mergeCell ref="E6711:H6712"/>
    <mergeCell ref="B6712:D6712"/>
    <mergeCell ref="A6713:B6713"/>
    <mergeCell ref="C6713:D6713"/>
    <mergeCell ref="E6713:H6713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673:A6674"/>
    <mergeCell ref="B6673:B6674"/>
    <mergeCell ref="C6673:C6674"/>
    <mergeCell ref="D6673:D6674"/>
    <mergeCell ref="E6673:E6674"/>
    <mergeCell ref="F6673:G6673"/>
    <mergeCell ref="H6673:H6674"/>
    <mergeCell ref="A6698:B6698"/>
    <mergeCell ref="F6698:G6698"/>
    <mergeCell ref="A6699:E6699"/>
    <mergeCell ref="F6699:G6699"/>
    <mergeCell ref="F6700:G6700"/>
    <mergeCell ref="F6701:G6701"/>
    <mergeCell ref="E6702:F6702"/>
    <mergeCell ref="E6703:F6703"/>
    <mergeCell ref="A6704:H6704"/>
    <mergeCell ref="A6705:D6705"/>
    <mergeCell ref="E6705:H6705"/>
    <mergeCell ref="A6665:D6665"/>
    <mergeCell ref="E6665:H6666"/>
    <mergeCell ref="B6666:D6666"/>
    <mergeCell ref="A6667:B6667"/>
    <mergeCell ref="C6667:D6667"/>
    <mergeCell ref="E6667:H6667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C6671:D6671"/>
    <mergeCell ref="E6671:H6671"/>
    <mergeCell ref="C6672:H6672"/>
    <mergeCell ref="A6604:E6604"/>
    <mergeCell ref="F6604:G6604"/>
    <mergeCell ref="F6605:G6605"/>
    <mergeCell ref="F6606:G6606"/>
    <mergeCell ref="E6607:F6607"/>
    <mergeCell ref="E6608:F6608"/>
    <mergeCell ref="A6609:H6609"/>
    <mergeCell ref="A6610:D6610"/>
    <mergeCell ref="E6610:H6610"/>
    <mergeCell ref="A6611:D6611"/>
    <mergeCell ref="A6612:D6612"/>
    <mergeCell ref="A6613:D6613"/>
    <mergeCell ref="A6614:D6614"/>
    <mergeCell ref="E6614:H6614"/>
    <mergeCell ref="A6576:B6576"/>
    <mergeCell ref="C6576:D6576"/>
    <mergeCell ref="E6576:F6576"/>
    <mergeCell ref="A6577:B6577"/>
    <mergeCell ref="C6577:D6577"/>
    <mergeCell ref="E6577:H6577"/>
    <mergeCell ref="A6578:B6578"/>
    <mergeCell ref="C6578:H6578"/>
    <mergeCell ref="A6579:A6580"/>
    <mergeCell ref="B6579:B6580"/>
    <mergeCell ref="C6579:C6580"/>
    <mergeCell ref="D6579:D6580"/>
    <mergeCell ref="E6579:E6580"/>
    <mergeCell ref="F6579:G6579"/>
    <mergeCell ref="H6579:H6580"/>
    <mergeCell ref="A6603:B6603"/>
    <mergeCell ref="F6603:G6603"/>
    <mergeCell ref="A6561:H6561"/>
    <mergeCell ref="A6562:D6562"/>
    <mergeCell ref="E6562:H6562"/>
    <mergeCell ref="A6563:D6563"/>
    <mergeCell ref="A6564:D6564"/>
    <mergeCell ref="A6565:D6565"/>
    <mergeCell ref="A6566:D6566"/>
    <mergeCell ref="E6566:H6566"/>
    <mergeCell ref="A6571:D6571"/>
    <mergeCell ref="E6571:H6572"/>
    <mergeCell ref="B6572:D6572"/>
    <mergeCell ref="A6573:B6573"/>
    <mergeCell ref="C6573:D6573"/>
    <mergeCell ref="E6573:H6573"/>
    <mergeCell ref="C6574:D6574"/>
    <mergeCell ref="E6574:F6574"/>
    <mergeCell ref="A6575:B6575"/>
    <mergeCell ref="C6575:D6575"/>
    <mergeCell ref="E6575:F6575"/>
    <mergeCell ref="A6530:B6530"/>
    <mergeCell ref="C6530:D6530"/>
    <mergeCell ref="E6530:G6530"/>
    <mergeCell ref="A6532:A6533"/>
    <mergeCell ref="B6532:B6533"/>
    <mergeCell ref="C6532:C6533"/>
    <mergeCell ref="D6532:D6533"/>
    <mergeCell ref="E6532:E6533"/>
    <mergeCell ref="F6532:G6532"/>
    <mergeCell ref="H6532:H6533"/>
    <mergeCell ref="F6555:G6555"/>
    <mergeCell ref="A6556:E6556"/>
    <mergeCell ref="F6556:G6556"/>
    <mergeCell ref="F6557:G6557"/>
    <mergeCell ref="F6558:G6558"/>
    <mergeCell ref="E6559:F6559"/>
    <mergeCell ref="E6560:F6560"/>
    <mergeCell ref="A6516:D6516"/>
    <mergeCell ref="A6517:D6517"/>
    <mergeCell ref="A6518:D6518"/>
    <mergeCell ref="A6519:D6519"/>
    <mergeCell ref="E6519:H6519"/>
    <mergeCell ref="A6524:D6524"/>
    <mergeCell ref="E6524:H6525"/>
    <mergeCell ref="B6525:D6525"/>
    <mergeCell ref="A6526:B6526"/>
    <mergeCell ref="C6526:D6526"/>
    <mergeCell ref="E6526:H6526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485:A6486"/>
    <mergeCell ref="B6485:B6486"/>
    <mergeCell ref="C6485:C6486"/>
    <mergeCell ref="D6485:D6486"/>
    <mergeCell ref="E6485:E6486"/>
    <mergeCell ref="F6485:G6485"/>
    <mergeCell ref="H6485:H6486"/>
    <mergeCell ref="F6508:G6508"/>
    <mergeCell ref="A6509:E6509"/>
    <mergeCell ref="F6509:G6509"/>
    <mergeCell ref="F6510:G6510"/>
    <mergeCell ref="F6511:G6511"/>
    <mergeCell ref="E6512:F6512"/>
    <mergeCell ref="E6513:F6513"/>
    <mergeCell ref="A6514:H6514"/>
    <mergeCell ref="A6515:D6515"/>
    <mergeCell ref="E6515:H6515"/>
    <mergeCell ref="A6478:D6478"/>
    <mergeCell ref="E6478:H6479"/>
    <mergeCell ref="B6479:D6479"/>
    <mergeCell ref="D6480:E6480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H6484"/>
    <mergeCell ref="F6417:G6417"/>
    <mergeCell ref="A6418:E6418"/>
    <mergeCell ref="F6418:G6418"/>
    <mergeCell ref="F6419:G6419"/>
    <mergeCell ref="F6420:G6420"/>
    <mergeCell ref="E6421:F6421"/>
    <mergeCell ref="E6422:F6422"/>
    <mergeCell ref="A6423:H6423"/>
    <mergeCell ref="A6424:D6424"/>
    <mergeCell ref="E6424:H6424"/>
    <mergeCell ref="A6425:D6425"/>
    <mergeCell ref="A6426:D6426"/>
    <mergeCell ref="A6427:D6427"/>
    <mergeCell ref="A6428:D6428"/>
    <mergeCell ref="E6428:H6428"/>
    <mergeCell ref="A6432:D6432"/>
    <mergeCell ref="E6432:H6433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H6392"/>
    <mergeCell ref="A6393:B6393"/>
    <mergeCell ref="C6393:H6393"/>
    <mergeCell ref="A6394:A6395"/>
    <mergeCell ref="B6394:B6395"/>
    <mergeCell ref="C6394:C6395"/>
    <mergeCell ref="D6394:D6395"/>
    <mergeCell ref="E6394:E6395"/>
    <mergeCell ref="F6394:G6394"/>
    <mergeCell ref="H6394:H6395"/>
    <mergeCell ref="F6373:G6373"/>
    <mergeCell ref="F6374:G6374"/>
    <mergeCell ref="E6375:F6375"/>
    <mergeCell ref="E6376:F6376"/>
    <mergeCell ref="A6377:H6377"/>
    <mergeCell ref="A6378:D6378"/>
    <mergeCell ref="E6378:H6378"/>
    <mergeCell ref="A6379:D6379"/>
    <mergeCell ref="A6380:D6380"/>
    <mergeCell ref="A6381:D6381"/>
    <mergeCell ref="A6382:D6382"/>
    <mergeCell ref="E6382:H6382"/>
    <mergeCell ref="A6386:D6386"/>
    <mergeCell ref="E6386:H6387"/>
    <mergeCell ref="B6387:D6387"/>
    <mergeCell ref="D6388:E6388"/>
    <mergeCell ref="C6389:D6389"/>
    <mergeCell ref="E6389:F6389"/>
    <mergeCell ref="A6345:B6345"/>
    <mergeCell ref="C6345:D6345"/>
    <mergeCell ref="E6345:F6345"/>
    <mergeCell ref="A6346:B6346"/>
    <mergeCell ref="C6346:D6346"/>
    <mergeCell ref="E6346:H6346"/>
    <mergeCell ref="A6347:B6347"/>
    <mergeCell ref="C6347:H6347"/>
    <mergeCell ref="A6348:A6349"/>
    <mergeCell ref="B6348:B6349"/>
    <mergeCell ref="C6348:C6349"/>
    <mergeCell ref="D6348:D6349"/>
    <mergeCell ref="E6348:E6349"/>
    <mergeCell ref="F6348:G6348"/>
    <mergeCell ref="H6348:H6349"/>
    <mergeCell ref="F6371:G6371"/>
    <mergeCell ref="A6372:E6372"/>
    <mergeCell ref="F6372:G6372"/>
    <mergeCell ref="A6340:D6340"/>
    <mergeCell ref="E6340:H6341"/>
    <mergeCell ref="B6341:D6341"/>
    <mergeCell ref="D6342:E6342"/>
    <mergeCell ref="C6343:D6343"/>
    <mergeCell ref="E6343:F6343"/>
    <mergeCell ref="A6344:B6344"/>
    <mergeCell ref="C6344:D6344"/>
    <mergeCell ref="E6344:F6344"/>
    <mergeCell ref="A6287:D6287"/>
    <mergeCell ref="A6288:D6288"/>
    <mergeCell ref="E6288:H6288"/>
    <mergeCell ref="A6277:B6277"/>
    <mergeCell ref="F6277:G6277"/>
    <mergeCell ref="A6284:D6284"/>
    <mergeCell ref="A6285:D6285"/>
    <mergeCell ref="A6286:D6286"/>
    <mergeCell ref="A6292:D6292"/>
    <mergeCell ref="E6292:H6293"/>
    <mergeCell ref="B6293:D6293"/>
    <mergeCell ref="A6294:B6294"/>
    <mergeCell ref="C6294:D6294"/>
    <mergeCell ref="E6294:H6294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C6298:D6298"/>
    <mergeCell ref="A6237:H6237"/>
    <mergeCell ref="A6201:D6201"/>
    <mergeCell ref="E6201:H6202"/>
    <mergeCell ref="B6202:D6202"/>
    <mergeCell ref="A6203:B6203"/>
    <mergeCell ref="C6203:D6203"/>
    <mergeCell ref="E6203:H6203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G6207"/>
    <mergeCell ref="E6251:H6251"/>
    <mergeCell ref="A6252:B6252"/>
    <mergeCell ref="C6252:H6252"/>
    <mergeCell ref="A6278:E6278"/>
    <mergeCell ref="F6278:G6278"/>
    <mergeCell ref="F6279:G6279"/>
    <mergeCell ref="A6280:B6280"/>
    <mergeCell ref="F6280:G6280"/>
    <mergeCell ref="E6281:F6281"/>
    <mergeCell ref="E6282:F6282"/>
    <mergeCell ref="A6283:H6283"/>
    <mergeCell ref="E6284:H6284"/>
    <mergeCell ref="A6250:B6250"/>
    <mergeCell ref="C6250:D6250"/>
    <mergeCell ref="E6250:F6250"/>
    <mergeCell ref="A6251:B6251"/>
    <mergeCell ref="C6251:D6251"/>
    <mergeCell ref="A6253:A6254"/>
    <mergeCell ref="B6253:B6254"/>
    <mergeCell ref="C6253:C6254"/>
    <mergeCell ref="D6253:D6254"/>
    <mergeCell ref="E6253:E6254"/>
    <mergeCell ref="F6253:G6253"/>
    <mergeCell ref="H6253:H6254"/>
    <mergeCell ref="A6238:D6238"/>
    <mergeCell ref="E6238:H6238"/>
    <mergeCell ref="A6239:D6239"/>
    <mergeCell ref="A6240:D6240"/>
    <mergeCell ref="A6241:D6241"/>
    <mergeCell ref="A6242:D6242"/>
    <mergeCell ref="E6242:H6242"/>
    <mergeCell ref="A6245:D6245"/>
    <mergeCell ref="E6245:H6246"/>
    <mergeCell ref="B6246:D6246"/>
    <mergeCell ref="A6247:B6247"/>
    <mergeCell ref="C6247:D6247"/>
    <mergeCell ref="E6247:H6247"/>
    <mergeCell ref="C6248:D6248"/>
    <mergeCell ref="E6248:F6248"/>
    <mergeCell ref="A6249:B6249"/>
    <mergeCell ref="C6249:D6249"/>
    <mergeCell ref="E6249:F6249"/>
    <mergeCell ref="A6106:D6106"/>
    <mergeCell ref="A6107:D6107"/>
    <mergeCell ref="E6107:H6107"/>
    <mergeCell ref="A6070:B6070"/>
    <mergeCell ref="C6070:D6070"/>
    <mergeCell ref="E6070:F6070"/>
    <mergeCell ref="A6071:B6071"/>
    <mergeCell ref="C6071:D6071"/>
    <mergeCell ref="E6071:F6071"/>
    <mergeCell ref="C6072:D6072"/>
    <mergeCell ref="E6072:G6072"/>
    <mergeCell ref="A6074:A6075"/>
    <mergeCell ref="B6074:B6075"/>
    <mergeCell ref="C6074:C6075"/>
    <mergeCell ref="D6074:D6075"/>
    <mergeCell ref="E6074:E6075"/>
    <mergeCell ref="F6074:G6074"/>
    <mergeCell ref="H6074:H6075"/>
    <mergeCell ref="A6095:B6095"/>
    <mergeCell ref="F6095:G6095"/>
    <mergeCell ref="A6068:B6068"/>
    <mergeCell ref="C6068:D6068"/>
    <mergeCell ref="E6068:H6068"/>
    <mergeCell ref="C6069:D6069"/>
    <mergeCell ref="E6069:F6069"/>
    <mergeCell ref="A6096:E6096"/>
    <mergeCell ref="F6096:G6096"/>
    <mergeCell ref="F6097:G6097"/>
    <mergeCell ref="A6098:B6098"/>
    <mergeCell ref="F6098:G6098"/>
    <mergeCell ref="E6100:F6100"/>
    <mergeCell ref="E6101:F6101"/>
    <mergeCell ref="A6102:H6102"/>
    <mergeCell ref="A6103:D6103"/>
    <mergeCell ref="E6103:H6103"/>
    <mergeCell ref="A6104:D6104"/>
    <mergeCell ref="A6105:D6105"/>
    <mergeCell ref="A6051:B6051"/>
    <mergeCell ref="F6051:G6051"/>
    <mergeCell ref="A6052:E6052"/>
    <mergeCell ref="F6052:G6052"/>
    <mergeCell ref="F6053:G6053"/>
    <mergeCell ref="F6054:G6054"/>
    <mergeCell ref="E6055:F6055"/>
    <mergeCell ref="E6056:F6056"/>
    <mergeCell ref="A6057:H6057"/>
    <mergeCell ref="A6058:D6058"/>
    <mergeCell ref="E6058:H6058"/>
    <mergeCell ref="A6059:D6059"/>
    <mergeCell ref="A6060:D6060"/>
    <mergeCell ref="A6061:D6061"/>
    <mergeCell ref="A6062:D6062"/>
    <mergeCell ref="E6062:H6062"/>
    <mergeCell ref="A6066:D6066"/>
    <mergeCell ref="E6066:H6067"/>
    <mergeCell ref="B6067:D6067"/>
    <mergeCell ref="A6025:B6025"/>
    <mergeCell ref="C6025:D6025"/>
    <mergeCell ref="E6025:H6025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C6029:D6029"/>
    <mergeCell ref="E6029:H6029"/>
    <mergeCell ref="C6030:H6030"/>
    <mergeCell ref="A6031:A6032"/>
    <mergeCell ref="B6031:B6032"/>
    <mergeCell ref="C6031:C6032"/>
    <mergeCell ref="D6031:D6032"/>
    <mergeCell ref="E6031:E6032"/>
    <mergeCell ref="F6031:G6031"/>
    <mergeCell ref="H6031:H6032"/>
    <mergeCell ref="A6008:B6008"/>
    <mergeCell ref="F6008:G6008"/>
    <mergeCell ref="A6009:E6009"/>
    <mergeCell ref="F6009:G6009"/>
    <mergeCell ref="F6010:G6010"/>
    <mergeCell ref="F6011:G6011"/>
    <mergeCell ref="E6012:F6012"/>
    <mergeCell ref="E6013:F6013"/>
    <mergeCell ref="A6014:H6014"/>
    <mergeCell ref="A6015:D6015"/>
    <mergeCell ref="E6015:H6015"/>
    <mergeCell ref="A6016:D6016"/>
    <mergeCell ref="A6017:D6017"/>
    <mergeCell ref="A6018:D6018"/>
    <mergeCell ref="A6019:D6019"/>
    <mergeCell ref="E6019:H6019"/>
    <mergeCell ref="A6023:D6023"/>
    <mergeCell ref="E6023:H6024"/>
    <mergeCell ref="B6024:D6024"/>
    <mergeCell ref="A5980:D5980"/>
    <mergeCell ref="E5980:H5981"/>
    <mergeCell ref="B5981:D5981"/>
    <mergeCell ref="A5982:B5982"/>
    <mergeCell ref="C5982:D5982"/>
    <mergeCell ref="E5982:H5982"/>
    <mergeCell ref="C5983:D5983"/>
    <mergeCell ref="E5983:F5983"/>
    <mergeCell ref="C5984:D5984"/>
    <mergeCell ref="E5984:F5984"/>
    <mergeCell ref="A5985:B5985"/>
    <mergeCell ref="C5985:D5985"/>
    <mergeCell ref="E5985:F5985"/>
    <mergeCell ref="C5986:D5986"/>
    <mergeCell ref="E5986:H5986"/>
    <mergeCell ref="C5987:H5987"/>
    <mergeCell ref="A5988:A5989"/>
    <mergeCell ref="B5988:B5989"/>
    <mergeCell ref="C5988:C5989"/>
    <mergeCell ref="D5988:D5989"/>
    <mergeCell ref="E5988:E5989"/>
    <mergeCell ref="F5988:G5988"/>
    <mergeCell ref="H5988:H5989"/>
    <mergeCell ref="A5924:H5924"/>
    <mergeCell ref="A5925:D5925"/>
    <mergeCell ref="E5925:H5925"/>
    <mergeCell ref="A5926:D5926"/>
    <mergeCell ref="A5927:D5927"/>
    <mergeCell ref="A5928:D5928"/>
    <mergeCell ref="A5929:D5929"/>
    <mergeCell ref="E5929:H5929"/>
    <mergeCell ref="C5892:H5892"/>
    <mergeCell ref="A5893:A5894"/>
    <mergeCell ref="B5893:B5894"/>
    <mergeCell ref="C5893:C5894"/>
    <mergeCell ref="D5893:D5894"/>
    <mergeCell ref="E5893:E5894"/>
    <mergeCell ref="F5893:G5893"/>
    <mergeCell ref="H5893:H5894"/>
    <mergeCell ref="A5918:C5918"/>
    <mergeCell ref="F5918:G5918"/>
    <mergeCell ref="A5919:E5919"/>
    <mergeCell ref="F5919:G5919"/>
    <mergeCell ref="F5920:G5920"/>
    <mergeCell ref="A5921:D5921"/>
    <mergeCell ref="F5921:G5921"/>
    <mergeCell ref="E5922:F5922"/>
    <mergeCell ref="E5923:F5923"/>
    <mergeCell ref="A5885:D5885"/>
    <mergeCell ref="E5885:H5886"/>
    <mergeCell ref="B5886:D5886"/>
    <mergeCell ref="A5887:B5887"/>
    <mergeCell ref="D5887:E5887"/>
    <mergeCell ref="G5887:H5887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H5891"/>
    <mergeCell ref="A5871:B5871"/>
    <mergeCell ref="F5871:G5871"/>
    <mergeCell ref="A5872:E5872"/>
    <mergeCell ref="F5872:G5872"/>
    <mergeCell ref="F5873:G5873"/>
    <mergeCell ref="F5874:G5874"/>
    <mergeCell ref="E5875:F5875"/>
    <mergeCell ref="E5876:F5876"/>
    <mergeCell ref="A5877:H5877"/>
    <mergeCell ref="A5878:D5878"/>
    <mergeCell ref="E5878:H5878"/>
    <mergeCell ref="A5879:D5879"/>
    <mergeCell ref="A5880:D5880"/>
    <mergeCell ref="A5881:D5881"/>
    <mergeCell ref="A5882:D5882"/>
    <mergeCell ref="E5882:H5882"/>
    <mergeCell ref="A5841:B5841"/>
    <mergeCell ref="C5841:D5841"/>
    <mergeCell ref="E5841:H5841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C5845:D5845"/>
    <mergeCell ref="E5845:H5845"/>
    <mergeCell ref="C5846:H5846"/>
    <mergeCell ref="A5847:A5848"/>
    <mergeCell ref="B5847:B5848"/>
    <mergeCell ref="C5847:C5848"/>
    <mergeCell ref="D5847:D5848"/>
    <mergeCell ref="E5847:E5848"/>
    <mergeCell ref="F5847:G5847"/>
    <mergeCell ref="H5847:H5848"/>
    <mergeCell ref="F5825:G5825"/>
    <mergeCell ref="F5826:G5826"/>
    <mergeCell ref="E5827:F5827"/>
    <mergeCell ref="E5828:F5828"/>
    <mergeCell ref="A5829:H5829"/>
    <mergeCell ref="A5830:D5830"/>
    <mergeCell ref="E5830:H5830"/>
    <mergeCell ref="A5831:D5831"/>
    <mergeCell ref="A5832:D5832"/>
    <mergeCell ref="A5833:D5833"/>
    <mergeCell ref="A5834:D5834"/>
    <mergeCell ref="E5834:H5834"/>
    <mergeCell ref="A5839:D5839"/>
    <mergeCell ref="E5839:H5840"/>
    <mergeCell ref="B5840:D5840"/>
    <mergeCell ref="A5793:B5793"/>
    <mergeCell ref="C5793:D5793"/>
    <mergeCell ref="E5793:H5793"/>
    <mergeCell ref="C5794:D5794"/>
    <mergeCell ref="E5794:F5794"/>
    <mergeCell ref="A5795:B5795"/>
    <mergeCell ref="C5795:D5795"/>
    <mergeCell ref="E5795:F5795"/>
    <mergeCell ref="A5796:B5796"/>
    <mergeCell ref="C5796:D5796"/>
    <mergeCell ref="E5703:F5703"/>
    <mergeCell ref="C5797:D5797"/>
    <mergeCell ref="E5797:H5797"/>
    <mergeCell ref="C5798:H5798"/>
    <mergeCell ref="A5799:A5800"/>
    <mergeCell ref="B5799:B5800"/>
    <mergeCell ref="C5799:C5800"/>
    <mergeCell ref="D5799:D5800"/>
    <mergeCell ref="E5799:E5800"/>
    <mergeCell ref="F5799:G5799"/>
    <mergeCell ref="H5799:H5800"/>
    <mergeCell ref="A5775:B5775"/>
    <mergeCell ref="F5775:G5775"/>
    <mergeCell ref="A5776:E5776"/>
    <mergeCell ref="F5776:G5776"/>
    <mergeCell ref="F5777:G5777"/>
    <mergeCell ref="F5778:G5778"/>
    <mergeCell ref="E5779:F5779"/>
    <mergeCell ref="E5780:F5780"/>
    <mergeCell ref="A5781:H5781"/>
    <mergeCell ref="A5782:D5782"/>
    <mergeCell ref="E5782:H5782"/>
    <mergeCell ref="A5783:D5783"/>
    <mergeCell ref="A5784:D5784"/>
    <mergeCell ref="A5785:D5785"/>
    <mergeCell ref="A5786:D5786"/>
    <mergeCell ref="E5786:H5786"/>
    <mergeCell ref="A5791:D5791"/>
    <mergeCell ref="E5791:H5792"/>
    <mergeCell ref="B5792:D5792"/>
    <mergeCell ref="A5745:B5745"/>
    <mergeCell ref="C5745:D5745"/>
    <mergeCell ref="E5745:H5745"/>
    <mergeCell ref="C5746:D5746"/>
    <mergeCell ref="E5746:F5746"/>
    <mergeCell ref="C5749:D5749"/>
    <mergeCell ref="E5749:H5749"/>
    <mergeCell ref="C5750:H5750"/>
    <mergeCell ref="A5751:A5752"/>
    <mergeCell ref="C5751:C5752"/>
    <mergeCell ref="D5751:D5752"/>
    <mergeCell ref="E5751:E5752"/>
    <mergeCell ref="F5751:G5751"/>
    <mergeCell ref="H5751:H5752"/>
    <mergeCell ref="A5728:B5728"/>
    <mergeCell ref="F5728:G5728"/>
    <mergeCell ref="A5729:E5729"/>
    <mergeCell ref="F5729:G5729"/>
    <mergeCell ref="F5730:G5730"/>
    <mergeCell ref="F5731:G5731"/>
    <mergeCell ref="E5732:F5732"/>
    <mergeCell ref="E5733:F5733"/>
    <mergeCell ref="A5734:H5734"/>
    <mergeCell ref="A5735:D5735"/>
    <mergeCell ref="E5735:H5735"/>
    <mergeCell ref="A5736:D5736"/>
    <mergeCell ref="A5737:D5737"/>
    <mergeCell ref="A5738:D5738"/>
    <mergeCell ref="A5739:D5739"/>
    <mergeCell ref="E5739:H5739"/>
    <mergeCell ref="A5743:D5743"/>
    <mergeCell ref="E5743:H5744"/>
    <mergeCell ref="B5744:D5744"/>
    <mergeCell ref="A5823:B5823"/>
    <mergeCell ref="F5823:G5823"/>
    <mergeCell ref="A5824:E5824"/>
    <mergeCell ref="F5824:G5824"/>
    <mergeCell ref="E5704:H5704"/>
    <mergeCell ref="C5705:H5705"/>
    <mergeCell ref="A5706:A5707"/>
    <mergeCell ref="B5706:B5707"/>
    <mergeCell ref="C5706:C5707"/>
    <mergeCell ref="D5706:D5707"/>
    <mergeCell ref="E5706:E5707"/>
    <mergeCell ref="F5706:G5706"/>
    <mergeCell ref="H5706:H5707"/>
    <mergeCell ref="E5796:F5796"/>
    <mergeCell ref="A5563:B5563"/>
    <mergeCell ref="C5563:D5563"/>
    <mergeCell ref="E5563:F5563"/>
    <mergeCell ref="C5564:D5564"/>
    <mergeCell ref="E5564:H5564"/>
    <mergeCell ref="C5565:H5565"/>
    <mergeCell ref="A5654:B5654"/>
    <mergeCell ref="C5654:D5654"/>
    <mergeCell ref="E5654:H5654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C5658:D5658"/>
    <mergeCell ref="E5658:H5658"/>
    <mergeCell ref="C5659:H5659"/>
    <mergeCell ref="A5660:A5661"/>
    <mergeCell ref="B5660:B5661"/>
    <mergeCell ref="C5660:C5661"/>
    <mergeCell ref="D5660:D5661"/>
    <mergeCell ref="E5660:E5661"/>
    <mergeCell ref="F5660:G5660"/>
    <mergeCell ref="H5660:H5661"/>
    <mergeCell ref="A5639:E5639"/>
    <mergeCell ref="F5639:G5639"/>
    <mergeCell ref="F5640:G5640"/>
    <mergeCell ref="F5641:G5641"/>
    <mergeCell ref="E5642:F5642"/>
    <mergeCell ref="E5643:F5643"/>
    <mergeCell ref="A5644:H5644"/>
    <mergeCell ref="A5566:A5567"/>
    <mergeCell ref="B5566:B5567"/>
    <mergeCell ref="C5566:C5567"/>
    <mergeCell ref="D5566:D5567"/>
    <mergeCell ref="E5566:E5567"/>
    <mergeCell ref="F5566:G5566"/>
    <mergeCell ref="H5566:H5567"/>
    <mergeCell ref="A5590:B5590"/>
    <mergeCell ref="F5590:G5590"/>
    <mergeCell ref="A5591:E5591"/>
    <mergeCell ref="F5591:G5591"/>
    <mergeCell ref="F5592:G5592"/>
    <mergeCell ref="F5593:G5593"/>
    <mergeCell ref="E5594:F5594"/>
    <mergeCell ref="E5595:F5595"/>
    <mergeCell ref="A5596:H5596"/>
    <mergeCell ref="A5600:D5600"/>
    <mergeCell ref="A5601:D5601"/>
    <mergeCell ref="E5601:H5601"/>
    <mergeCell ref="E5243:E5244"/>
    <mergeCell ref="F5243:G5243"/>
    <mergeCell ref="H5243:H5244"/>
    <mergeCell ref="A5268:C5268"/>
    <mergeCell ref="F5268:G5268"/>
    <mergeCell ref="A5269:E5269"/>
    <mergeCell ref="F5269:G5269"/>
    <mergeCell ref="F5270:G5270"/>
    <mergeCell ref="A5271:B5271"/>
    <mergeCell ref="F5271:G5271"/>
    <mergeCell ref="E5694:H5694"/>
    <mergeCell ref="A5698:D5698"/>
    <mergeCell ref="E5698:H5699"/>
    <mergeCell ref="B5699:D5699"/>
    <mergeCell ref="E5549:F5549"/>
    <mergeCell ref="A5550:H5550"/>
    <mergeCell ref="A5551:D5551"/>
    <mergeCell ref="E5551:H5551"/>
    <mergeCell ref="A5552:D5552"/>
    <mergeCell ref="A5553:D5553"/>
    <mergeCell ref="A5554:D5554"/>
    <mergeCell ref="E5554:H5554"/>
    <mergeCell ref="A5555:D5555"/>
    <mergeCell ref="E5555:H5555"/>
    <mergeCell ref="A5517:B5517"/>
    <mergeCell ref="C5517:H5517"/>
    <mergeCell ref="A5518:A5519"/>
    <mergeCell ref="B5518:B5519"/>
    <mergeCell ref="C5518:C5519"/>
    <mergeCell ref="D5518:D5519"/>
    <mergeCell ref="E5518:E5519"/>
    <mergeCell ref="F5518:G5518"/>
    <mergeCell ref="H5518:H5519"/>
    <mergeCell ref="A5544:C5544"/>
    <mergeCell ref="F5544:G5544"/>
    <mergeCell ref="A5545:E5545"/>
    <mergeCell ref="F5545:G5545"/>
    <mergeCell ref="F5546:G5546"/>
    <mergeCell ref="A5547:D5547"/>
    <mergeCell ref="F5547:G5547"/>
    <mergeCell ref="E5548:F5548"/>
    <mergeCell ref="A5558:D5558"/>
    <mergeCell ref="E5558:H5559"/>
    <mergeCell ref="B5559:D5559"/>
    <mergeCell ref="A5560:B5560"/>
    <mergeCell ref="C5560:D5560"/>
    <mergeCell ref="E5560:H5560"/>
    <mergeCell ref="A5597:D5597"/>
    <mergeCell ref="E5597:H5597"/>
    <mergeCell ref="A5606:D5606"/>
    <mergeCell ref="E5606:H5607"/>
    <mergeCell ref="B5607:D5607"/>
    <mergeCell ref="A5608:B5608"/>
    <mergeCell ref="C5608:D5608"/>
    <mergeCell ref="E5608:H5608"/>
    <mergeCell ref="C5609:D5609"/>
    <mergeCell ref="E5609:F5609"/>
    <mergeCell ref="A5598:D5598"/>
    <mergeCell ref="A5599:D5599"/>
    <mergeCell ref="C5561:D5561"/>
    <mergeCell ref="E5561:F5561"/>
    <mergeCell ref="A5562:B5562"/>
    <mergeCell ref="C5562:D5562"/>
    <mergeCell ref="E5562:F5562"/>
    <mergeCell ref="A5510:D5510"/>
    <mergeCell ref="E5510:H5511"/>
    <mergeCell ref="B5511:D5511"/>
    <mergeCell ref="A5512:B5512"/>
    <mergeCell ref="C5512:D5512"/>
    <mergeCell ref="E5512:H5512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H5516"/>
    <mergeCell ref="A5499:D5499"/>
    <mergeCell ref="A5500:D5500"/>
    <mergeCell ref="A5501:D5501"/>
    <mergeCell ref="A5502:D5502"/>
    <mergeCell ref="E5502:H5502"/>
    <mergeCell ref="A5467:A5468"/>
    <mergeCell ref="B5467:B5468"/>
    <mergeCell ref="C5467:C5468"/>
    <mergeCell ref="D5467:D5468"/>
    <mergeCell ref="E5467:E5468"/>
    <mergeCell ref="F5467:G5467"/>
    <mergeCell ref="H5467:H5468"/>
    <mergeCell ref="A5491:B5491"/>
    <mergeCell ref="F5491:G5491"/>
    <mergeCell ref="A5492:E5492"/>
    <mergeCell ref="F5492:G5492"/>
    <mergeCell ref="F5493:G5493"/>
    <mergeCell ref="F5494:G5494"/>
    <mergeCell ref="E5495:F5495"/>
    <mergeCell ref="E5496:F5496"/>
    <mergeCell ref="A5497:H5497"/>
    <mergeCell ref="A5498:D5498"/>
    <mergeCell ref="E5498:H5498"/>
    <mergeCell ref="A5459:D5459"/>
    <mergeCell ref="E5459:H5460"/>
    <mergeCell ref="B5460:D5460"/>
    <mergeCell ref="A5461:B5461"/>
    <mergeCell ref="C5461:D5461"/>
    <mergeCell ref="E5461:H5461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C5465:D5465"/>
    <mergeCell ref="E5465:H5465"/>
    <mergeCell ref="C5466:H5466"/>
    <mergeCell ref="E5225:F5225"/>
    <mergeCell ref="A5226:H5226"/>
    <mergeCell ref="A5227:D5227"/>
    <mergeCell ref="E5227:H5227"/>
    <mergeCell ref="A5228:D5228"/>
    <mergeCell ref="A5229:D5229"/>
    <mergeCell ref="A5230:D5230"/>
    <mergeCell ref="A5231:D5231"/>
    <mergeCell ref="E5231:H5231"/>
    <mergeCell ref="A5194:B5194"/>
    <mergeCell ref="C5194:H5194"/>
    <mergeCell ref="A5195:A5196"/>
    <mergeCell ref="B5195:B5196"/>
    <mergeCell ref="C5195:C5196"/>
    <mergeCell ref="D5195:D5196"/>
    <mergeCell ref="E5195:E5196"/>
    <mergeCell ref="F5195:G5195"/>
    <mergeCell ref="H5195:H5196"/>
    <mergeCell ref="A5220:C5220"/>
    <mergeCell ref="F5220:G5220"/>
    <mergeCell ref="A5221:E5221"/>
    <mergeCell ref="F5221:G5221"/>
    <mergeCell ref="F5222:G5222"/>
    <mergeCell ref="A5223:B5223"/>
    <mergeCell ref="F5223:G5223"/>
    <mergeCell ref="E5224:F5224"/>
    <mergeCell ref="A5235:D5235"/>
    <mergeCell ref="E5235:H5236"/>
    <mergeCell ref="B5236:D5236"/>
    <mergeCell ref="A5237:B5237"/>
    <mergeCell ref="C5237:D5237"/>
    <mergeCell ref="E5237:H5237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C5241:D5241"/>
    <mergeCell ref="E5241:H5241"/>
    <mergeCell ref="A5242:B5242"/>
    <mergeCell ref="C5242:H5242"/>
    <mergeCell ref="A5243:A5244"/>
    <mergeCell ref="B5243:B5244"/>
    <mergeCell ref="C5243:C5244"/>
    <mergeCell ref="C5003:D5003"/>
    <mergeCell ref="E5003:F5003"/>
    <mergeCell ref="C5004:D5004"/>
    <mergeCell ref="E5004:F5004"/>
    <mergeCell ref="A5005:B5005"/>
    <mergeCell ref="C5005:D5005"/>
    <mergeCell ref="E5005:G5005"/>
    <mergeCell ref="A5006:B5006"/>
    <mergeCell ref="A5007:A5008"/>
    <mergeCell ref="B5007:B5008"/>
    <mergeCell ref="C5007:C5008"/>
    <mergeCell ref="D5007:D5008"/>
    <mergeCell ref="E5007:E5008"/>
    <mergeCell ref="A5187:D5187"/>
    <mergeCell ref="E5187:H5188"/>
    <mergeCell ref="B5188:D5188"/>
    <mergeCell ref="A5189:B5189"/>
    <mergeCell ref="C5189:D5189"/>
    <mergeCell ref="E5189:H5189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H5193"/>
    <mergeCell ref="A5132:H5132"/>
    <mergeCell ref="A5133:D5133"/>
    <mergeCell ref="E5133:H5133"/>
    <mergeCell ref="A5134:D5134"/>
    <mergeCell ref="A5135:D5135"/>
    <mergeCell ref="A5136:D5136"/>
    <mergeCell ref="A5137:D5137"/>
    <mergeCell ref="E5137:H5137"/>
    <mergeCell ref="A5101:B5101"/>
    <mergeCell ref="C5101:H5101"/>
    <mergeCell ref="A5102:A5103"/>
    <mergeCell ref="B5102:B5103"/>
    <mergeCell ref="C5102:C5103"/>
    <mergeCell ref="D5102:D5103"/>
    <mergeCell ref="E5102:E5103"/>
    <mergeCell ref="F5102:G5102"/>
    <mergeCell ref="H5102:H5103"/>
    <mergeCell ref="A5126:B5126"/>
    <mergeCell ref="F5126:G5126"/>
    <mergeCell ref="A5127:E5127"/>
    <mergeCell ref="F5127:G5127"/>
    <mergeCell ref="F5128:G5128"/>
    <mergeCell ref="F5129:G5129"/>
    <mergeCell ref="E5130:F5130"/>
    <mergeCell ref="E5131:F5131"/>
    <mergeCell ref="A5148:A5149"/>
    <mergeCell ref="B5148:B5149"/>
    <mergeCell ref="C5148:C5149"/>
    <mergeCell ref="D5148:D5149"/>
    <mergeCell ref="E5148:E5149"/>
    <mergeCell ref="F5148:G5148"/>
    <mergeCell ref="H5148:H5149"/>
    <mergeCell ref="F5171:G5171"/>
    <mergeCell ref="A5172:E5172"/>
    <mergeCell ref="E4989:F4989"/>
    <mergeCell ref="A4990:H4990"/>
    <mergeCell ref="A4991:D4991"/>
    <mergeCell ref="E4991:H4991"/>
    <mergeCell ref="A4992:D4992"/>
    <mergeCell ref="A4993:D4993"/>
    <mergeCell ref="A4994:D4994"/>
    <mergeCell ref="A4995:D4995"/>
    <mergeCell ref="E4995:H4995"/>
    <mergeCell ref="A4960:B4960"/>
    <mergeCell ref="C4960:H4960"/>
    <mergeCell ref="A4961:A4962"/>
    <mergeCell ref="B4961:B4962"/>
    <mergeCell ref="C4961:C4962"/>
    <mergeCell ref="D4961:D4962"/>
    <mergeCell ref="E4961:E4962"/>
    <mergeCell ref="F4961:G4961"/>
    <mergeCell ref="H4961:H4962"/>
    <mergeCell ref="A4984:B4984"/>
    <mergeCell ref="F4984:G4984"/>
    <mergeCell ref="A4985:E4985"/>
    <mergeCell ref="F4985:G4985"/>
    <mergeCell ref="F4986:G4986"/>
    <mergeCell ref="A4987:B4987"/>
    <mergeCell ref="F4987:G4987"/>
    <mergeCell ref="E4988:F4988"/>
    <mergeCell ref="A4999:D4999"/>
    <mergeCell ref="E4999:H5000"/>
    <mergeCell ref="B5000:D5000"/>
    <mergeCell ref="A5001:B5001"/>
    <mergeCell ref="C5001:D5001"/>
    <mergeCell ref="E5001:H5001"/>
    <mergeCell ref="C5002:D5002"/>
    <mergeCell ref="E5002:F5002"/>
    <mergeCell ref="A4953:D4953"/>
    <mergeCell ref="E4953:H4954"/>
    <mergeCell ref="B4954:D4954"/>
    <mergeCell ref="A4955:B4955"/>
    <mergeCell ref="C4955:D4955"/>
    <mergeCell ref="E4955:H4955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H4959"/>
    <mergeCell ref="A4938:C4938"/>
    <mergeCell ref="F4938:G4938"/>
    <mergeCell ref="A4939:E4939"/>
    <mergeCell ref="F4939:G4939"/>
    <mergeCell ref="F4940:G4940"/>
    <mergeCell ref="A4941:B4941"/>
    <mergeCell ref="F4941:G4941"/>
    <mergeCell ref="E4942:F4942"/>
    <mergeCell ref="E4943:F4943"/>
    <mergeCell ref="A4944:H4944"/>
    <mergeCell ref="A4945:D4945"/>
    <mergeCell ref="E4945:H4945"/>
    <mergeCell ref="A4946:D4946"/>
    <mergeCell ref="A4947:D4947"/>
    <mergeCell ref="A4948:D4948"/>
    <mergeCell ref="A4949:D4949"/>
    <mergeCell ref="E4949:H4949"/>
    <mergeCell ref="C4864:D4864"/>
    <mergeCell ref="E4864:F4864"/>
    <mergeCell ref="A4865:B4865"/>
    <mergeCell ref="C4865:D4865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A4913:B4913"/>
    <mergeCell ref="C4913:H4913"/>
    <mergeCell ref="A4914:A4915"/>
    <mergeCell ref="B4914:B4915"/>
    <mergeCell ref="C4914:C4915"/>
    <mergeCell ref="D4914:D4915"/>
    <mergeCell ref="E4914:E4915"/>
    <mergeCell ref="F4914:G4914"/>
    <mergeCell ref="H4914:H4915"/>
    <mergeCell ref="E4896:F4896"/>
    <mergeCell ref="A4897:H4897"/>
    <mergeCell ref="A4898:D4898"/>
    <mergeCell ref="E4898:H4898"/>
    <mergeCell ref="A4899:D4899"/>
    <mergeCell ref="A4900:D4900"/>
    <mergeCell ref="A4901:D4901"/>
    <mergeCell ref="A4902:D4902"/>
    <mergeCell ref="E4902:H4902"/>
    <mergeCell ref="A4906:D4906"/>
    <mergeCell ref="E4906:H4907"/>
    <mergeCell ref="B4907:D4907"/>
    <mergeCell ref="A4908:B4908"/>
    <mergeCell ref="C4908:D4908"/>
    <mergeCell ref="E4908:H4908"/>
    <mergeCell ref="C4909:D4909"/>
    <mergeCell ref="E4909:F4909"/>
    <mergeCell ref="E4754:F4754"/>
    <mergeCell ref="A4755:H4755"/>
    <mergeCell ref="A4756:D4756"/>
    <mergeCell ref="E4756:H4756"/>
    <mergeCell ref="A4757:D4757"/>
    <mergeCell ref="A4758:D4758"/>
    <mergeCell ref="A4759:D4759"/>
    <mergeCell ref="A4760:D4760"/>
    <mergeCell ref="E4760:H4760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H4725"/>
    <mergeCell ref="A4726:B4726"/>
    <mergeCell ref="C4726:H4726"/>
    <mergeCell ref="A4727:A4728"/>
    <mergeCell ref="B4727:B4728"/>
    <mergeCell ref="C4727:C4728"/>
    <mergeCell ref="D4727:D4728"/>
    <mergeCell ref="E4727:E4728"/>
    <mergeCell ref="F4727:G4727"/>
    <mergeCell ref="H4727:H4728"/>
    <mergeCell ref="A4866:B4866"/>
    <mergeCell ref="C4866:H4866"/>
    <mergeCell ref="A4867:A4868"/>
    <mergeCell ref="B4867:B4868"/>
    <mergeCell ref="C4867:C4868"/>
    <mergeCell ref="D4867:D4868"/>
    <mergeCell ref="E4867:E4868"/>
    <mergeCell ref="F4867:G4867"/>
    <mergeCell ref="H4867:H4868"/>
    <mergeCell ref="A4764:D4764"/>
    <mergeCell ref="E4764:H4765"/>
    <mergeCell ref="B4765:D4765"/>
    <mergeCell ref="A4766:B4766"/>
    <mergeCell ref="D4766:E4766"/>
    <mergeCell ref="C4767:D4767"/>
    <mergeCell ref="E4767:F4767"/>
    <mergeCell ref="C4768:D4768"/>
    <mergeCell ref="E4768:F4768"/>
    <mergeCell ref="A4770:B4770"/>
    <mergeCell ref="C4770:D4770"/>
    <mergeCell ref="E4770:G4770"/>
    <mergeCell ref="A4771:B4771"/>
    <mergeCell ref="C4771:H4771"/>
    <mergeCell ref="F4792:G4792"/>
    <mergeCell ref="F4793:G4793"/>
    <mergeCell ref="E4794:F4794"/>
    <mergeCell ref="E4795:F4795"/>
    <mergeCell ref="A4796:H4796"/>
    <mergeCell ref="A4797:D4797"/>
    <mergeCell ref="E4797:H4797"/>
    <mergeCell ref="A4798:D4798"/>
    <mergeCell ref="A4799:D4799"/>
    <mergeCell ref="A4800:D4800"/>
    <mergeCell ref="A4801:D4801"/>
    <mergeCell ref="E4801:H4801"/>
    <mergeCell ref="A4772:A4773"/>
    <mergeCell ref="B4772:B4773"/>
    <mergeCell ref="A4719:D4719"/>
    <mergeCell ref="E4719:H4720"/>
    <mergeCell ref="B4720:D4720"/>
    <mergeCell ref="A4721:B4721"/>
    <mergeCell ref="C4721:D4721"/>
    <mergeCell ref="E4721:H4721"/>
    <mergeCell ref="C4722:D4722"/>
    <mergeCell ref="E4722:F4722"/>
    <mergeCell ref="A4679:B4679"/>
    <mergeCell ref="C4679:H4679"/>
    <mergeCell ref="A4680:A4681"/>
    <mergeCell ref="B4680:B4681"/>
    <mergeCell ref="C4680:C4681"/>
    <mergeCell ref="D4680:D4681"/>
    <mergeCell ref="E4680:E4681"/>
    <mergeCell ref="F4680:G4680"/>
    <mergeCell ref="H4680:H4681"/>
    <mergeCell ref="A4705:C4705"/>
    <mergeCell ref="F4705:G4705"/>
    <mergeCell ref="A4706:E4706"/>
    <mergeCell ref="F4706:G4706"/>
    <mergeCell ref="F4707:G4707"/>
    <mergeCell ref="A4708:D4708"/>
    <mergeCell ref="F4708:G4708"/>
    <mergeCell ref="E4709:F4709"/>
    <mergeCell ref="A4749:C4749"/>
    <mergeCell ref="F4749:G4749"/>
    <mergeCell ref="A4750:E4750"/>
    <mergeCell ref="F4750:G4750"/>
    <mergeCell ref="F4751:G4751"/>
    <mergeCell ref="A4752:D4752"/>
    <mergeCell ref="F4752:G4752"/>
    <mergeCell ref="E4753:F4753"/>
    <mergeCell ref="A4389:H4389"/>
    <mergeCell ref="A4390:D4390"/>
    <mergeCell ref="E4390:H4390"/>
    <mergeCell ref="A4391:D4391"/>
    <mergeCell ref="A4392:D4392"/>
    <mergeCell ref="A4393:D4393"/>
    <mergeCell ref="A4394:D4394"/>
    <mergeCell ref="E4394:H4394"/>
    <mergeCell ref="A4628:D4628"/>
    <mergeCell ref="E4628:H4629"/>
    <mergeCell ref="B4629:D4629"/>
    <mergeCell ref="A4630:B4630"/>
    <mergeCell ref="C4630:D4630"/>
    <mergeCell ref="E4630:H4630"/>
    <mergeCell ref="A4397:D4397"/>
    <mergeCell ref="E4397:H4398"/>
    <mergeCell ref="B4398:D4398"/>
    <mergeCell ref="A4399:B4399"/>
    <mergeCell ref="C4399:D4399"/>
    <mergeCell ref="E4399:H4399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G4403"/>
    <mergeCell ref="A4435:H4435"/>
    <mergeCell ref="A4437:D4437"/>
    <mergeCell ref="A4438:D4438"/>
    <mergeCell ref="A4439:D4439"/>
    <mergeCell ref="A4440:D4440"/>
    <mergeCell ref="E4440:H4440"/>
    <mergeCell ref="A4444:D4444"/>
    <mergeCell ref="E4444:H4445"/>
    <mergeCell ref="B4445:D4445"/>
    <mergeCell ref="A4446:B4446"/>
    <mergeCell ref="C4446:D4446"/>
    <mergeCell ref="E4446:H4446"/>
    <mergeCell ref="C4447:D4447"/>
    <mergeCell ref="A4483:D4483"/>
    <mergeCell ref="E4483:H4483"/>
    <mergeCell ref="A4484:D4484"/>
    <mergeCell ref="A4485:D4485"/>
    <mergeCell ref="A4486:D4486"/>
    <mergeCell ref="A4535:D4535"/>
    <mergeCell ref="E4535:H4536"/>
    <mergeCell ref="B4536:D4536"/>
    <mergeCell ref="C4538:D4538"/>
    <mergeCell ref="E4538:F4538"/>
    <mergeCell ref="C4539:D4539"/>
    <mergeCell ref="E4539:F4539"/>
    <mergeCell ref="A4540:B4540"/>
    <mergeCell ref="C4540:D4540"/>
    <mergeCell ref="E4540:F4540"/>
    <mergeCell ref="A4541:B4541"/>
    <mergeCell ref="C4541:D4541"/>
    <mergeCell ref="E4541:G4541"/>
    <mergeCell ref="A4542:B4542"/>
    <mergeCell ref="A4576:D4576"/>
    <mergeCell ref="C4357:C4358"/>
    <mergeCell ref="D4357:D4358"/>
    <mergeCell ref="E4357:E4358"/>
    <mergeCell ref="F4357:G4357"/>
    <mergeCell ref="H4357:H4358"/>
    <mergeCell ref="A4382:B4382"/>
    <mergeCell ref="F4382:G4382"/>
    <mergeCell ref="A4383:E4383"/>
    <mergeCell ref="F4383:G4383"/>
    <mergeCell ref="F4384:G4384"/>
    <mergeCell ref="A4385:B4385"/>
    <mergeCell ref="F4385:G4385"/>
    <mergeCell ref="E4387:F4387"/>
    <mergeCell ref="E4388:F4388"/>
    <mergeCell ref="A4349:D4349"/>
    <mergeCell ref="E4349:H4350"/>
    <mergeCell ref="B4350:D4350"/>
    <mergeCell ref="A4351:B4351"/>
    <mergeCell ref="C4351:D4351"/>
    <mergeCell ref="E4351:H4351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G4355"/>
    <mergeCell ref="C4631:D4631"/>
    <mergeCell ref="E4631:F4631"/>
    <mergeCell ref="A4436:D4436"/>
    <mergeCell ref="E4436:H4436"/>
    <mergeCell ref="A4404:B4404"/>
    <mergeCell ref="A4405:A4406"/>
    <mergeCell ref="B4405:B4406"/>
    <mergeCell ref="C4405:C4406"/>
    <mergeCell ref="D4405:D4406"/>
    <mergeCell ref="E4405:E4406"/>
    <mergeCell ref="F4405:G4405"/>
    <mergeCell ref="H4405:H4406"/>
    <mergeCell ref="A4428:B4428"/>
    <mergeCell ref="F4428:G4428"/>
    <mergeCell ref="A4429:E4429"/>
    <mergeCell ref="F4429:G4429"/>
    <mergeCell ref="F4430:G4430"/>
    <mergeCell ref="A4431:B4431"/>
    <mergeCell ref="F4431:G4431"/>
    <mergeCell ref="E4433:F4433"/>
    <mergeCell ref="E4434:F4434"/>
    <mergeCell ref="F4520:G4520"/>
    <mergeCell ref="A4521:E4521"/>
    <mergeCell ref="F4521:G4521"/>
    <mergeCell ref="F4475:G4475"/>
    <mergeCell ref="A4476:E4476"/>
    <mergeCell ref="F4476:G4476"/>
    <mergeCell ref="F4477:G4477"/>
    <mergeCell ref="A4478:B4478"/>
    <mergeCell ref="F4478:G4478"/>
    <mergeCell ref="E4480:F4480"/>
    <mergeCell ref="E4481:F4481"/>
    <mergeCell ref="A4482:H4482"/>
    <mergeCell ref="K4243:N4243"/>
    <mergeCell ref="K4244:N4244"/>
    <mergeCell ref="K4245:N4245"/>
    <mergeCell ref="K4246:N4246"/>
    <mergeCell ref="A4332:B4332"/>
    <mergeCell ref="F4332:G4332"/>
    <mergeCell ref="A4333:E4333"/>
    <mergeCell ref="F4333:G4333"/>
    <mergeCell ref="F4334:G4334"/>
    <mergeCell ref="A4335:B4335"/>
    <mergeCell ref="F4335:G4335"/>
    <mergeCell ref="E4337:F4337"/>
    <mergeCell ref="E4338:F4338"/>
    <mergeCell ref="A4339:H4339"/>
    <mergeCell ref="A4340:D4340"/>
    <mergeCell ref="E4340:H4340"/>
    <mergeCell ref="A4341:D4341"/>
    <mergeCell ref="A4342:D4342"/>
    <mergeCell ref="A4343:D4343"/>
    <mergeCell ref="A4344:D4344"/>
    <mergeCell ref="E4344:H4344"/>
    <mergeCell ref="A4308:B4308"/>
    <mergeCell ref="C4308:D4308"/>
    <mergeCell ref="E4308:G4308"/>
    <mergeCell ref="A4306:B4306"/>
    <mergeCell ref="C4306:D4306"/>
    <mergeCell ref="E4306:F4306"/>
    <mergeCell ref="A4307:B4307"/>
    <mergeCell ref="C4307:D4307"/>
    <mergeCell ref="E4307:F4307"/>
    <mergeCell ref="A4309:B4309"/>
    <mergeCell ref="A4310:A4311"/>
    <mergeCell ref="B4310:B4311"/>
    <mergeCell ref="C4310:C4311"/>
    <mergeCell ref="D4310:D4311"/>
    <mergeCell ref="E4310:E4311"/>
    <mergeCell ref="F4310:G4310"/>
    <mergeCell ref="H4310:H4311"/>
    <mergeCell ref="K4235:M4235"/>
    <mergeCell ref="P4235:Q4235"/>
    <mergeCell ref="K4236:O4236"/>
    <mergeCell ref="P4236:Q4236"/>
    <mergeCell ref="P4237:Q4237"/>
    <mergeCell ref="K4238:N4238"/>
    <mergeCell ref="P4238:Q4238"/>
    <mergeCell ref="O4239:P4239"/>
    <mergeCell ref="O4240:P4240"/>
    <mergeCell ref="K4241:R4241"/>
    <mergeCell ref="K4242:N4242"/>
    <mergeCell ref="O4242:R4242"/>
    <mergeCell ref="E4198:F4198"/>
    <mergeCell ref="E4199:F4199"/>
    <mergeCell ref="A4200:H4200"/>
    <mergeCell ref="A4201:C4201"/>
    <mergeCell ref="E4201:H4201"/>
    <mergeCell ref="A4203:C4203"/>
    <mergeCell ref="A4204:D4204"/>
    <mergeCell ref="A4205:D4205"/>
    <mergeCell ref="E4205:H4205"/>
    <mergeCell ref="A4256:D4256"/>
    <mergeCell ref="E4256:H4257"/>
    <mergeCell ref="B4257:D4257"/>
    <mergeCell ref="A4258:B4258"/>
    <mergeCell ref="C4258:D4258"/>
    <mergeCell ref="E4258:H4258"/>
    <mergeCell ref="C4259:D4259"/>
    <mergeCell ref="E4259:F4259"/>
    <mergeCell ref="A4208:D4208"/>
    <mergeCell ref="E4208:H4209"/>
    <mergeCell ref="B4209:D4209"/>
    <mergeCell ref="A4210:B4210"/>
    <mergeCell ref="D4210:E4210"/>
    <mergeCell ref="G4210:H4210"/>
    <mergeCell ref="F4243:G4243"/>
    <mergeCell ref="F4244:G4244"/>
    <mergeCell ref="A4245:D4245"/>
    <mergeCell ref="F4245:G4245"/>
    <mergeCell ref="E4246:F4246"/>
    <mergeCell ref="E4247:F4247"/>
    <mergeCell ref="A4248:H4248"/>
    <mergeCell ref="A4249:D4249"/>
    <mergeCell ref="E4249:H4249"/>
    <mergeCell ref="O4246:R4246"/>
    <mergeCell ref="A4250:D4250"/>
    <mergeCell ref="A4251:D4251"/>
    <mergeCell ref="A4252:D4252"/>
    <mergeCell ref="A4253:D4253"/>
    <mergeCell ref="E4253:H4253"/>
    <mergeCell ref="K4208:L4208"/>
    <mergeCell ref="M4208:R4208"/>
    <mergeCell ref="K4209:K4210"/>
    <mergeCell ref="L4209:L4210"/>
    <mergeCell ref="M4209:M4210"/>
    <mergeCell ref="N4209:N4210"/>
    <mergeCell ref="O4209:O4210"/>
    <mergeCell ref="P4209:Q4209"/>
    <mergeCell ref="R4209:R4210"/>
    <mergeCell ref="C4211:D4211"/>
    <mergeCell ref="E4211:F4211"/>
    <mergeCell ref="A4212:B4212"/>
    <mergeCell ref="C4212:D4212"/>
    <mergeCell ref="E4212:F4212"/>
    <mergeCell ref="C4068:D4068"/>
    <mergeCell ref="E4068:H4068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A4073:B4073"/>
    <mergeCell ref="C4073:H4073"/>
    <mergeCell ref="A4074:A4075"/>
    <mergeCell ref="B4074:B4075"/>
    <mergeCell ref="A4139:B4139"/>
    <mergeCell ref="F4139:G4139"/>
    <mergeCell ref="A4102:C4102"/>
    <mergeCell ref="E4102:H4102"/>
    <mergeCell ref="A4104:C4104"/>
    <mergeCell ref="A4105:D4105"/>
    <mergeCell ref="A4106:D4106"/>
    <mergeCell ref="E4106:H4106"/>
    <mergeCell ref="A4108:D4108"/>
    <mergeCell ref="E4108:H4109"/>
    <mergeCell ref="B4109:D4109"/>
    <mergeCell ref="A4110:B4110"/>
    <mergeCell ref="C4110:D4110"/>
    <mergeCell ref="A4302:D4302"/>
    <mergeCell ref="E4302:H4303"/>
    <mergeCell ref="B4303:D4303"/>
    <mergeCell ref="A4304:B4304"/>
    <mergeCell ref="C4304:D4304"/>
    <mergeCell ref="E4304:H4304"/>
    <mergeCell ref="F4286:G4286"/>
    <mergeCell ref="A4287:E4287"/>
    <mergeCell ref="F4287:G4287"/>
    <mergeCell ref="F4288:G4288"/>
    <mergeCell ref="A4289:B4289"/>
    <mergeCell ref="F4289:G4289"/>
    <mergeCell ref="E4291:F4291"/>
    <mergeCell ref="E4292:F4292"/>
    <mergeCell ref="A4293:H4293"/>
    <mergeCell ref="A4294:D4294"/>
    <mergeCell ref="E4294:H4294"/>
    <mergeCell ref="A4295:D4295"/>
    <mergeCell ref="A4296:D4296"/>
    <mergeCell ref="A4297:D4297"/>
    <mergeCell ref="A4298:D4298"/>
    <mergeCell ref="A4286:B4286"/>
    <mergeCell ref="A4260:B4260"/>
    <mergeCell ref="C4260:D4260"/>
    <mergeCell ref="E4260:F4260"/>
    <mergeCell ref="A4261:B4261"/>
    <mergeCell ref="E4298:H4298"/>
    <mergeCell ref="C4261:D4261"/>
    <mergeCell ref="E4261:F4261"/>
    <mergeCell ref="A4262:B4262"/>
    <mergeCell ref="C4262:D4262"/>
    <mergeCell ref="E4262:G4262"/>
    <mergeCell ref="A4263:B4263"/>
    <mergeCell ref="A4264:A4265"/>
    <mergeCell ref="B4264:B4265"/>
    <mergeCell ref="A4027:A4028"/>
    <mergeCell ref="B4027:B4028"/>
    <mergeCell ref="C4027:C4028"/>
    <mergeCell ref="D4027:D4028"/>
    <mergeCell ref="E4027:E4028"/>
    <mergeCell ref="F4027:G4027"/>
    <mergeCell ref="H4027:H4028"/>
    <mergeCell ref="A4051:B4051"/>
    <mergeCell ref="F4051:G4051"/>
    <mergeCell ref="A4052:E4052"/>
    <mergeCell ref="F4052:G4052"/>
    <mergeCell ref="A4013:D4013"/>
    <mergeCell ref="E4013:H4013"/>
    <mergeCell ref="A4014:D4014"/>
    <mergeCell ref="A4015:D4015"/>
    <mergeCell ref="A4016:D4016"/>
    <mergeCell ref="A4017:D4017"/>
    <mergeCell ref="E4017:H4017"/>
    <mergeCell ref="A4019:D4019"/>
    <mergeCell ref="E4019:H4020"/>
    <mergeCell ref="B4020:D4020"/>
    <mergeCell ref="A4021:B4021"/>
    <mergeCell ref="C4021:D4021"/>
    <mergeCell ref="E4021:H4021"/>
    <mergeCell ref="C4022:D4022"/>
    <mergeCell ref="E4022:F4022"/>
    <mergeCell ref="A4023:B4023"/>
    <mergeCell ref="C4023:D4023"/>
    <mergeCell ref="E4023:F4023"/>
    <mergeCell ref="F4197:G4197"/>
    <mergeCell ref="A4164:D4164"/>
    <mergeCell ref="E4164:H4165"/>
    <mergeCell ref="B4165:D4165"/>
    <mergeCell ref="A4166:B4166"/>
    <mergeCell ref="C4166:D4166"/>
    <mergeCell ref="E4166:H4166"/>
    <mergeCell ref="C4167:D4167"/>
    <mergeCell ref="E4167:F4167"/>
    <mergeCell ref="A4168:B4168"/>
    <mergeCell ref="C4168:D4168"/>
    <mergeCell ref="E4168:F4168"/>
    <mergeCell ref="C4169:D4169"/>
    <mergeCell ref="E4169:F4169"/>
    <mergeCell ref="C4170:D4170"/>
    <mergeCell ref="A4171:B4171"/>
    <mergeCell ref="C4171:H4171"/>
    <mergeCell ref="E4170:G4170"/>
    <mergeCell ref="F4053:G4053"/>
    <mergeCell ref="A4054:B4054"/>
    <mergeCell ref="F4054:G4054"/>
    <mergeCell ref="E4056:F4056"/>
    <mergeCell ref="E4057:F4057"/>
    <mergeCell ref="A4058:H4058"/>
    <mergeCell ref="A4059:D4059"/>
    <mergeCell ref="E4059:H4059"/>
    <mergeCell ref="A4060:D4060"/>
    <mergeCell ref="A4061:D4061"/>
    <mergeCell ref="A4062:D4062"/>
    <mergeCell ref="A4063:D4063"/>
    <mergeCell ref="E4063:H4063"/>
    <mergeCell ref="A4066:D4066"/>
    <mergeCell ref="E4066:H4067"/>
    <mergeCell ref="B4067:D4067"/>
    <mergeCell ref="A4068:B4068"/>
    <mergeCell ref="A4005:B4005"/>
    <mergeCell ref="F4005:G4005"/>
    <mergeCell ref="A4006:E4006"/>
    <mergeCell ref="F4006:G4006"/>
    <mergeCell ref="F4007:G4007"/>
    <mergeCell ref="A4008:B4008"/>
    <mergeCell ref="F4008:G4008"/>
    <mergeCell ref="E4010:F4010"/>
    <mergeCell ref="E4011:F4011"/>
    <mergeCell ref="A4012:H4012"/>
    <mergeCell ref="A3973:D3973"/>
    <mergeCell ref="E3973:H3974"/>
    <mergeCell ref="B3974:D3974"/>
    <mergeCell ref="A3975:B3975"/>
    <mergeCell ref="C3975:D3975"/>
    <mergeCell ref="E3975:H3975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G3979"/>
    <mergeCell ref="A4024:B4024"/>
    <mergeCell ref="C4024:D4024"/>
    <mergeCell ref="E4024:F4024"/>
    <mergeCell ref="A4025:B4025"/>
    <mergeCell ref="C4025:D4025"/>
    <mergeCell ref="E4025:G4025"/>
    <mergeCell ref="E3963:F3963"/>
    <mergeCell ref="A3964:H3964"/>
    <mergeCell ref="A3965:D3965"/>
    <mergeCell ref="E3965:H3965"/>
    <mergeCell ref="A3966:D3966"/>
    <mergeCell ref="A3967:D3967"/>
    <mergeCell ref="A3968:D3968"/>
    <mergeCell ref="A3969:D3969"/>
    <mergeCell ref="E3969:H3969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G3931"/>
    <mergeCell ref="A3933:A3934"/>
    <mergeCell ref="B3933:B3934"/>
    <mergeCell ref="C3933:C3934"/>
    <mergeCell ref="D3933:D3934"/>
    <mergeCell ref="E3933:E3934"/>
    <mergeCell ref="F3933:G3933"/>
    <mergeCell ref="A3981:A3982"/>
    <mergeCell ref="B3981:B3982"/>
    <mergeCell ref="C3981:C3982"/>
    <mergeCell ref="D3981:D3982"/>
    <mergeCell ref="E3981:E3982"/>
    <mergeCell ref="F3981:G3981"/>
    <mergeCell ref="H3981:H3982"/>
    <mergeCell ref="E3920:H3920"/>
    <mergeCell ref="A3925:D3925"/>
    <mergeCell ref="E3925:H3926"/>
    <mergeCell ref="B3926:D3926"/>
    <mergeCell ref="A3927:B3927"/>
    <mergeCell ref="C3927:D3927"/>
    <mergeCell ref="E3927:H3927"/>
    <mergeCell ref="A3882:B3882"/>
    <mergeCell ref="C3882:D3882"/>
    <mergeCell ref="E3882:F3882"/>
    <mergeCell ref="A3883:B3883"/>
    <mergeCell ref="C3883:D3883"/>
    <mergeCell ref="E3883:G3883"/>
    <mergeCell ref="A3885:A3886"/>
    <mergeCell ref="B3885:B3886"/>
    <mergeCell ref="C3885:C3886"/>
    <mergeCell ref="D3885:D3886"/>
    <mergeCell ref="E3885:E3886"/>
    <mergeCell ref="F3885:G3885"/>
    <mergeCell ref="H3885:H3886"/>
    <mergeCell ref="A3908:B3908"/>
    <mergeCell ref="F3908:G3908"/>
    <mergeCell ref="A3909:E3909"/>
    <mergeCell ref="F3909:G3909"/>
    <mergeCell ref="H3933:H3934"/>
    <mergeCell ref="A3957:B3957"/>
    <mergeCell ref="F3957:G3957"/>
    <mergeCell ref="A3958:E3958"/>
    <mergeCell ref="F3958:G3958"/>
    <mergeCell ref="F3959:G3959"/>
    <mergeCell ref="A3960:B3960"/>
    <mergeCell ref="F3960:G3960"/>
    <mergeCell ref="E3962:F3962"/>
    <mergeCell ref="A3780:D3780"/>
    <mergeCell ref="A3781:D3781"/>
    <mergeCell ref="A3782:D3782"/>
    <mergeCell ref="E3782:H3782"/>
    <mergeCell ref="A3785:D3785"/>
    <mergeCell ref="E3785:H3786"/>
    <mergeCell ref="B3786:D3786"/>
    <mergeCell ref="A3787:B3787"/>
    <mergeCell ref="D3787:E3787"/>
    <mergeCell ref="A3864:D3864"/>
    <mergeCell ref="E3864:H3864"/>
    <mergeCell ref="A3865:D3865"/>
    <mergeCell ref="A3866:D3866"/>
    <mergeCell ref="A3867:D3867"/>
    <mergeCell ref="A3868:D3868"/>
    <mergeCell ref="E3868:H3868"/>
    <mergeCell ref="A3877:D3877"/>
    <mergeCell ref="E3877:H3878"/>
    <mergeCell ref="B3878:D3878"/>
    <mergeCell ref="A3879:B3879"/>
    <mergeCell ref="C3879:D3879"/>
    <mergeCell ref="E3879:H3879"/>
    <mergeCell ref="C3880:D3880"/>
    <mergeCell ref="E3880:F3880"/>
    <mergeCell ref="A3881:B3881"/>
    <mergeCell ref="C3881:D3881"/>
    <mergeCell ref="E3881:F3881"/>
    <mergeCell ref="A3833:A3834"/>
    <mergeCell ref="B3833:B3834"/>
    <mergeCell ref="C3833:C3834"/>
    <mergeCell ref="D3833:D3834"/>
    <mergeCell ref="E3833:E3834"/>
    <mergeCell ref="F3833:G3833"/>
    <mergeCell ref="H3833:H3834"/>
    <mergeCell ref="A3856:B3856"/>
    <mergeCell ref="F3856:G3856"/>
    <mergeCell ref="A3857:E3857"/>
    <mergeCell ref="F3857:G3857"/>
    <mergeCell ref="F3858:G3858"/>
    <mergeCell ref="A3859:B3859"/>
    <mergeCell ref="F3859:G3859"/>
    <mergeCell ref="E3861:F3861"/>
    <mergeCell ref="E3862:F3862"/>
    <mergeCell ref="A3863:H3863"/>
    <mergeCell ref="A3729:E3729"/>
    <mergeCell ref="A3730:C3730"/>
    <mergeCell ref="A3732:D3732"/>
    <mergeCell ref="A3733:D3733"/>
    <mergeCell ref="A3734:D3734"/>
    <mergeCell ref="E3734:H3734"/>
    <mergeCell ref="A3690:D3690"/>
    <mergeCell ref="E3690:H3691"/>
    <mergeCell ref="B3691:D3691"/>
    <mergeCell ref="A3692:B3692"/>
    <mergeCell ref="C3692:D3692"/>
    <mergeCell ref="E3692:H3692"/>
    <mergeCell ref="C3693:D3693"/>
    <mergeCell ref="E3693:F3693"/>
    <mergeCell ref="C3694:D3694"/>
    <mergeCell ref="E3694:F3694"/>
    <mergeCell ref="C3695:D3695"/>
    <mergeCell ref="E3695:F3695"/>
    <mergeCell ref="C3696:D3696"/>
    <mergeCell ref="A3697:B3697"/>
    <mergeCell ref="A3698:A3699"/>
    <mergeCell ref="B3698:B3699"/>
    <mergeCell ref="C3698:C3699"/>
    <mergeCell ref="D3698:D3699"/>
    <mergeCell ref="E3698:E3699"/>
    <mergeCell ref="F3698:G3698"/>
    <mergeCell ref="H3698:H3699"/>
    <mergeCell ref="A3772:D3772"/>
    <mergeCell ref="A3774:C3774"/>
    <mergeCell ref="E3775:F3775"/>
    <mergeCell ref="E3776:F3776"/>
    <mergeCell ref="A3777:E3777"/>
    <mergeCell ref="A3778:C3778"/>
    <mergeCell ref="A3652:A3653"/>
    <mergeCell ref="B3652:B3653"/>
    <mergeCell ref="C3652:C3653"/>
    <mergeCell ref="D3652:D3653"/>
    <mergeCell ref="E3652:E3653"/>
    <mergeCell ref="F3652:G3652"/>
    <mergeCell ref="H3652:H3653"/>
    <mergeCell ref="A3675:B3675"/>
    <mergeCell ref="F3675:G3675"/>
    <mergeCell ref="A3676:E3676"/>
    <mergeCell ref="F3676:G3676"/>
    <mergeCell ref="F3677:G3677"/>
    <mergeCell ref="F3678:G3678"/>
    <mergeCell ref="E3679:F3679"/>
    <mergeCell ref="E3680:F3680"/>
    <mergeCell ref="A3644:D3644"/>
    <mergeCell ref="E3644:H3645"/>
    <mergeCell ref="B3645:D3645"/>
    <mergeCell ref="A3646:B3646"/>
    <mergeCell ref="C3646:D3646"/>
    <mergeCell ref="E3646:H3646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H3650"/>
    <mergeCell ref="A3825:D3825"/>
    <mergeCell ref="E3825:H3826"/>
    <mergeCell ref="B3826:D3826"/>
    <mergeCell ref="C3788:D3788"/>
    <mergeCell ref="E3788:F3788"/>
    <mergeCell ref="C3789:D3789"/>
    <mergeCell ref="E3789:F3789"/>
    <mergeCell ref="A3790:B3790"/>
    <mergeCell ref="C3790:D3790"/>
    <mergeCell ref="E3790:F3790"/>
    <mergeCell ref="A3791:B3791"/>
    <mergeCell ref="C3791:D3791"/>
    <mergeCell ref="E3791:G3791"/>
    <mergeCell ref="A3792:B3792"/>
    <mergeCell ref="C3792:H3792"/>
    <mergeCell ref="F3813:G3813"/>
    <mergeCell ref="F3814:G3814"/>
    <mergeCell ref="E3815:F3815"/>
    <mergeCell ref="E3816:F3816"/>
    <mergeCell ref="A3817:H3817"/>
    <mergeCell ref="A3818:D3818"/>
    <mergeCell ref="E3818:H3818"/>
    <mergeCell ref="A3819:D3819"/>
    <mergeCell ref="A3820:D3820"/>
    <mergeCell ref="A3821:D3821"/>
    <mergeCell ref="A3822:D3822"/>
    <mergeCell ref="E3822:H3822"/>
    <mergeCell ref="A3723:B3723"/>
    <mergeCell ref="A3724:D3724"/>
    <mergeCell ref="A3726:C3726"/>
    <mergeCell ref="E3727:F3727"/>
    <mergeCell ref="E3728:F3728"/>
    <mergeCell ref="F3401:G3401"/>
    <mergeCell ref="F3404:G3404"/>
    <mergeCell ref="E3405:F3405"/>
    <mergeCell ref="E3406:F3406"/>
    <mergeCell ref="A3407:H3407"/>
    <mergeCell ref="A3408:D3408"/>
    <mergeCell ref="E3408:H3408"/>
    <mergeCell ref="A3409:D3409"/>
    <mergeCell ref="A3410:D3410"/>
    <mergeCell ref="A3411:D3411"/>
    <mergeCell ref="A3412:D3412"/>
    <mergeCell ref="E3412:H3412"/>
    <mergeCell ref="F3402:G3402"/>
    <mergeCell ref="F3403:G3403"/>
    <mergeCell ref="A3371:B3371"/>
    <mergeCell ref="C3371:D3371"/>
    <mergeCell ref="E3371:H3371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C3375:D3375"/>
    <mergeCell ref="E3375:H3375"/>
    <mergeCell ref="C3376:H3376"/>
    <mergeCell ref="A3377:A3378"/>
    <mergeCell ref="B3377:B3378"/>
    <mergeCell ref="C3377:C3378"/>
    <mergeCell ref="D3377:D3378"/>
    <mergeCell ref="E3377:E3378"/>
    <mergeCell ref="F3377:G3377"/>
    <mergeCell ref="H3377:H3378"/>
    <mergeCell ref="A3362:D3362"/>
    <mergeCell ref="A3363:D3363"/>
    <mergeCell ref="A3364:D3364"/>
    <mergeCell ref="A3365:D3365"/>
    <mergeCell ref="E3365:H3365"/>
    <mergeCell ref="A3369:D3369"/>
    <mergeCell ref="E3369:H3370"/>
    <mergeCell ref="B3370:D3370"/>
    <mergeCell ref="A3325:B3325"/>
    <mergeCell ref="C3325:D3325"/>
    <mergeCell ref="E3325:H3325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C3329:D3329"/>
    <mergeCell ref="E3329:H3329"/>
    <mergeCell ref="C3330:H3330"/>
    <mergeCell ref="A3331:A3332"/>
    <mergeCell ref="B3331:B3332"/>
    <mergeCell ref="C3331:C3332"/>
    <mergeCell ref="D3331:D3332"/>
    <mergeCell ref="E3331:E3332"/>
    <mergeCell ref="F3331:G3331"/>
    <mergeCell ref="H3331:H3332"/>
    <mergeCell ref="A3399:B3399"/>
    <mergeCell ref="F3399:G3399"/>
    <mergeCell ref="A3400:E3400"/>
    <mergeCell ref="F3400:G3400"/>
    <mergeCell ref="E3319:H3319"/>
    <mergeCell ref="A3323:D3323"/>
    <mergeCell ref="E3323:H3324"/>
    <mergeCell ref="B3324:D3324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C3283:D3283"/>
    <mergeCell ref="E3283:H3283"/>
    <mergeCell ref="C3284:H3284"/>
    <mergeCell ref="A3285:A3286"/>
    <mergeCell ref="B3285:B3286"/>
    <mergeCell ref="C3285:C3286"/>
    <mergeCell ref="D3285:D3286"/>
    <mergeCell ref="E3285:E3286"/>
    <mergeCell ref="F3285:G3285"/>
    <mergeCell ref="H3285:H3286"/>
    <mergeCell ref="A3354:B3354"/>
    <mergeCell ref="F3354:G3354"/>
    <mergeCell ref="A3355:E3355"/>
    <mergeCell ref="F3355:G3355"/>
    <mergeCell ref="F3356:G3356"/>
    <mergeCell ref="F3357:G3357"/>
    <mergeCell ref="E3358:F3358"/>
    <mergeCell ref="E3359:F3359"/>
    <mergeCell ref="A3360:H3360"/>
    <mergeCell ref="A3361:D3361"/>
    <mergeCell ref="E3361:H3361"/>
    <mergeCell ref="A3179:D3179"/>
    <mergeCell ref="E3179:H3179"/>
    <mergeCell ref="E3180:F3180"/>
    <mergeCell ref="A3140:B3140"/>
    <mergeCell ref="C3140:D3140"/>
    <mergeCell ref="E3140:H3140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H3144"/>
    <mergeCell ref="A3145:B3145"/>
    <mergeCell ref="C3145:H3145"/>
    <mergeCell ref="A3182:D3182"/>
    <mergeCell ref="E3182:H3183"/>
    <mergeCell ref="B3183:D3183"/>
    <mergeCell ref="A3184:B3184"/>
    <mergeCell ref="C3184:D3184"/>
    <mergeCell ref="E3184:H3184"/>
    <mergeCell ref="C3185:D3185"/>
    <mergeCell ref="E3185:F3185"/>
    <mergeCell ref="A3264:B3264"/>
    <mergeCell ref="A3265:D3265"/>
    <mergeCell ref="A3267:C3267"/>
    <mergeCell ref="E3268:F3268"/>
    <mergeCell ref="E3269:F3269"/>
    <mergeCell ref="A3270:G3270"/>
    <mergeCell ref="A3232:B3232"/>
    <mergeCell ref="C3232:D3232"/>
    <mergeCell ref="E3232:H3232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G3236"/>
    <mergeCell ref="A3237:B3237"/>
    <mergeCell ref="A3238:A3239"/>
    <mergeCell ref="B3238:B3239"/>
    <mergeCell ref="C3238:C3239"/>
    <mergeCell ref="D3238:D3239"/>
    <mergeCell ref="E3238:E3239"/>
    <mergeCell ref="F3238:G3238"/>
    <mergeCell ref="H3238:H3239"/>
    <mergeCell ref="A3146:A3147"/>
    <mergeCell ref="B3146:B3147"/>
    <mergeCell ref="C3146:C3147"/>
    <mergeCell ref="D3146:D3147"/>
    <mergeCell ref="E3146:E3147"/>
    <mergeCell ref="F3146:G3146"/>
    <mergeCell ref="H3146:H3147"/>
    <mergeCell ref="F3168:G3168"/>
    <mergeCell ref="A3169:E3169"/>
    <mergeCell ref="F3169:G3169"/>
    <mergeCell ref="F3170:G3170"/>
    <mergeCell ref="F3171:G3171"/>
    <mergeCell ref="E3172:F3172"/>
    <mergeCell ref="A3093:D3093"/>
    <mergeCell ref="E3093:H3094"/>
    <mergeCell ref="B3094:D3094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173:F3173"/>
    <mergeCell ref="A3174:H3174"/>
    <mergeCell ref="A3175:D3175"/>
    <mergeCell ref="E3175:H3175"/>
    <mergeCell ref="A3176:D3176"/>
    <mergeCell ref="A3177:D3177"/>
    <mergeCell ref="A3178:D3178"/>
    <mergeCell ref="A3088:D3088"/>
    <mergeCell ref="A3089:D3089"/>
    <mergeCell ref="E3089:H3089"/>
    <mergeCell ref="E3138:H3139"/>
    <mergeCell ref="B3139:D3139"/>
    <mergeCell ref="D3095:E3095"/>
    <mergeCell ref="E3099:H3099"/>
    <mergeCell ref="C3100:H3100"/>
    <mergeCell ref="F3123:G3123"/>
    <mergeCell ref="A3124:E3124"/>
    <mergeCell ref="F3124:G3124"/>
    <mergeCell ref="F3125:G3125"/>
    <mergeCell ref="F3126:G3126"/>
    <mergeCell ref="E3127:F3127"/>
    <mergeCell ref="E3128:F3128"/>
    <mergeCell ref="A3129:H3129"/>
    <mergeCell ref="A3130:D3130"/>
    <mergeCell ref="E3130:H3130"/>
    <mergeCell ref="A3132:D3132"/>
    <mergeCell ref="A3051:B3051"/>
    <mergeCell ref="A3052:A3053"/>
    <mergeCell ref="B3052:B3053"/>
    <mergeCell ref="C3052:C3053"/>
    <mergeCell ref="D3052:D3053"/>
    <mergeCell ref="E3052:E3053"/>
    <mergeCell ref="F3052:G3052"/>
    <mergeCell ref="H3052:H3053"/>
    <mergeCell ref="A3078:B3078"/>
    <mergeCell ref="A3079:D3079"/>
    <mergeCell ref="A3081:C3081"/>
    <mergeCell ref="E3082:F3082"/>
    <mergeCell ref="E3083:F3083"/>
    <mergeCell ref="A3085:D3085"/>
    <mergeCell ref="E3085:H3085"/>
    <mergeCell ref="A3086:D3086"/>
    <mergeCell ref="A3087:D3087"/>
    <mergeCell ref="A3133:D3133"/>
    <mergeCell ref="A3134:D3134"/>
    <mergeCell ref="E3134:H3134"/>
    <mergeCell ref="A3100:B3100"/>
    <mergeCell ref="A3101:A3102"/>
    <mergeCell ref="B3101:B3102"/>
    <mergeCell ref="C3101:C3102"/>
    <mergeCell ref="D3101:D3102"/>
    <mergeCell ref="E3101:E3102"/>
    <mergeCell ref="F3101:G3101"/>
    <mergeCell ref="H3101:H3102"/>
    <mergeCell ref="A3131:D3131"/>
    <mergeCell ref="E3135:F3135"/>
    <mergeCell ref="A3137:D3137"/>
    <mergeCell ref="E3137:H3137"/>
    <mergeCell ref="A3138:D3138"/>
    <mergeCell ref="A3044:D3044"/>
    <mergeCell ref="E3044:H3045"/>
    <mergeCell ref="B3045:D3045"/>
    <mergeCell ref="A3046:B3046"/>
    <mergeCell ref="C3046:D3046"/>
    <mergeCell ref="E3046:H3046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G3050"/>
    <mergeCell ref="E2988:F2988"/>
    <mergeCell ref="A2989:H2989"/>
    <mergeCell ref="A2990:D2990"/>
    <mergeCell ref="E2990:H2990"/>
    <mergeCell ref="A2991:D2991"/>
    <mergeCell ref="A2992:D2992"/>
    <mergeCell ref="A2993:D2993"/>
    <mergeCell ref="A2994:D2994"/>
    <mergeCell ref="E2994:H2994"/>
    <mergeCell ref="A2958:B2958"/>
    <mergeCell ref="C2958:H2958"/>
    <mergeCell ref="A2959:A2960"/>
    <mergeCell ref="B2959:B2960"/>
    <mergeCell ref="C2959:C2960"/>
    <mergeCell ref="D2959:D2960"/>
    <mergeCell ref="E2959:E2960"/>
    <mergeCell ref="F2959:G2959"/>
    <mergeCell ref="H2959:H2960"/>
    <mergeCell ref="A2983:B2983"/>
    <mergeCell ref="F2983:G2983"/>
    <mergeCell ref="A2984:E2984"/>
    <mergeCell ref="F2984:G2984"/>
    <mergeCell ref="F2985:G2985"/>
    <mergeCell ref="A2986:B2986"/>
    <mergeCell ref="F2986:G2986"/>
    <mergeCell ref="E2987:F2987"/>
    <mergeCell ref="A2951:D2951"/>
    <mergeCell ref="E2951:H2952"/>
    <mergeCell ref="B2952:D2952"/>
    <mergeCell ref="A2953:B2953"/>
    <mergeCell ref="C2953:D2953"/>
    <mergeCell ref="E2953:H2953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H2957"/>
    <mergeCell ref="A2935:B2935"/>
    <mergeCell ref="F2935:G2935"/>
    <mergeCell ref="A2936:E2936"/>
    <mergeCell ref="F2936:G2936"/>
    <mergeCell ref="F2937:G2937"/>
    <mergeCell ref="A2938:B2938"/>
    <mergeCell ref="F2938:G2938"/>
    <mergeCell ref="E2939:F2939"/>
    <mergeCell ref="E2940:F2940"/>
    <mergeCell ref="A2941:H2941"/>
    <mergeCell ref="A2942:D2942"/>
    <mergeCell ref="E2942:H2942"/>
    <mergeCell ref="A2943:D2943"/>
    <mergeCell ref="A2944:D2944"/>
    <mergeCell ref="A2945:D2945"/>
    <mergeCell ref="A2946:D2946"/>
    <mergeCell ref="E2946:H294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H2909"/>
    <mergeCell ref="A2910:B2910"/>
    <mergeCell ref="C2910:H2910"/>
    <mergeCell ref="A2911:A2912"/>
    <mergeCell ref="B2911:B2912"/>
    <mergeCell ref="C2911:C2912"/>
    <mergeCell ref="D2911:D2912"/>
    <mergeCell ref="E2911:E2912"/>
    <mergeCell ref="F2911:G2911"/>
    <mergeCell ref="H2911:H2912"/>
    <mergeCell ref="E2895:F2895"/>
    <mergeCell ref="A2896:H2896"/>
    <mergeCell ref="A2897:D2897"/>
    <mergeCell ref="E2897:H2897"/>
    <mergeCell ref="A2898:D2898"/>
    <mergeCell ref="A2899:D2899"/>
    <mergeCell ref="A2900:D2900"/>
    <mergeCell ref="A2901:D2901"/>
    <mergeCell ref="E2901:H2901"/>
    <mergeCell ref="A2903:D2903"/>
    <mergeCell ref="E2903:H2904"/>
    <mergeCell ref="B2904:D2904"/>
    <mergeCell ref="A2905:B2905"/>
    <mergeCell ref="C2905:D2905"/>
    <mergeCell ref="E2905:H2905"/>
    <mergeCell ref="C2906:D2906"/>
    <mergeCell ref="E2906:F2906"/>
    <mergeCell ref="A2865:B2865"/>
    <mergeCell ref="C2865:H2865"/>
    <mergeCell ref="A2866:A2867"/>
    <mergeCell ref="B2866:B2867"/>
    <mergeCell ref="C2866:C2867"/>
    <mergeCell ref="D2866:D2867"/>
    <mergeCell ref="E2866:E2867"/>
    <mergeCell ref="F2866:G2866"/>
    <mergeCell ref="H2866:H2867"/>
    <mergeCell ref="A2890:B2890"/>
    <mergeCell ref="F2890:G2890"/>
    <mergeCell ref="A2891:E2891"/>
    <mergeCell ref="F2891:G2891"/>
    <mergeCell ref="F2892:G2892"/>
    <mergeCell ref="A2893:B2893"/>
    <mergeCell ref="F2893:G2893"/>
    <mergeCell ref="E2894:F2894"/>
    <mergeCell ref="A2858:D2858"/>
    <mergeCell ref="E2858:H2859"/>
    <mergeCell ref="B2859:D2859"/>
    <mergeCell ref="A2860:B2860"/>
    <mergeCell ref="C2860:D2860"/>
    <mergeCell ref="E2860:H2860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H2864"/>
    <mergeCell ref="A2845:B2845"/>
    <mergeCell ref="A2846:D2846"/>
    <mergeCell ref="A2848:C2848"/>
    <mergeCell ref="E2849:F2849"/>
    <mergeCell ref="E2850:F2850"/>
    <mergeCell ref="A2851:E2851"/>
    <mergeCell ref="A2852:D2852"/>
    <mergeCell ref="E2852:H2852"/>
    <mergeCell ref="A2853:D2853"/>
    <mergeCell ref="A2854:D2854"/>
    <mergeCell ref="A2855:D2855"/>
    <mergeCell ref="A2856:D2856"/>
    <mergeCell ref="E2856:H2856"/>
    <mergeCell ref="C2815:D2815"/>
    <mergeCell ref="E2815:F2815"/>
    <mergeCell ref="C2816:D2816"/>
    <mergeCell ref="E2816:F2816"/>
    <mergeCell ref="A2817:B2817"/>
    <mergeCell ref="C2817:D2817"/>
    <mergeCell ref="E2817:F2817"/>
    <mergeCell ref="A2818:B2818"/>
    <mergeCell ref="C2818:D2818"/>
    <mergeCell ref="E2818:G2818"/>
    <mergeCell ref="A2819:B2819"/>
    <mergeCell ref="A2820:B2820"/>
    <mergeCell ref="C2820:D2820"/>
    <mergeCell ref="E2820:H2820"/>
    <mergeCell ref="A2821:A2822"/>
    <mergeCell ref="B2821:B2822"/>
    <mergeCell ref="C2821:C2822"/>
    <mergeCell ref="D2821:D2822"/>
    <mergeCell ref="E2821:E2822"/>
    <mergeCell ref="F2821:G2821"/>
    <mergeCell ref="H2821:H2822"/>
    <mergeCell ref="A2799:B2799"/>
    <mergeCell ref="A2800:D2800"/>
    <mergeCell ref="A2802:C2802"/>
    <mergeCell ref="E2803:F2803"/>
    <mergeCell ref="E2804:F2804"/>
    <mergeCell ref="A2805:F2805"/>
    <mergeCell ref="A2806:D2806"/>
    <mergeCell ref="E2806:H2806"/>
    <mergeCell ref="A2807:D2807"/>
    <mergeCell ref="A2808:D2808"/>
    <mergeCell ref="A2809:D2809"/>
    <mergeCell ref="A2810:D2810"/>
    <mergeCell ref="E2810:H2810"/>
    <mergeCell ref="A2812:D2812"/>
    <mergeCell ref="E2812:H2813"/>
    <mergeCell ref="B2813:D2813"/>
    <mergeCell ref="A2814:C2814"/>
    <mergeCell ref="D2814:E2814"/>
    <mergeCell ref="G2814:H2814"/>
    <mergeCell ref="A2768:B2768"/>
    <mergeCell ref="C2768:D2768"/>
    <mergeCell ref="E2768:H2768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G2772"/>
    <mergeCell ref="A2773:A2774"/>
    <mergeCell ref="B2773:B2774"/>
    <mergeCell ref="C2773:C2774"/>
    <mergeCell ref="D2773:D2774"/>
    <mergeCell ref="E2773:E2774"/>
    <mergeCell ref="F2773:G2773"/>
    <mergeCell ref="H2773:H2774"/>
    <mergeCell ref="A2759:D2759"/>
    <mergeCell ref="E2759:H2759"/>
    <mergeCell ref="A2760:D2760"/>
    <mergeCell ref="A2761:D2761"/>
    <mergeCell ref="A2762:D2762"/>
    <mergeCell ref="A2763:D2763"/>
    <mergeCell ref="E2763:H2763"/>
    <mergeCell ref="A2720:B2720"/>
    <mergeCell ref="C2720:D2720"/>
    <mergeCell ref="E2720:H2720"/>
    <mergeCell ref="A2766:D2766"/>
    <mergeCell ref="E2766:H2767"/>
    <mergeCell ref="B2767:D2767"/>
    <mergeCell ref="A2718:D2718"/>
    <mergeCell ref="E2718:H2719"/>
    <mergeCell ref="B2719:D2719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G2724"/>
    <mergeCell ref="A2725:A2726"/>
    <mergeCell ref="B2725:B2726"/>
    <mergeCell ref="C2725:C2726"/>
    <mergeCell ref="D2725:D2726"/>
    <mergeCell ref="E2725:E2726"/>
    <mergeCell ref="F2725:G2725"/>
    <mergeCell ref="H2725:H2726"/>
    <mergeCell ref="A2713:D2713"/>
    <mergeCell ref="A2714:D2714"/>
    <mergeCell ref="E2714:H2714"/>
    <mergeCell ref="A2671:D2671"/>
    <mergeCell ref="E2671:H2672"/>
    <mergeCell ref="B2672:D2672"/>
    <mergeCell ref="A2673:B2673"/>
    <mergeCell ref="C2673:D2673"/>
    <mergeCell ref="E2673:H2673"/>
    <mergeCell ref="C2674:D2674"/>
    <mergeCell ref="E2674:F2674"/>
    <mergeCell ref="A2675:B2675"/>
    <mergeCell ref="C2675:D2675"/>
    <mergeCell ref="E2675:F2675"/>
    <mergeCell ref="C2676:D2676"/>
    <mergeCell ref="E2676:F2676"/>
    <mergeCell ref="C2677:D2677"/>
    <mergeCell ref="E2677:G2677"/>
    <mergeCell ref="A2679:A2680"/>
    <mergeCell ref="B2679:B2680"/>
    <mergeCell ref="C2679:C2680"/>
    <mergeCell ref="D2679:D2680"/>
    <mergeCell ref="E2679:E2680"/>
    <mergeCell ref="F2679:G2679"/>
    <mergeCell ref="H2679:H2680"/>
    <mergeCell ref="A2676:B2676"/>
    <mergeCell ref="A2677:B2677"/>
    <mergeCell ref="A2752:B2752"/>
    <mergeCell ref="A2753:D2753"/>
    <mergeCell ref="A2755:C2755"/>
    <mergeCell ref="E2756:F2756"/>
    <mergeCell ref="E2757:F2757"/>
    <mergeCell ref="A2758:F2758"/>
    <mergeCell ref="A2610:B2610"/>
    <mergeCell ref="F2610:G2610"/>
    <mergeCell ref="A2611:E2611"/>
    <mergeCell ref="F2611:G2611"/>
    <mergeCell ref="F2612:G2612"/>
    <mergeCell ref="A2613:B2613"/>
    <mergeCell ref="F2613:G2613"/>
    <mergeCell ref="E2615:F2615"/>
    <mergeCell ref="E2616:F2616"/>
    <mergeCell ref="A2617:H2617"/>
    <mergeCell ref="A2618:D2618"/>
    <mergeCell ref="E2618:H2618"/>
    <mergeCell ref="A2619:D2619"/>
    <mergeCell ref="A2620:D2620"/>
    <mergeCell ref="E2622:H2622"/>
    <mergeCell ref="C2582:D2582"/>
    <mergeCell ref="E2582:F2582"/>
    <mergeCell ref="A2583:B2583"/>
    <mergeCell ref="C2583:D2583"/>
    <mergeCell ref="E2583:F2583"/>
    <mergeCell ref="A2584:B2585"/>
    <mergeCell ref="C2584:D2584"/>
    <mergeCell ref="E2584:F2584"/>
    <mergeCell ref="C2585:D2585"/>
    <mergeCell ref="E2585:G2585"/>
    <mergeCell ref="A2587:A2588"/>
    <mergeCell ref="B2587:B2588"/>
    <mergeCell ref="C2587:C2588"/>
    <mergeCell ref="D2587:D2588"/>
    <mergeCell ref="E2587:E2588"/>
    <mergeCell ref="F2587:G2587"/>
    <mergeCell ref="H2587:H2588"/>
    <mergeCell ref="F2568:G2568"/>
    <mergeCell ref="A2569:D2569"/>
    <mergeCell ref="F2569:G2569"/>
    <mergeCell ref="E2570:F2570"/>
    <mergeCell ref="E2571:F2571"/>
    <mergeCell ref="A2572:H2572"/>
    <mergeCell ref="A2573:D2573"/>
    <mergeCell ref="E2573:H2573"/>
    <mergeCell ref="A2574:D2574"/>
    <mergeCell ref="A2575:D2575"/>
    <mergeCell ref="A2576:D2576"/>
    <mergeCell ref="A2577:D2577"/>
    <mergeCell ref="E2577:H2577"/>
    <mergeCell ref="A2579:D2579"/>
    <mergeCell ref="E2579:H2580"/>
    <mergeCell ref="B2580:D2580"/>
    <mergeCell ref="A2581:B2581"/>
    <mergeCell ref="D2581:E2581"/>
    <mergeCell ref="A2538:B2538"/>
    <mergeCell ref="C2538:D2538"/>
    <mergeCell ref="E2538:F2538"/>
    <mergeCell ref="A2539:B2539"/>
    <mergeCell ref="C2539:D2539"/>
    <mergeCell ref="E2539:H2539"/>
    <mergeCell ref="C2540:H2540"/>
    <mergeCell ref="A2541:A2542"/>
    <mergeCell ref="B2541:B2542"/>
    <mergeCell ref="C2541:C2542"/>
    <mergeCell ref="D2541:D2542"/>
    <mergeCell ref="E2541:E2542"/>
    <mergeCell ref="F2541:G2541"/>
    <mergeCell ref="H2541:H2542"/>
    <mergeCell ref="A2566:C2566"/>
    <mergeCell ref="F2566:G2566"/>
    <mergeCell ref="A2567:E2567"/>
    <mergeCell ref="F2567:G2567"/>
    <mergeCell ref="A2525:H2525"/>
    <mergeCell ref="A2526:D2526"/>
    <mergeCell ref="E2526:H2526"/>
    <mergeCell ref="A2527:D2527"/>
    <mergeCell ref="A2528:D2528"/>
    <mergeCell ref="A2529:D2529"/>
    <mergeCell ref="A2530:D2530"/>
    <mergeCell ref="E2530:H2530"/>
    <mergeCell ref="A2533:D2533"/>
    <mergeCell ref="E2533:H2534"/>
    <mergeCell ref="B2534:D2534"/>
    <mergeCell ref="A2535:B2535"/>
    <mergeCell ref="C2535:D2535"/>
    <mergeCell ref="E2535:H2535"/>
    <mergeCell ref="C2536:D2536"/>
    <mergeCell ref="E2536:F2536"/>
    <mergeCell ref="A2537:B2537"/>
    <mergeCell ref="C2537:D2537"/>
    <mergeCell ref="E2537:F2537"/>
    <mergeCell ref="C2493:H2493"/>
    <mergeCell ref="A2494:A2495"/>
    <mergeCell ref="B2494:B2495"/>
    <mergeCell ref="C2494:C2495"/>
    <mergeCell ref="D2494:D2495"/>
    <mergeCell ref="E2494:E2495"/>
    <mergeCell ref="F2494:G2494"/>
    <mergeCell ref="H2494:H2495"/>
    <mergeCell ref="A2519:C2519"/>
    <mergeCell ref="F2519:G2519"/>
    <mergeCell ref="A2520:E2520"/>
    <mergeCell ref="F2520:G2520"/>
    <mergeCell ref="F2521:G2521"/>
    <mergeCell ref="A2522:D2522"/>
    <mergeCell ref="F2522:G2522"/>
    <mergeCell ref="E2523:F2523"/>
    <mergeCell ref="E2524:F2524"/>
    <mergeCell ref="A2486:D2486"/>
    <mergeCell ref="E2486:H2487"/>
    <mergeCell ref="B2487:D2487"/>
    <mergeCell ref="A2488:B2488"/>
    <mergeCell ref="C2488:D2488"/>
    <mergeCell ref="E2488:H2488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H2492"/>
    <mergeCell ref="F2373:G2373"/>
    <mergeCell ref="F2374:G2374"/>
    <mergeCell ref="E2375:F2375"/>
    <mergeCell ref="E2376:F2376"/>
    <mergeCell ref="A2377:H2377"/>
    <mergeCell ref="A2378:D2378"/>
    <mergeCell ref="E2378:H2378"/>
    <mergeCell ref="A2379:D2379"/>
    <mergeCell ref="A2380:D2380"/>
    <mergeCell ref="A2381:D2381"/>
    <mergeCell ref="A2382:D2382"/>
    <mergeCell ref="E2382:H2382"/>
    <mergeCell ref="A2353:A2354"/>
    <mergeCell ref="B2353:B2354"/>
    <mergeCell ref="C2353:C2354"/>
    <mergeCell ref="D2353:D2354"/>
    <mergeCell ref="E2353:E2354"/>
    <mergeCell ref="F2353:G2353"/>
    <mergeCell ref="H2353:H2354"/>
    <mergeCell ref="A2364:B2364"/>
    <mergeCell ref="C2364:E2364"/>
    <mergeCell ref="C2365:E2365"/>
    <mergeCell ref="C2366:E2366"/>
    <mergeCell ref="A2367:B2367"/>
    <mergeCell ref="C2367:E2367"/>
    <mergeCell ref="A2371:B2371"/>
    <mergeCell ref="F2371:G2371"/>
    <mergeCell ref="A2372:E2372"/>
    <mergeCell ref="F2372:G2372"/>
    <mergeCell ref="A2345:D2345"/>
    <mergeCell ref="E2345:H2346"/>
    <mergeCell ref="B2346:D2346"/>
    <mergeCell ref="A2347:B2347"/>
    <mergeCell ref="D2347:E2347"/>
    <mergeCell ref="C2348:D2348"/>
    <mergeCell ref="E2348:F2348"/>
    <mergeCell ref="C2349:D2349"/>
    <mergeCell ref="E2349:F2349"/>
    <mergeCell ref="A2350:B2350"/>
    <mergeCell ref="C2350:D2350"/>
    <mergeCell ref="E2350:F2350"/>
    <mergeCell ref="A2351:B2351"/>
    <mergeCell ref="C2351:D2351"/>
    <mergeCell ref="E2351:G2351"/>
    <mergeCell ref="A2352:B2352"/>
    <mergeCell ref="C2352:H2352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C2258:D2258"/>
    <mergeCell ref="E2258:H2258"/>
    <mergeCell ref="C2259:H2259"/>
    <mergeCell ref="A2339:D2339"/>
    <mergeCell ref="A2340:D2340"/>
    <mergeCell ref="A2341:D2341"/>
    <mergeCell ref="A2342:D2342"/>
    <mergeCell ref="E2342:H2342"/>
    <mergeCell ref="A2307:A2308"/>
    <mergeCell ref="B2307:B2308"/>
    <mergeCell ref="C2307:C2308"/>
    <mergeCell ref="D2307:D2308"/>
    <mergeCell ref="E2307:E2308"/>
    <mergeCell ref="F2307:G2307"/>
    <mergeCell ref="H2307:H2308"/>
    <mergeCell ref="A2331:B2331"/>
    <mergeCell ref="F2331:G2331"/>
    <mergeCell ref="A2332:E2332"/>
    <mergeCell ref="F2332:G2332"/>
    <mergeCell ref="F2333:G2333"/>
    <mergeCell ref="F2334:G2334"/>
    <mergeCell ref="E2335:F2335"/>
    <mergeCell ref="E2336:F2336"/>
    <mergeCell ref="A2337:H2337"/>
    <mergeCell ref="A2338:D2338"/>
    <mergeCell ref="E2338:H2338"/>
    <mergeCell ref="A2299:D2299"/>
    <mergeCell ref="E2299:H2300"/>
    <mergeCell ref="B2300:D2300"/>
    <mergeCell ref="A2301:B2301"/>
    <mergeCell ref="C2301:D2301"/>
    <mergeCell ref="E2301:H2301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C2305:D2305"/>
    <mergeCell ref="E2305:H2305"/>
    <mergeCell ref="C2306:H2306"/>
    <mergeCell ref="E1827:F1827"/>
    <mergeCell ref="E1828:F1828"/>
    <mergeCell ref="A1888:D1888"/>
    <mergeCell ref="E1888:H1889"/>
    <mergeCell ref="B1889:D1889"/>
    <mergeCell ref="A1890:B1890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A1895:B1895"/>
    <mergeCell ref="C1895:H1895"/>
    <mergeCell ref="A1831:D1831"/>
    <mergeCell ref="A1832:D1832"/>
    <mergeCell ref="A1833:D1833"/>
    <mergeCell ref="A1835:D1835"/>
    <mergeCell ref="E1835:H1835"/>
    <mergeCell ref="A1840:D1840"/>
    <mergeCell ref="E1840:H1841"/>
    <mergeCell ref="B1841:D1841"/>
    <mergeCell ref="A1842:B1842"/>
    <mergeCell ref="C1843:D1843"/>
    <mergeCell ref="E1843:F1843"/>
    <mergeCell ref="A1844:B1844"/>
    <mergeCell ref="C1844:D1844"/>
    <mergeCell ref="E1844:F1844"/>
    <mergeCell ref="A1848:A1849"/>
    <mergeCell ref="B1848:B1849"/>
    <mergeCell ref="C1848:C1849"/>
    <mergeCell ref="D1848:D1849"/>
    <mergeCell ref="E1848:E1849"/>
    <mergeCell ref="F1848:G1848"/>
    <mergeCell ref="H1848:H1849"/>
    <mergeCell ref="A1876:B1876"/>
    <mergeCell ref="A1880:D1880"/>
    <mergeCell ref="A1881:D1881"/>
    <mergeCell ref="A1882:D1882"/>
    <mergeCell ref="A1883:D1883"/>
    <mergeCell ref="A1884:D1884"/>
    <mergeCell ref="C1842:D1842"/>
    <mergeCell ref="E1842:H1842"/>
    <mergeCell ref="E1877:F1877"/>
    <mergeCell ref="C1845:D1845"/>
    <mergeCell ref="E1845:F1845"/>
    <mergeCell ref="A1846:B1846"/>
    <mergeCell ref="C1846:D1846"/>
    <mergeCell ref="E1846:H1846"/>
    <mergeCell ref="G1844:H1844"/>
    <mergeCell ref="A1845:B1845"/>
    <mergeCell ref="F1826:G1826"/>
    <mergeCell ref="A1597:D1597"/>
    <mergeCell ref="E1597:H1597"/>
    <mergeCell ref="A1598:D1598"/>
    <mergeCell ref="A1599:D1599"/>
    <mergeCell ref="A1600:D1600"/>
    <mergeCell ref="A1601:D1601"/>
    <mergeCell ref="E1601:H1601"/>
    <mergeCell ref="A1610:D1610"/>
    <mergeCell ref="E1610:H1611"/>
    <mergeCell ref="B1611:D1611"/>
    <mergeCell ref="A1612:B1612"/>
    <mergeCell ref="C1612:D1612"/>
    <mergeCell ref="E1612:H1612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C1616:D1616"/>
    <mergeCell ref="E1616:G1616"/>
    <mergeCell ref="A1618:A1619"/>
    <mergeCell ref="B1618:B1619"/>
    <mergeCell ref="C1618:C1619"/>
    <mergeCell ref="D1618:D1619"/>
    <mergeCell ref="E1618:E1619"/>
    <mergeCell ref="F1618:G1618"/>
    <mergeCell ref="H1618:H1619"/>
    <mergeCell ref="A1642:B1642"/>
    <mergeCell ref="F1642:G1642"/>
    <mergeCell ref="A1643:E1643"/>
    <mergeCell ref="F1643:G1643"/>
    <mergeCell ref="F1644:G1644"/>
    <mergeCell ref="A1645:B1645"/>
    <mergeCell ref="F1645:G1645"/>
    <mergeCell ref="E1647:F1647"/>
    <mergeCell ref="E1648:F1648"/>
    <mergeCell ref="A1649:H1649"/>
    <mergeCell ref="A1650:D1650"/>
    <mergeCell ref="E1650:H1650"/>
    <mergeCell ref="A1651:D1651"/>
    <mergeCell ref="A1652:D1652"/>
    <mergeCell ref="A1653:D1653"/>
    <mergeCell ref="A1654:D1654"/>
    <mergeCell ref="E1654:H1654"/>
    <mergeCell ref="A1657:D1657"/>
    <mergeCell ref="E1657:H1658"/>
    <mergeCell ref="B1658:D1658"/>
    <mergeCell ref="A1659:B1659"/>
    <mergeCell ref="C1659:D1659"/>
    <mergeCell ref="E1659:H1659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90:B1590"/>
    <mergeCell ref="F1590:G1590"/>
    <mergeCell ref="A1591:E1591"/>
    <mergeCell ref="F1591:G1591"/>
    <mergeCell ref="F1592:G1592"/>
    <mergeCell ref="F1593:G1593"/>
    <mergeCell ref="E1594:F1594"/>
    <mergeCell ref="E1595:F1595"/>
    <mergeCell ref="A1596:H1596"/>
    <mergeCell ref="A1566:B1566"/>
    <mergeCell ref="D1566:E1566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G1570"/>
    <mergeCell ref="A1571:B1571"/>
    <mergeCell ref="C1571:H1571"/>
    <mergeCell ref="A1572:A1573"/>
    <mergeCell ref="B1572:B1573"/>
    <mergeCell ref="C1572:C1573"/>
    <mergeCell ref="D1572:D1573"/>
    <mergeCell ref="E1572:E1573"/>
    <mergeCell ref="F1572:G1572"/>
    <mergeCell ref="H1572:H1573"/>
    <mergeCell ref="F1545:G1545"/>
    <mergeCell ref="F1546:G1546"/>
    <mergeCell ref="E1547:F1547"/>
    <mergeCell ref="E1548:F1548"/>
    <mergeCell ref="A1549:H1549"/>
    <mergeCell ref="A1550:D1550"/>
    <mergeCell ref="E1550:H1550"/>
    <mergeCell ref="A1551:D1551"/>
    <mergeCell ref="A1552:D1552"/>
    <mergeCell ref="A1553:D1553"/>
    <mergeCell ref="A1554:D1554"/>
    <mergeCell ref="E1554:H1554"/>
    <mergeCell ref="A1537:B1537"/>
    <mergeCell ref="A1538:B1538"/>
    <mergeCell ref="A1564:D1564"/>
    <mergeCell ref="E1564:H1565"/>
    <mergeCell ref="B1565:D1565"/>
    <mergeCell ref="A1525:A1526"/>
    <mergeCell ref="B1525:B1526"/>
    <mergeCell ref="C1525:C1526"/>
    <mergeCell ref="D1525:D1526"/>
    <mergeCell ref="E1525:E1526"/>
    <mergeCell ref="F1525:G1525"/>
    <mergeCell ref="H1525:H1526"/>
    <mergeCell ref="A1536:B1536"/>
    <mergeCell ref="C1536:E1536"/>
    <mergeCell ref="C1537:E1537"/>
    <mergeCell ref="C1538:E1538"/>
    <mergeCell ref="A1539:B1539"/>
    <mergeCell ref="C1539:E1539"/>
    <mergeCell ref="A1543:B1543"/>
    <mergeCell ref="F1543:G1543"/>
    <mergeCell ref="A1544:E1544"/>
    <mergeCell ref="F1544:G1544"/>
    <mergeCell ref="A1517:D1517"/>
    <mergeCell ref="E1517:H1518"/>
    <mergeCell ref="B1518:D1518"/>
    <mergeCell ref="A1519:B1519"/>
    <mergeCell ref="D1519:E1519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G1523"/>
    <mergeCell ref="A1524:B1524"/>
    <mergeCell ref="C1524:H1524"/>
    <mergeCell ref="A1510:D1510"/>
    <mergeCell ref="A1511:D1511"/>
    <mergeCell ref="A1512:D1512"/>
    <mergeCell ref="A1513:D1513"/>
    <mergeCell ref="E1513:H1513"/>
    <mergeCell ref="A1478:A1479"/>
    <mergeCell ref="B1478:B1479"/>
    <mergeCell ref="C1478:C1479"/>
    <mergeCell ref="D1478:D1479"/>
    <mergeCell ref="E1478:E1479"/>
    <mergeCell ref="F1478:G1478"/>
    <mergeCell ref="H1478:H1479"/>
    <mergeCell ref="F1502:G1502"/>
    <mergeCell ref="A1503:E1503"/>
    <mergeCell ref="F1503:G1503"/>
    <mergeCell ref="F1504:G1504"/>
    <mergeCell ref="F1505:G1505"/>
    <mergeCell ref="E1506:F1506"/>
    <mergeCell ref="E1507:F1507"/>
    <mergeCell ref="A1508:H1508"/>
    <mergeCell ref="A1509:D1509"/>
    <mergeCell ref="E1509:H1509"/>
    <mergeCell ref="A1470:D1470"/>
    <mergeCell ref="E1470:H1471"/>
    <mergeCell ref="B1471:D1471"/>
    <mergeCell ref="D1472:E1472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C1476:D1476"/>
    <mergeCell ref="E1476:H1476"/>
    <mergeCell ref="A1477:B1477"/>
    <mergeCell ref="C1477:H1477"/>
    <mergeCell ref="F1412:G1412"/>
    <mergeCell ref="F1413:G1413"/>
    <mergeCell ref="E1414:F1414"/>
    <mergeCell ref="E1415:F1415"/>
    <mergeCell ref="A1416:H1416"/>
    <mergeCell ref="A1417:D1417"/>
    <mergeCell ref="E1417:H1417"/>
    <mergeCell ref="A1418:D1418"/>
    <mergeCell ref="A1419:D1419"/>
    <mergeCell ref="A1420:D1420"/>
    <mergeCell ref="A1421:D1421"/>
    <mergeCell ref="E1421:H1421"/>
    <mergeCell ref="A1467:D1467"/>
    <mergeCell ref="E1467:H1467"/>
    <mergeCell ref="C1428:D1428"/>
    <mergeCell ref="E1428:F1428"/>
    <mergeCell ref="L1394:L1408"/>
    <mergeCell ref="K1409:L1409"/>
    <mergeCell ref="A1464:D1464"/>
    <mergeCell ref="A1465:D1465"/>
    <mergeCell ref="A1466:D1466"/>
    <mergeCell ref="F1456:G1456"/>
    <mergeCell ref="A1457:E1457"/>
    <mergeCell ref="F1457:G1457"/>
    <mergeCell ref="F1458:G1458"/>
    <mergeCell ref="F1459:G1459"/>
    <mergeCell ref="E1460:F1460"/>
    <mergeCell ref="E1461:F1461"/>
    <mergeCell ref="A1462:H1462"/>
    <mergeCell ref="A1463:D1463"/>
    <mergeCell ref="E1463:H1463"/>
    <mergeCell ref="A1424:D1424"/>
    <mergeCell ref="E1424:H1425"/>
    <mergeCell ref="B1425:D1425"/>
    <mergeCell ref="D1426:E1426"/>
    <mergeCell ref="C1427:D1427"/>
    <mergeCell ref="F1410:G1410"/>
    <mergeCell ref="A1411:E1411"/>
    <mergeCell ref="F1411:G1411"/>
    <mergeCell ref="A1432:A1433"/>
    <mergeCell ref="B1432:B1433"/>
    <mergeCell ref="C1432:C1433"/>
    <mergeCell ref="D1432:D1433"/>
    <mergeCell ref="E1432:E1433"/>
    <mergeCell ref="F1432:G1432"/>
    <mergeCell ref="H1432:H1433"/>
    <mergeCell ref="E1427:F1427"/>
    <mergeCell ref="A1428:B1428"/>
    <mergeCell ref="A1378:D1378"/>
    <mergeCell ref="E1378:H1379"/>
    <mergeCell ref="B1379:D1379"/>
    <mergeCell ref="D1380:E1380"/>
    <mergeCell ref="C1381:D1381"/>
    <mergeCell ref="E1381:F1381"/>
    <mergeCell ref="C1382:D1382"/>
    <mergeCell ref="E1382:F1382"/>
    <mergeCell ref="C1383:D1383"/>
    <mergeCell ref="E1383:F1383"/>
    <mergeCell ref="C1384:D1384"/>
    <mergeCell ref="E1384:H1384"/>
    <mergeCell ref="C1385:H1385"/>
    <mergeCell ref="A1386:A1387"/>
    <mergeCell ref="B1386:B1387"/>
    <mergeCell ref="C1386:C1387"/>
    <mergeCell ref="D1386:D1387"/>
    <mergeCell ref="E1386:E1387"/>
    <mergeCell ref="F1386:G1386"/>
    <mergeCell ref="H1386:H1387"/>
    <mergeCell ref="A1429:B1429"/>
    <mergeCell ref="C1429:D1429"/>
    <mergeCell ref="E1429:F1429"/>
    <mergeCell ref="A1430:B1430"/>
    <mergeCell ref="C1430:D1430"/>
    <mergeCell ref="E1430:H1430"/>
    <mergeCell ref="A1431:B1431"/>
    <mergeCell ref="C1431:H1431"/>
    <mergeCell ref="E1325:F1325"/>
    <mergeCell ref="A1326:H1326"/>
    <mergeCell ref="A1327:D1327"/>
    <mergeCell ref="E1327:H1327"/>
    <mergeCell ref="A1328:D1328"/>
    <mergeCell ref="A1329:D1329"/>
    <mergeCell ref="A1330:D1330"/>
    <mergeCell ref="A1331:D1331"/>
    <mergeCell ref="E1331:H1331"/>
    <mergeCell ref="A1334:D1334"/>
    <mergeCell ref="E1334:H1335"/>
    <mergeCell ref="B1335:D1335"/>
    <mergeCell ref="D1336:E1336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H1340"/>
    <mergeCell ref="A1295:B1295"/>
    <mergeCell ref="C1295:H1295"/>
    <mergeCell ref="A1296:A1297"/>
    <mergeCell ref="B1296:B1297"/>
    <mergeCell ref="C1296:C1297"/>
    <mergeCell ref="D1296:D1297"/>
    <mergeCell ref="E1296:E1297"/>
    <mergeCell ref="F1296:G1296"/>
    <mergeCell ref="H1296:H1297"/>
    <mergeCell ref="A1320:B1320"/>
    <mergeCell ref="F1320:G1320"/>
    <mergeCell ref="A1321:E1321"/>
    <mergeCell ref="F1321:G1321"/>
    <mergeCell ref="F1322:G1322"/>
    <mergeCell ref="A1323:B1323"/>
    <mergeCell ref="F1323:G1323"/>
    <mergeCell ref="E1324:F1324"/>
    <mergeCell ref="A1288:D1288"/>
    <mergeCell ref="E1288:H1289"/>
    <mergeCell ref="B1289:D1289"/>
    <mergeCell ref="A1290:B1290"/>
    <mergeCell ref="C1290:D1290"/>
    <mergeCell ref="E1290:H1290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H1294"/>
    <mergeCell ref="A1273:B1273"/>
    <mergeCell ref="F1273:G1273"/>
    <mergeCell ref="A1274:E1274"/>
    <mergeCell ref="F1274:G1274"/>
    <mergeCell ref="F1275:G1275"/>
    <mergeCell ref="A1276:B1276"/>
    <mergeCell ref="F1276:G1276"/>
    <mergeCell ref="E1277:F1277"/>
    <mergeCell ref="E1278:F1278"/>
    <mergeCell ref="A1279:H1279"/>
    <mergeCell ref="A1280:D1280"/>
    <mergeCell ref="E1280:H1280"/>
    <mergeCell ref="A1281:D1281"/>
    <mergeCell ref="A1282:D1282"/>
    <mergeCell ref="A1283:D1283"/>
    <mergeCell ref="A1284:D1284"/>
    <mergeCell ref="E1284:H128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H1247"/>
    <mergeCell ref="A1248:B1248"/>
    <mergeCell ref="C1248:H1248"/>
    <mergeCell ref="A1249:A1250"/>
    <mergeCell ref="B1249:B1250"/>
    <mergeCell ref="C1249:C1250"/>
    <mergeCell ref="D1249:D1250"/>
    <mergeCell ref="E1249:E1250"/>
    <mergeCell ref="F1249:G1249"/>
    <mergeCell ref="H1249:H1250"/>
    <mergeCell ref="E1231:F1231"/>
    <mergeCell ref="A1232:H1232"/>
    <mergeCell ref="A1233:D1233"/>
    <mergeCell ref="E1233:H1233"/>
    <mergeCell ref="A1234:D1234"/>
    <mergeCell ref="A1235:D1235"/>
    <mergeCell ref="A1236:D1236"/>
    <mergeCell ref="A1237:D1237"/>
    <mergeCell ref="E1237:H1237"/>
    <mergeCell ref="A1241:D1241"/>
    <mergeCell ref="E1241:H1242"/>
    <mergeCell ref="B1242:D1242"/>
    <mergeCell ref="A1243:B1243"/>
    <mergeCell ref="C1243:D1243"/>
    <mergeCell ref="E1243:H1243"/>
    <mergeCell ref="C1244:D1244"/>
    <mergeCell ref="E1244:F1244"/>
    <mergeCell ref="A1201:B1201"/>
    <mergeCell ref="C1201:H1201"/>
    <mergeCell ref="A1202:A1203"/>
    <mergeCell ref="B1202:B1203"/>
    <mergeCell ref="C1202:C1203"/>
    <mergeCell ref="D1202:D1203"/>
    <mergeCell ref="E1202:E1203"/>
    <mergeCell ref="F1202:G1202"/>
    <mergeCell ref="H1202:H1203"/>
    <mergeCell ref="A1226:B1226"/>
    <mergeCell ref="F1226:G1226"/>
    <mergeCell ref="A1227:E1227"/>
    <mergeCell ref="F1227:G1227"/>
    <mergeCell ref="F1228:G1228"/>
    <mergeCell ref="A1229:B1229"/>
    <mergeCell ref="F1229:G1229"/>
    <mergeCell ref="E1230:F1230"/>
    <mergeCell ref="E1144:H1144"/>
    <mergeCell ref="A1145:D1145"/>
    <mergeCell ref="A1146:D1146"/>
    <mergeCell ref="A1147:D1147"/>
    <mergeCell ref="A1148:D1148"/>
    <mergeCell ref="E1148:H1148"/>
    <mergeCell ref="H1113:H1114"/>
    <mergeCell ref="A1136:B1136"/>
    <mergeCell ref="F1136:G1136"/>
    <mergeCell ref="A1137:E1137"/>
    <mergeCell ref="F1137:G1137"/>
    <mergeCell ref="F1138:G1138"/>
    <mergeCell ref="A1139:B1139"/>
    <mergeCell ref="F1139:G1139"/>
    <mergeCell ref="E1141:F1141"/>
    <mergeCell ref="A1194:D1194"/>
    <mergeCell ref="E1194:H1195"/>
    <mergeCell ref="B1195:D1195"/>
    <mergeCell ref="A1196:B1196"/>
    <mergeCell ref="C1196:D1196"/>
    <mergeCell ref="E1196:H1196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H1200"/>
    <mergeCell ref="F1180:G1180"/>
    <mergeCell ref="F1181:G1181"/>
    <mergeCell ref="E1182:F1182"/>
    <mergeCell ref="E1183:F1183"/>
    <mergeCell ref="A1184:H1184"/>
    <mergeCell ref="A1185:D1185"/>
    <mergeCell ref="E1185:H1185"/>
    <mergeCell ref="A1186:D1186"/>
    <mergeCell ref="A1187:D1187"/>
    <mergeCell ref="A1188:D1188"/>
    <mergeCell ref="A1189:D1189"/>
    <mergeCell ref="E1189:H1189"/>
    <mergeCell ref="A1160:A1161"/>
    <mergeCell ref="B1160:B1161"/>
    <mergeCell ref="C1160:C1161"/>
    <mergeCell ref="D1160:D1161"/>
    <mergeCell ref="E1160:E1161"/>
    <mergeCell ref="F1160:G1160"/>
    <mergeCell ref="H1160:H1161"/>
    <mergeCell ref="A1171:B1171"/>
    <mergeCell ref="C1171:E1171"/>
    <mergeCell ref="C1172:E1172"/>
    <mergeCell ref="C1173:E1173"/>
    <mergeCell ref="A1174:B1174"/>
    <mergeCell ref="C1174:E1174"/>
    <mergeCell ref="A1178:B1178"/>
    <mergeCell ref="F1178:G1178"/>
    <mergeCell ref="A1179:E1179"/>
    <mergeCell ref="F1179:G1179"/>
    <mergeCell ref="A1004:H1004"/>
    <mergeCell ref="A1005:D1005"/>
    <mergeCell ref="E1005:H1005"/>
    <mergeCell ref="A1006:D1006"/>
    <mergeCell ref="A1007:D1007"/>
    <mergeCell ref="A1008:D1008"/>
    <mergeCell ref="A1009:D1009"/>
    <mergeCell ref="E1009:H1009"/>
    <mergeCell ref="A998:C998"/>
    <mergeCell ref="F998:G998"/>
    <mergeCell ref="A999:E999"/>
    <mergeCell ref="F999:G999"/>
    <mergeCell ref="F1000:G1000"/>
    <mergeCell ref="A1001:D1001"/>
    <mergeCell ref="F1001:G1001"/>
    <mergeCell ref="A1152:D1152"/>
    <mergeCell ref="E1152:H1153"/>
    <mergeCell ref="B1153:D1153"/>
    <mergeCell ref="A1154:B1154"/>
    <mergeCell ref="D1154:E1154"/>
    <mergeCell ref="C1155:D1155"/>
    <mergeCell ref="E1155:F1155"/>
    <mergeCell ref="C1156:D1156"/>
    <mergeCell ref="E1156:F1156"/>
    <mergeCell ref="A1157:B1157"/>
    <mergeCell ref="C1157:D1157"/>
    <mergeCell ref="E1157:F1157"/>
    <mergeCell ref="A1158:B1158"/>
    <mergeCell ref="C1158:D1158"/>
    <mergeCell ref="E1158:G1158"/>
    <mergeCell ref="A1159:B1159"/>
    <mergeCell ref="C1159:H1159"/>
    <mergeCell ref="A1051:H1051"/>
    <mergeCell ref="A1052:D1052"/>
    <mergeCell ref="E1052:H1052"/>
    <mergeCell ref="A1053:D1053"/>
    <mergeCell ref="A1054:D1054"/>
    <mergeCell ref="A1055:D1055"/>
    <mergeCell ref="A1056:D1056"/>
    <mergeCell ref="E1056:H1056"/>
    <mergeCell ref="C1014:D1014"/>
    <mergeCell ref="E1014:H1014"/>
    <mergeCell ref="A1045:C1045"/>
    <mergeCell ref="F1045:G1045"/>
    <mergeCell ref="A1046:E1046"/>
    <mergeCell ref="F1046:G1046"/>
    <mergeCell ref="F1047:G1047"/>
    <mergeCell ref="A1048:D1048"/>
    <mergeCell ref="F1048:G1048"/>
    <mergeCell ref="E1049:F1049"/>
    <mergeCell ref="E1050:F1050"/>
    <mergeCell ref="A1017:B1017"/>
    <mergeCell ref="C1017:D1017"/>
    <mergeCell ref="E1017:F1017"/>
    <mergeCell ref="A1018:B1018"/>
    <mergeCell ref="C1018:D1018"/>
    <mergeCell ref="A1113:A1114"/>
    <mergeCell ref="B1113:B1114"/>
    <mergeCell ref="C1113:C1114"/>
    <mergeCell ref="D1113:D1114"/>
    <mergeCell ref="E1113:E1114"/>
    <mergeCell ref="F1113:G1113"/>
    <mergeCell ref="A1143:H1143"/>
    <mergeCell ref="A1144:D1144"/>
    <mergeCell ref="A859:E859"/>
    <mergeCell ref="F859:G859"/>
    <mergeCell ref="F860:G860"/>
    <mergeCell ref="A861:D861"/>
    <mergeCell ref="F861:G861"/>
    <mergeCell ref="E862:F862"/>
    <mergeCell ref="E863:F863"/>
    <mergeCell ref="E877:H877"/>
    <mergeCell ref="C878:H878"/>
    <mergeCell ref="A879:A880"/>
    <mergeCell ref="B879:B880"/>
    <mergeCell ref="C879:C880"/>
    <mergeCell ref="D879:D880"/>
    <mergeCell ref="E879:E880"/>
    <mergeCell ref="F879:G879"/>
    <mergeCell ref="A1012:D1012"/>
    <mergeCell ref="E1012:H1013"/>
    <mergeCell ref="B1013:D1013"/>
    <mergeCell ref="A1014:B1014"/>
    <mergeCell ref="C1015:D1015"/>
    <mergeCell ref="E1015:F1015"/>
    <mergeCell ref="A1016:B1016"/>
    <mergeCell ref="C1016:D1016"/>
    <mergeCell ref="E1016:F1016"/>
    <mergeCell ref="E1018:H1018"/>
    <mergeCell ref="C1019:H1019"/>
    <mergeCell ref="A1020:A1021"/>
    <mergeCell ref="B1020:B1021"/>
    <mergeCell ref="C1020:C1021"/>
    <mergeCell ref="D1020:D1021"/>
    <mergeCell ref="E1020:E1021"/>
    <mergeCell ref="F1020:G1020"/>
    <mergeCell ref="H1020:H1021"/>
    <mergeCell ref="A926:A927"/>
    <mergeCell ref="B926:B927"/>
    <mergeCell ref="C926:C927"/>
    <mergeCell ref="D926:D927"/>
    <mergeCell ref="E926:E927"/>
    <mergeCell ref="F926:G926"/>
    <mergeCell ref="H926:H927"/>
    <mergeCell ref="A958:D958"/>
    <mergeCell ref="A959:D959"/>
    <mergeCell ref="A960:D960"/>
    <mergeCell ref="A961:D961"/>
    <mergeCell ref="E961:H961"/>
    <mergeCell ref="F950:G950"/>
    <mergeCell ref="A951:E951"/>
    <mergeCell ref="F951:G951"/>
    <mergeCell ref="F952:G952"/>
    <mergeCell ref="F953:G953"/>
    <mergeCell ref="E954:F954"/>
    <mergeCell ref="E955:F955"/>
    <mergeCell ref="A956:H956"/>
    <mergeCell ref="A957:D957"/>
    <mergeCell ref="E957:H957"/>
    <mergeCell ref="A972:B972"/>
    <mergeCell ref="C972:H972"/>
    <mergeCell ref="A973:A974"/>
    <mergeCell ref="B973:B974"/>
    <mergeCell ref="C973:C974"/>
    <mergeCell ref="D973:D974"/>
    <mergeCell ref="E973:E974"/>
    <mergeCell ref="F973:G973"/>
    <mergeCell ref="H973:H974"/>
    <mergeCell ref="E553:F553"/>
    <mergeCell ref="A554:B554"/>
    <mergeCell ref="C554:D554"/>
    <mergeCell ref="E554:H554"/>
    <mergeCell ref="A543:D543"/>
    <mergeCell ref="A538:C538"/>
    <mergeCell ref="E539:F539"/>
    <mergeCell ref="E540:F540"/>
    <mergeCell ref="A541:G541"/>
    <mergeCell ref="A542:D542"/>
    <mergeCell ref="E542:H542"/>
    <mergeCell ref="A508:B508"/>
    <mergeCell ref="C508:D508"/>
    <mergeCell ref="E508:F508"/>
    <mergeCell ref="A509:B509"/>
    <mergeCell ref="C509:D509"/>
    <mergeCell ref="E509:G509"/>
    <mergeCell ref="A510:B510"/>
    <mergeCell ref="A511:A512"/>
    <mergeCell ref="B511:B512"/>
    <mergeCell ref="C511:C512"/>
    <mergeCell ref="D511:D512"/>
    <mergeCell ref="E511:E512"/>
    <mergeCell ref="F511:G511"/>
    <mergeCell ref="E783:F783"/>
    <mergeCell ref="A784:B784"/>
    <mergeCell ref="C784:D784"/>
    <mergeCell ref="E784:F784"/>
    <mergeCell ref="A785:B785"/>
    <mergeCell ref="C785:D785"/>
    <mergeCell ref="E785:H785"/>
    <mergeCell ref="C786:H786"/>
    <mergeCell ref="A787:A788"/>
    <mergeCell ref="B787:B788"/>
    <mergeCell ref="C787:C788"/>
    <mergeCell ref="D787:D788"/>
    <mergeCell ref="E787:E788"/>
    <mergeCell ref="F787:G787"/>
    <mergeCell ref="H787:H788"/>
    <mergeCell ref="A628:H628"/>
    <mergeCell ref="A629:C629"/>
    <mergeCell ref="E629:H629"/>
    <mergeCell ref="A631:C631"/>
    <mergeCell ref="A632:D632"/>
    <mergeCell ref="A633:D633"/>
    <mergeCell ref="E633:H633"/>
    <mergeCell ref="A622:C622"/>
    <mergeCell ref="F622:G622"/>
    <mergeCell ref="A623:E623"/>
    <mergeCell ref="F623:G623"/>
    <mergeCell ref="F624:G624"/>
    <mergeCell ref="A625:C625"/>
    <mergeCell ref="F625:G625"/>
    <mergeCell ref="E626:F626"/>
    <mergeCell ref="E627:F627"/>
    <mergeCell ref="A779:D779"/>
    <mergeCell ref="E779:H780"/>
    <mergeCell ref="B780:D780"/>
    <mergeCell ref="A642:B642"/>
    <mergeCell ref="C642:D642"/>
    <mergeCell ref="E642:F642"/>
    <mergeCell ref="A643:B643"/>
    <mergeCell ref="C643:D643"/>
    <mergeCell ref="E643:H643"/>
    <mergeCell ref="A494:H494"/>
    <mergeCell ref="A495:D495"/>
    <mergeCell ref="E495:H495"/>
    <mergeCell ref="A496:D496"/>
    <mergeCell ref="A497:D497"/>
    <mergeCell ref="A446:C446"/>
    <mergeCell ref="E446:H446"/>
    <mergeCell ref="A448:C448"/>
    <mergeCell ref="A449:D449"/>
    <mergeCell ref="A450:D450"/>
    <mergeCell ref="E450:H450"/>
    <mergeCell ref="A456:D456"/>
    <mergeCell ref="E456:H457"/>
    <mergeCell ref="B457:D457"/>
    <mergeCell ref="A458:B458"/>
    <mergeCell ref="D458:E458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H604:H605"/>
    <mergeCell ref="A498:D498"/>
    <mergeCell ref="A499:D499"/>
    <mergeCell ref="E499:H499"/>
    <mergeCell ref="A488:C488"/>
    <mergeCell ref="F488:G488"/>
    <mergeCell ref="A489:E489"/>
    <mergeCell ref="F489:G489"/>
    <mergeCell ref="F490:G490"/>
    <mergeCell ref="A491:B491"/>
    <mergeCell ref="F491:G491"/>
    <mergeCell ref="E492:F492"/>
    <mergeCell ref="E493:F493"/>
    <mergeCell ref="A596:D596"/>
    <mergeCell ref="E596:H597"/>
    <mergeCell ref="B597:D597"/>
    <mergeCell ref="A598:B598"/>
    <mergeCell ref="C599:D599"/>
    <mergeCell ref="E599:F599"/>
    <mergeCell ref="A503:D503"/>
    <mergeCell ref="E503:H504"/>
    <mergeCell ref="B504:D504"/>
    <mergeCell ref="A505:B505"/>
    <mergeCell ref="C505:D505"/>
    <mergeCell ref="E505:H505"/>
    <mergeCell ref="C506:D506"/>
    <mergeCell ref="E506:F506"/>
    <mergeCell ref="A507:B507"/>
    <mergeCell ref="C507:D507"/>
    <mergeCell ref="E507:F507"/>
    <mergeCell ref="H511:H512"/>
    <mergeCell ref="A535:B535"/>
    <mergeCell ref="A536:D536"/>
    <mergeCell ref="C551:D551"/>
    <mergeCell ref="E551:F551"/>
    <mergeCell ref="A552:B552"/>
    <mergeCell ref="C552:D552"/>
    <mergeCell ref="E552:F552"/>
    <mergeCell ref="A553:B553"/>
    <mergeCell ref="C553:D553"/>
    <mergeCell ref="F441:G441"/>
    <mergeCell ref="A442:C442"/>
    <mergeCell ref="F442:G442"/>
    <mergeCell ref="E443:F443"/>
    <mergeCell ref="E444:F444"/>
    <mergeCell ref="A445:H445"/>
    <mergeCell ref="A410:D410"/>
    <mergeCell ref="E410:H411"/>
    <mergeCell ref="B411:D411"/>
    <mergeCell ref="A412:B412"/>
    <mergeCell ref="C412:D412"/>
    <mergeCell ref="E412:H412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A417:B417"/>
    <mergeCell ref="C417:H417"/>
    <mergeCell ref="A462:B462"/>
    <mergeCell ref="C462:D462"/>
    <mergeCell ref="E462:H462"/>
    <mergeCell ref="A463:B463"/>
    <mergeCell ref="C463:H463"/>
    <mergeCell ref="A464:A465"/>
    <mergeCell ref="B464:B465"/>
    <mergeCell ref="C464:C465"/>
    <mergeCell ref="D464:D465"/>
    <mergeCell ref="E464:E465"/>
    <mergeCell ref="F464:G464"/>
    <mergeCell ref="H464:H465"/>
    <mergeCell ref="E402:H402"/>
    <mergeCell ref="A403:D403"/>
    <mergeCell ref="A404:D404"/>
    <mergeCell ref="A405:D405"/>
    <mergeCell ref="A406:D406"/>
    <mergeCell ref="E406:H406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C368:D368"/>
    <mergeCell ref="E368:H368"/>
    <mergeCell ref="A369:A370"/>
    <mergeCell ref="B369:B370"/>
    <mergeCell ref="C369:C370"/>
    <mergeCell ref="D369:D370"/>
    <mergeCell ref="E369:E370"/>
    <mergeCell ref="F369:G369"/>
    <mergeCell ref="H369:H370"/>
    <mergeCell ref="A418:A419"/>
    <mergeCell ref="B418:B419"/>
    <mergeCell ref="C418:C419"/>
    <mergeCell ref="D418:D419"/>
    <mergeCell ref="E418:E419"/>
    <mergeCell ref="F418:G418"/>
    <mergeCell ref="H418:H419"/>
    <mergeCell ref="A439:C439"/>
    <mergeCell ref="F439:G439"/>
    <mergeCell ref="A440:E440"/>
    <mergeCell ref="F440:G440"/>
    <mergeCell ref="A217:D217"/>
    <mergeCell ref="A218:D218"/>
    <mergeCell ref="E218:H218"/>
    <mergeCell ref="H186:H187"/>
    <mergeCell ref="A207:B207"/>
    <mergeCell ref="A208:D208"/>
    <mergeCell ref="A210:C210"/>
    <mergeCell ref="E211:F211"/>
    <mergeCell ref="E212:F212"/>
    <mergeCell ref="A213:E213"/>
    <mergeCell ref="A214:C214"/>
    <mergeCell ref="A216:D216"/>
    <mergeCell ref="B326:B327"/>
    <mergeCell ref="C326:C327"/>
    <mergeCell ref="D326:D327"/>
    <mergeCell ref="E326:E327"/>
    <mergeCell ref="F326:G326"/>
    <mergeCell ref="C226:D226"/>
    <mergeCell ref="E226:F226"/>
    <mergeCell ref="H230:H231"/>
    <mergeCell ref="A251:B251"/>
    <mergeCell ref="A252:D252"/>
    <mergeCell ref="A254:C254"/>
    <mergeCell ref="E255:F255"/>
    <mergeCell ref="E256:F256"/>
    <mergeCell ref="A257:E257"/>
    <mergeCell ref="A258:C258"/>
    <mergeCell ref="A260:D260"/>
    <mergeCell ref="C227:D227"/>
    <mergeCell ref="E227:F227"/>
    <mergeCell ref="C228:D228"/>
    <mergeCell ref="A229:B229"/>
    <mergeCell ref="A222:D222"/>
    <mergeCell ref="E222:H223"/>
    <mergeCell ref="B223:D223"/>
    <mergeCell ref="A224:B224"/>
    <mergeCell ref="C224:D224"/>
    <mergeCell ref="E224:H224"/>
    <mergeCell ref="C225:D225"/>
    <mergeCell ref="E225:F225"/>
    <mergeCell ref="A230:A231"/>
    <mergeCell ref="B230:B231"/>
    <mergeCell ref="C230:C231"/>
    <mergeCell ref="D230:D231"/>
    <mergeCell ref="E230:E231"/>
    <mergeCell ref="F230:G230"/>
    <mergeCell ref="C271:D271"/>
    <mergeCell ref="E271:F271"/>
    <mergeCell ref="C272:D272"/>
    <mergeCell ref="E272:F272"/>
    <mergeCell ref="C273:D273"/>
    <mergeCell ref="E273:F273"/>
    <mergeCell ref="C274:D274"/>
    <mergeCell ref="A276:A277"/>
    <mergeCell ref="B276:B277"/>
    <mergeCell ref="C276:C277"/>
    <mergeCell ref="D276:D277"/>
    <mergeCell ref="E276:E277"/>
    <mergeCell ref="F276:G276"/>
    <mergeCell ref="A261:D261"/>
    <mergeCell ref="A262:D262"/>
    <mergeCell ref="E262:H262"/>
    <mergeCell ref="A268:D268"/>
    <mergeCell ref="E268:H269"/>
    <mergeCell ref="A178:D178"/>
    <mergeCell ref="E178:H179"/>
    <mergeCell ref="B179:D179"/>
    <mergeCell ref="A180:B180"/>
    <mergeCell ref="C180:D180"/>
    <mergeCell ref="E180:H180"/>
    <mergeCell ref="C181:D181"/>
    <mergeCell ref="E181:F181"/>
    <mergeCell ref="C182:D182"/>
    <mergeCell ref="E182:F182"/>
    <mergeCell ref="C183:D183"/>
    <mergeCell ref="E183:F183"/>
    <mergeCell ref="C184:D184"/>
    <mergeCell ref="A185:B185"/>
    <mergeCell ref="A186:A187"/>
    <mergeCell ref="B186:B187"/>
    <mergeCell ref="C186:C187"/>
    <mergeCell ref="D186:D187"/>
    <mergeCell ref="E186:E187"/>
    <mergeCell ref="F186:G186"/>
    <mergeCell ref="A163:C163"/>
    <mergeCell ref="F163:G163"/>
    <mergeCell ref="A164:E164"/>
    <mergeCell ref="F164:G164"/>
    <mergeCell ref="F165:G165"/>
    <mergeCell ref="A139:B139"/>
    <mergeCell ref="C139:H139"/>
    <mergeCell ref="A140:A141"/>
    <mergeCell ref="B140:B141"/>
    <mergeCell ref="C140:C141"/>
    <mergeCell ref="D140:D141"/>
    <mergeCell ref="E140:E141"/>
    <mergeCell ref="F140:G140"/>
    <mergeCell ref="H140:H141"/>
    <mergeCell ref="A174:D174"/>
    <mergeCell ref="E174:H174"/>
    <mergeCell ref="A170:D170"/>
    <mergeCell ref="E170:H170"/>
    <mergeCell ref="A171:D171"/>
    <mergeCell ref="F171:G173"/>
    <mergeCell ref="A172:D172"/>
    <mergeCell ref="A173:D173"/>
    <mergeCell ref="A166:D166"/>
    <mergeCell ref="F166:G166"/>
    <mergeCell ref="E167:F167"/>
    <mergeCell ref="E168:F168"/>
    <mergeCell ref="A169:H169"/>
    <mergeCell ref="A132:D132"/>
    <mergeCell ref="E132:H133"/>
    <mergeCell ref="B133:D133"/>
    <mergeCell ref="A134:B134"/>
    <mergeCell ref="C134:D134"/>
    <mergeCell ref="E134:H134"/>
    <mergeCell ref="A123:D123"/>
    <mergeCell ref="A124:D124"/>
    <mergeCell ref="A125:D125"/>
    <mergeCell ref="A126:D126"/>
    <mergeCell ref="E126:H126"/>
    <mergeCell ref="A137:B137"/>
    <mergeCell ref="C137:D137"/>
    <mergeCell ref="E137:F137"/>
    <mergeCell ref="A138:B138"/>
    <mergeCell ref="C138:D138"/>
    <mergeCell ref="E138:H138"/>
    <mergeCell ref="C135:D135"/>
    <mergeCell ref="E135:F135"/>
    <mergeCell ref="A136:B136"/>
    <mergeCell ref="C136:D136"/>
    <mergeCell ref="E136:F136"/>
    <mergeCell ref="F118:G118"/>
    <mergeCell ref="E119:F119"/>
    <mergeCell ref="E120:F120"/>
    <mergeCell ref="A121:H121"/>
    <mergeCell ref="A122:D122"/>
    <mergeCell ref="E122:H122"/>
    <mergeCell ref="A115:B115"/>
    <mergeCell ref="F115:G115"/>
    <mergeCell ref="A116:E116"/>
    <mergeCell ref="F116:G116"/>
    <mergeCell ref="F117:G117"/>
    <mergeCell ref="C4:D4"/>
    <mergeCell ref="E4:F4"/>
    <mergeCell ref="A42:D42"/>
    <mergeCell ref="E42:H43"/>
    <mergeCell ref="B43:D43"/>
    <mergeCell ref="A1:D1"/>
    <mergeCell ref="E1:H2"/>
    <mergeCell ref="B2:D2"/>
    <mergeCell ref="A3:B3"/>
    <mergeCell ref="E3:H3"/>
    <mergeCell ref="A5:B5"/>
    <mergeCell ref="C5:D5"/>
    <mergeCell ref="E5:F5"/>
    <mergeCell ref="A6:B6"/>
    <mergeCell ref="C6:D6"/>
    <mergeCell ref="E6:F6"/>
    <mergeCell ref="A32:B32"/>
    <mergeCell ref="F32:G32"/>
    <mergeCell ref="C7:D7"/>
    <mergeCell ref="E7:H7"/>
    <mergeCell ref="A8:A9"/>
    <mergeCell ref="B8:B9"/>
    <mergeCell ref="E33:F33"/>
    <mergeCell ref="C8:C9"/>
    <mergeCell ref="D8:D9"/>
    <mergeCell ref="E8:E9"/>
    <mergeCell ref="F8:G8"/>
    <mergeCell ref="H8:H9"/>
    <mergeCell ref="A29:B29"/>
    <mergeCell ref="F29:G29"/>
    <mergeCell ref="A30:E30"/>
    <mergeCell ref="F30:G30"/>
    <mergeCell ref="F31:G31"/>
    <mergeCell ref="A95:A96"/>
    <mergeCell ref="B95:B96"/>
    <mergeCell ref="C95:C96"/>
    <mergeCell ref="D95:D96"/>
    <mergeCell ref="E95:E96"/>
    <mergeCell ref="F95:G95"/>
    <mergeCell ref="H95:H96"/>
    <mergeCell ref="C46:D46"/>
    <mergeCell ref="E34:F34"/>
    <mergeCell ref="A35:H35"/>
    <mergeCell ref="A36:D36"/>
    <mergeCell ref="E36:H36"/>
    <mergeCell ref="A37:D37"/>
    <mergeCell ref="A38:D38"/>
    <mergeCell ref="A39:D39"/>
    <mergeCell ref="A40:D40"/>
    <mergeCell ref="E40:H40"/>
    <mergeCell ref="A74:B74"/>
    <mergeCell ref="A82:D82"/>
    <mergeCell ref="A87:D87"/>
    <mergeCell ref="E87:H88"/>
    <mergeCell ref="B88:D88"/>
    <mergeCell ref="A89:B89"/>
    <mergeCell ref="C89:D89"/>
    <mergeCell ref="E89:H89"/>
    <mergeCell ref="A78:D78"/>
    <mergeCell ref="A79:D79"/>
    <mergeCell ref="F79:G81"/>
    <mergeCell ref="A80:D80"/>
    <mergeCell ref="A81:D81"/>
    <mergeCell ref="E46:F46"/>
    <mergeCell ref="C47:D47"/>
    <mergeCell ref="E47:F47"/>
    <mergeCell ref="A48:B48"/>
    <mergeCell ref="C48:D48"/>
    <mergeCell ref="E48:G48"/>
    <mergeCell ref="A44:B44"/>
    <mergeCell ref="C44:D44"/>
    <mergeCell ref="E44:H44"/>
    <mergeCell ref="C45:D45"/>
    <mergeCell ref="C93:D93"/>
    <mergeCell ref="E93:H93"/>
    <mergeCell ref="C90:D90"/>
    <mergeCell ref="E90:F90"/>
    <mergeCell ref="A91:B91"/>
    <mergeCell ref="C91:D91"/>
    <mergeCell ref="E91:F91"/>
    <mergeCell ref="A94:B94"/>
    <mergeCell ref="E45:F45"/>
    <mergeCell ref="E50:E51"/>
    <mergeCell ref="F50:G50"/>
    <mergeCell ref="H50:H51"/>
    <mergeCell ref="A72:C72"/>
    <mergeCell ref="A49:B49"/>
    <mergeCell ref="A50:A51"/>
    <mergeCell ref="B50:B51"/>
    <mergeCell ref="C50:C51"/>
    <mergeCell ref="D50:D51"/>
    <mergeCell ref="A92:B92"/>
    <mergeCell ref="C92:D92"/>
    <mergeCell ref="E92:F92"/>
    <mergeCell ref="A93:B93"/>
    <mergeCell ref="C94:H94"/>
    <mergeCell ref="B269:D269"/>
    <mergeCell ref="A270:B270"/>
    <mergeCell ref="C270:D270"/>
    <mergeCell ref="E270:H270"/>
    <mergeCell ref="A272:B272"/>
    <mergeCell ref="A273:B273"/>
    <mergeCell ref="E274:G274"/>
    <mergeCell ref="A311:D311"/>
    <mergeCell ref="A312:D312"/>
    <mergeCell ref="E312:H312"/>
    <mergeCell ref="H276:H277"/>
    <mergeCell ref="A301:B301"/>
    <mergeCell ref="A310:D310"/>
    <mergeCell ref="A318:D318"/>
    <mergeCell ref="E318:H319"/>
    <mergeCell ref="B319:D319"/>
    <mergeCell ref="A320:B320"/>
    <mergeCell ref="C320:D320"/>
    <mergeCell ref="E320:H320"/>
    <mergeCell ref="C321:D321"/>
    <mergeCell ref="E321:F321"/>
    <mergeCell ref="C322:D322"/>
    <mergeCell ref="E322:F322"/>
    <mergeCell ref="C323:D323"/>
    <mergeCell ref="E323:F323"/>
    <mergeCell ref="A298:B298"/>
    <mergeCell ref="F298:G298"/>
    <mergeCell ref="A299:E299"/>
    <mergeCell ref="F299:G299"/>
    <mergeCell ref="F300:G300"/>
    <mergeCell ref="F301:G301"/>
    <mergeCell ref="E303:F303"/>
    <mergeCell ref="E304:F304"/>
    <mergeCell ref="A305:H305"/>
    <mergeCell ref="A306:D306"/>
    <mergeCell ref="E306:H306"/>
    <mergeCell ref="A307:D307"/>
    <mergeCell ref="A308:D308"/>
    <mergeCell ref="A309:D309"/>
    <mergeCell ref="A358:D358"/>
    <mergeCell ref="A359:D359"/>
    <mergeCell ref="E359:H359"/>
    <mergeCell ref="E324:G324"/>
    <mergeCell ref="A362:D362"/>
    <mergeCell ref="E362:H363"/>
    <mergeCell ref="B363:D363"/>
    <mergeCell ref="A364:B364"/>
    <mergeCell ref="E364:H364"/>
    <mergeCell ref="H326:H327"/>
    <mergeCell ref="A348:B348"/>
    <mergeCell ref="A349:D349"/>
    <mergeCell ref="A351:C351"/>
    <mergeCell ref="E352:F352"/>
    <mergeCell ref="E353:F353"/>
    <mergeCell ref="A354:E354"/>
    <mergeCell ref="A355:C355"/>
    <mergeCell ref="A357:D357"/>
    <mergeCell ref="C324:D324"/>
    <mergeCell ref="A544:D544"/>
    <mergeCell ref="A545:D545"/>
    <mergeCell ref="A546:D546"/>
    <mergeCell ref="E546:H546"/>
    <mergeCell ref="A548:D548"/>
    <mergeCell ref="E548:H549"/>
    <mergeCell ref="B549:D549"/>
    <mergeCell ref="D550:E550"/>
    <mergeCell ref="A590:D590"/>
    <mergeCell ref="A591:D591"/>
    <mergeCell ref="A592:D592"/>
    <mergeCell ref="A593:D593"/>
    <mergeCell ref="E593:H593"/>
    <mergeCell ref="F582:G582"/>
    <mergeCell ref="A583:E583"/>
    <mergeCell ref="F583:G583"/>
    <mergeCell ref="F584:G584"/>
    <mergeCell ref="F585:G585"/>
    <mergeCell ref="E586:F586"/>
    <mergeCell ref="E587:F587"/>
    <mergeCell ref="A588:H588"/>
    <mergeCell ref="A589:D589"/>
    <mergeCell ref="E589:H589"/>
    <mergeCell ref="A555:B555"/>
    <mergeCell ref="C555:H555"/>
    <mergeCell ref="A556:A557"/>
    <mergeCell ref="B556:B557"/>
    <mergeCell ref="C556:C557"/>
    <mergeCell ref="D556:D557"/>
    <mergeCell ref="E556:E557"/>
    <mergeCell ref="F556:G556"/>
    <mergeCell ref="H556:H557"/>
    <mergeCell ref="A325:B325"/>
    <mergeCell ref="A326:A327"/>
    <mergeCell ref="A395:B395"/>
    <mergeCell ref="F395:G395"/>
    <mergeCell ref="A396:E396"/>
    <mergeCell ref="F396:G396"/>
    <mergeCell ref="F397:G397"/>
    <mergeCell ref="A398:B398"/>
    <mergeCell ref="F398:G398"/>
    <mergeCell ref="E399:F399"/>
    <mergeCell ref="E400:F400"/>
    <mergeCell ref="A401:H401"/>
    <mergeCell ref="A402:D402"/>
    <mergeCell ref="G639:H639"/>
    <mergeCell ref="C640:D640"/>
    <mergeCell ref="E640:F640"/>
    <mergeCell ref="A641:B641"/>
    <mergeCell ref="C641:D641"/>
    <mergeCell ref="E641:F641"/>
    <mergeCell ref="A600:B600"/>
    <mergeCell ref="C600:D600"/>
    <mergeCell ref="E600:F600"/>
    <mergeCell ref="C598:D598"/>
    <mergeCell ref="E598:H598"/>
    <mergeCell ref="A601:B601"/>
    <mergeCell ref="C601:D601"/>
    <mergeCell ref="E601:F601"/>
    <mergeCell ref="A602:B602"/>
    <mergeCell ref="C602:D602"/>
    <mergeCell ref="E602:G602"/>
    <mergeCell ref="A603:B603"/>
    <mergeCell ref="C603:H603"/>
    <mergeCell ref="A604:A605"/>
    <mergeCell ref="B604:B605"/>
    <mergeCell ref="C604:C605"/>
    <mergeCell ref="D604:D605"/>
    <mergeCell ref="E604:E605"/>
    <mergeCell ref="F604:G604"/>
    <mergeCell ref="B686:D686"/>
    <mergeCell ref="A670:C670"/>
    <mergeCell ref="F670:G670"/>
    <mergeCell ref="A671:E671"/>
    <mergeCell ref="F671:G671"/>
    <mergeCell ref="F672:G672"/>
    <mergeCell ref="A673:D673"/>
    <mergeCell ref="F673:G673"/>
    <mergeCell ref="E674:F674"/>
    <mergeCell ref="E675:F675"/>
    <mergeCell ref="A644:B644"/>
    <mergeCell ref="C644:H644"/>
    <mergeCell ref="A645:A646"/>
    <mergeCell ref="B645:B646"/>
    <mergeCell ref="C645:C646"/>
    <mergeCell ref="D645:D646"/>
    <mergeCell ref="E645:E646"/>
    <mergeCell ref="A676:H676"/>
    <mergeCell ref="A677:D677"/>
    <mergeCell ref="E677:H677"/>
    <mergeCell ref="A678:D678"/>
    <mergeCell ref="A679:D679"/>
    <mergeCell ref="A680:D680"/>
    <mergeCell ref="A681:D681"/>
    <mergeCell ref="E681:H681"/>
    <mergeCell ref="A685:D685"/>
    <mergeCell ref="E685:H686"/>
    <mergeCell ref="F645:G645"/>
    <mergeCell ref="H645:H646"/>
    <mergeCell ref="A637:D637"/>
    <mergeCell ref="E637:H638"/>
    <mergeCell ref="B638:D638"/>
    <mergeCell ref="A639:B639"/>
    <mergeCell ref="D639:E639"/>
    <mergeCell ref="A691:B691"/>
    <mergeCell ref="C691:D691"/>
    <mergeCell ref="E691:H691"/>
    <mergeCell ref="A692:B692"/>
    <mergeCell ref="C692:H692"/>
    <mergeCell ref="A693:A694"/>
    <mergeCell ref="B693:B694"/>
    <mergeCell ref="C693:C694"/>
    <mergeCell ref="D693:D694"/>
    <mergeCell ref="E693:E694"/>
    <mergeCell ref="F693:G693"/>
    <mergeCell ref="H693:H694"/>
    <mergeCell ref="A687:B687"/>
    <mergeCell ref="D687:E687"/>
    <mergeCell ref="G687:H687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E834:E835"/>
    <mergeCell ref="F834:G834"/>
    <mergeCell ref="H834:H835"/>
    <mergeCell ref="A826:D826"/>
    <mergeCell ref="E826:H827"/>
    <mergeCell ref="B827:D827"/>
    <mergeCell ref="A828:B828"/>
    <mergeCell ref="D828:E828"/>
    <mergeCell ref="G828:H828"/>
    <mergeCell ref="C829:D829"/>
    <mergeCell ref="E829:F829"/>
    <mergeCell ref="A830:B830"/>
    <mergeCell ref="C830:D830"/>
    <mergeCell ref="E830:F830"/>
    <mergeCell ref="A724:H724"/>
    <mergeCell ref="A725:D725"/>
    <mergeCell ref="E725:H725"/>
    <mergeCell ref="A726:D726"/>
    <mergeCell ref="A727:D727"/>
    <mergeCell ref="A728:D728"/>
    <mergeCell ref="A729:D729"/>
    <mergeCell ref="E729:H729"/>
    <mergeCell ref="A731:D731"/>
    <mergeCell ref="E731:H732"/>
    <mergeCell ref="B732:D732"/>
    <mergeCell ref="A718:C718"/>
    <mergeCell ref="F718:G718"/>
    <mergeCell ref="A719:E719"/>
    <mergeCell ref="F719:G719"/>
    <mergeCell ref="F720:G720"/>
    <mergeCell ref="A721:D721"/>
    <mergeCell ref="F721:G721"/>
    <mergeCell ref="E722:F722"/>
    <mergeCell ref="E723:F723"/>
    <mergeCell ref="A737:B737"/>
    <mergeCell ref="C737:D737"/>
    <mergeCell ref="E737:H737"/>
    <mergeCell ref="A738:B738"/>
    <mergeCell ref="C738:H738"/>
    <mergeCell ref="A739:A740"/>
    <mergeCell ref="B739:B740"/>
    <mergeCell ref="C739:C740"/>
    <mergeCell ref="D739:D740"/>
    <mergeCell ref="E739:E740"/>
    <mergeCell ref="F739:G739"/>
    <mergeCell ref="H739:H740"/>
    <mergeCell ref="A733:B733"/>
    <mergeCell ref="D733:E733"/>
    <mergeCell ref="G733:H733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81:B781"/>
    <mergeCell ref="D781:E781"/>
    <mergeCell ref="G781:H781"/>
    <mergeCell ref="C782:D782"/>
    <mergeCell ref="E782:F782"/>
    <mergeCell ref="A783:B783"/>
    <mergeCell ref="C783:D783"/>
    <mergeCell ref="A873:B873"/>
    <mergeCell ref="D873:E873"/>
    <mergeCell ref="G873:H873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18:H818"/>
    <mergeCell ref="A819:D819"/>
    <mergeCell ref="E819:H819"/>
    <mergeCell ref="A820:D820"/>
    <mergeCell ref="A821:D821"/>
    <mergeCell ref="A822:D822"/>
    <mergeCell ref="A823:D823"/>
    <mergeCell ref="E823:H823"/>
    <mergeCell ref="A812:C812"/>
    <mergeCell ref="F812:G812"/>
    <mergeCell ref="A813:E813"/>
    <mergeCell ref="F813:G813"/>
    <mergeCell ref="F814:G814"/>
    <mergeCell ref="A815:D815"/>
    <mergeCell ref="F815:G815"/>
    <mergeCell ref="E816:F816"/>
    <mergeCell ref="E817:F817"/>
    <mergeCell ref="A864:H864"/>
    <mergeCell ref="A865:D865"/>
    <mergeCell ref="E865:H865"/>
    <mergeCell ref="A866:D866"/>
    <mergeCell ref="A867:D867"/>
    <mergeCell ref="A868:D868"/>
    <mergeCell ref="A869:D869"/>
    <mergeCell ref="E869:H869"/>
    <mergeCell ref="A871:D871"/>
    <mergeCell ref="E871:H872"/>
    <mergeCell ref="B872:D872"/>
    <mergeCell ref="A858:C858"/>
    <mergeCell ref="F858:G858"/>
    <mergeCell ref="E1003:F1003"/>
    <mergeCell ref="A909:H909"/>
    <mergeCell ref="A910:D910"/>
    <mergeCell ref="E910:H910"/>
    <mergeCell ref="A911:D911"/>
    <mergeCell ref="A912:D912"/>
    <mergeCell ref="A913:D913"/>
    <mergeCell ref="A914:D914"/>
    <mergeCell ref="E914:H914"/>
    <mergeCell ref="A903:C903"/>
    <mergeCell ref="F903:G903"/>
    <mergeCell ref="A904:E904"/>
    <mergeCell ref="F904:G904"/>
    <mergeCell ref="F905:G905"/>
    <mergeCell ref="A906:D906"/>
    <mergeCell ref="F906:G906"/>
    <mergeCell ref="E907:F907"/>
    <mergeCell ref="E908:F908"/>
    <mergeCell ref="A970:B970"/>
    <mergeCell ref="C970:D970"/>
    <mergeCell ref="E970:F970"/>
    <mergeCell ref="A971:B971"/>
    <mergeCell ref="C971:D971"/>
    <mergeCell ref="E971:H971"/>
    <mergeCell ref="A965:D965"/>
    <mergeCell ref="E965:H966"/>
    <mergeCell ref="B966:D966"/>
    <mergeCell ref="A967:B967"/>
    <mergeCell ref="D967:E967"/>
    <mergeCell ref="G967:H967"/>
    <mergeCell ref="C968:D968"/>
    <mergeCell ref="E968:F968"/>
    <mergeCell ref="A969:B969"/>
    <mergeCell ref="C969:D969"/>
    <mergeCell ref="E969:F969"/>
    <mergeCell ref="A918:D918"/>
    <mergeCell ref="E918:H919"/>
    <mergeCell ref="B919:D919"/>
    <mergeCell ref="D920:E920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H924"/>
    <mergeCell ref="A925:B925"/>
    <mergeCell ref="C925:H925"/>
    <mergeCell ref="A1090:B1090"/>
    <mergeCell ref="F1090:G1090"/>
    <mergeCell ref="E1092:F1092"/>
    <mergeCell ref="A1065:B1065"/>
    <mergeCell ref="C1065:D1065"/>
    <mergeCell ref="E1065:F1065"/>
    <mergeCell ref="A1066:B1066"/>
    <mergeCell ref="C1066:D1066"/>
    <mergeCell ref="E1066:G1066"/>
    <mergeCell ref="A1068:A1069"/>
    <mergeCell ref="B1068:B1069"/>
    <mergeCell ref="C1068:C1069"/>
    <mergeCell ref="D1068:D1069"/>
    <mergeCell ref="E1068:E1069"/>
    <mergeCell ref="F1068:G1068"/>
    <mergeCell ref="A1060:D1060"/>
    <mergeCell ref="E1060:H1061"/>
    <mergeCell ref="B1061:D1061"/>
    <mergeCell ref="A1062:B1062"/>
    <mergeCell ref="C1062:D1062"/>
    <mergeCell ref="E1062:H1062"/>
    <mergeCell ref="C1063:D1063"/>
    <mergeCell ref="E1063:F1063"/>
    <mergeCell ref="A1064:B1064"/>
    <mergeCell ref="C1064:D1064"/>
    <mergeCell ref="E1064:F1064"/>
    <mergeCell ref="A1110:B1110"/>
    <mergeCell ref="C1110:D1110"/>
    <mergeCell ref="E1110:F1110"/>
    <mergeCell ref="A1111:B1111"/>
    <mergeCell ref="C1111:D1111"/>
    <mergeCell ref="E1111:G1111"/>
    <mergeCell ref="A1105:D1105"/>
    <mergeCell ref="E1105:H1106"/>
    <mergeCell ref="B1106:D1106"/>
    <mergeCell ref="A1107:B1107"/>
    <mergeCell ref="C1107:D1107"/>
    <mergeCell ref="E1107:H1107"/>
    <mergeCell ref="C1108:D1108"/>
    <mergeCell ref="E1108:F1108"/>
    <mergeCell ref="A1109:B1109"/>
    <mergeCell ref="C1109:D1109"/>
    <mergeCell ref="E1109:F1109"/>
    <mergeCell ref="F1089:G1089"/>
    <mergeCell ref="J268:M268"/>
    <mergeCell ref="N268:Q269"/>
    <mergeCell ref="K269:M269"/>
    <mergeCell ref="J270:K270"/>
    <mergeCell ref="L270:M270"/>
    <mergeCell ref="N270:Q270"/>
    <mergeCell ref="L271:M271"/>
    <mergeCell ref="N271:O271"/>
    <mergeCell ref="J272:K272"/>
    <mergeCell ref="L272:M272"/>
    <mergeCell ref="N272:O272"/>
    <mergeCell ref="J273:K273"/>
    <mergeCell ref="L273:M273"/>
    <mergeCell ref="N273:O273"/>
    <mergeCell ref="L274:M274"/>
    <mergeCell ref="N274:P274"/>
    <mergeCell ref="J276:J277"/>
    <mergeCell ref="K276:K277"/>
    <mergeCell ref="L276:L277"/>
    <mergeCell ref="M276:M277"/>
    <mergeCell ref="N276:N277"/>
    <mergeCell ref="O276:P276"/>
    <mergeCell ref="Q276:Q277"/>
    <mergeCell ref="E310:H310"/>
    <mergeCell ref="J298:K298"/>
    <mergeCell ref="O298:P298"/>
    <mergeCell ref="J299:N299"/>
    <mergeCell ref="O299:P299"/>
    <mergeCell ref="O300:P300"/>
    <mergeCell ref="J301:K301"/>
    <mergeCell ref="O301:P301"/>
    <mergeCell ref="N303:O303"/>
    <mergeCell ref="E1002:F1002"/>
    <mergeCell ref="H879:H880"/>
    <mergeCell ref="A770:H770"/>
    <mergeCell ref="A771:D771"/>
    <mergeCell ref="E771:H771"/>
    <mergeCell ref="A772:D772"/>
    <mergeCell ref="A773:D773"/>
    <mergeCell ref="A774:D774"/>
    <mergeCell ref="A775:D775"/>
    <mergeCell ref="E775:H775"/>
    <mergeCell ref="A764:C764"/>
    <mergeCell ref="F764:G764"/>
    <mergeCell ref="A765:E765"/>
    <mergeCell ref="F765:G765"/>
    <mergeCell ref="F766:G766"/>
    <mergeCell ref="A767:D767"/>
    <mergeCell ref="F767:G767"/>
    <mergeCell ref="E768:F768"/>
    <mergeCell ref="E769:F769"/>
    <mergeCell ref="A831:B831"/>
    <mergeCell ref="C831:D831"/>
    <mergeCell ref="E831:F831"/>
    <mergeCell ref="A832:B832"/>
    <mergeCell ref="C832:D832"/>
    <mergeCell ref="E832:H832"/>
    <mergeCell ref="C833:H833"/>
    <mergeCell ref="A834:A835"/>
    <mergeCell ref="B834:B835"/>
    <mergeCell ref="C834:C835"/>
    <mergeCell ref="D834:D835"/>
    <mergeCell ref="N304:O304"/>
    <mergeCell ref="J305:Q305"/>
    <mergeCell ref="J306:M306"/>
    <mergeCell ref="N306:Q306"/>
    <mergeCell ref="J307:M307"/>
    <mergeCell ref="J308:M308"/>
    <mergeCell ref="J309:M309"/>
    <mergeCell ref="J310:M310"/>
    <mergeCell ref="N310:Q310"/>
    <mergeCell ref="A1341:B1341"/>
    <mergeCell ref="C1341:H1341"/>
    <mergeCell ref="A1369:D1369"/>
    <mergeCell ref="A1370:D1370"/>
    <mergeCell ref="A1371:D1371"/>
    <mergeCell ref="A1372:D1372"/>
    <mergeCell ref="E1372:H1372"/>
    <mergeCell ref="A1342:A1343"/>
    <mergeCell ref="B1342:B1343"/>
    <mergeCell ref="C1342:C1343"/>
    <mergeCell ref="D1342:D1343"/>
    <mergeCell ref="E1342:E1343"/>
    <mergeCell ref="F1342:G1342"/>
    <mergeCell ref="H1342:H1343"/>
    <mergeCell ref="F1361:G1361"/>
    <mergeCell ref="A1362:E1362"/>
    <mergeCell ref="F1362:G1362"/>
    <mergeCell ref="F1363:G1363"/>
    <mergeCell ref="F1364:G1364"/>
    <mergeCell ref="E1365:F1365"/>
    <mergeCell ref="E1366:F1366"/>
    <mergeCell ref="A1367:H1367"/>
    <mergeCell ref="A1368:D1368"/>
    <mergeCell ref="E1368:H1368"/>
    <mergeCell ref="J628:Q628"/>
    <mergeCell ref="J629:L629"/>
    <mergeCell ref="N629:Q629"/>
    <mergeCell ref="J631:L631"/>
    <mergeCell ref="J632:M632"/>
    <mergeCell ref="J633:M633"/>
    <mergeCell ref="N633:Q633"/>
    <mergeCell ref="J622:L622"/>
    <mergeCell ref="O622:P622"/>
    <mergeCell ref="J623:N623"/>
    <mergeCell ref="O623:P623"/>
    <mergeCell ref="O624:P624"/>
    <mergeCell ref="J625:L625"/>
    <mergeCell ref="O625:P625"/>
    <mergeCell ref="N626:O626"/>
    <mergeCell ref="N627:O627"/>
    <mergeCell ref="E1142:F1142"/>
    <mergeCell ref="E1093:F1093"/>
    <mergeCell ref="A1094:H1094"/>
    <mergeCell ref="A1095:D1095"/>
    <mergeCell ref="E1095:H1095"/>
    <mergeCell ref="A1096:D1096"/>
    <mergeCell ref="A1097:D1097"/>
    <mergeCell ref="A1098:D1098"/>
    <mergeCell ref="A1099:D1099"/>
    <mergeCell ref="E1099:H1099"/>
    <mergeCell ref="H1068:H1069"/>
    <mergeCell ref="A1087:B1087"/>
    <mergeCell ref="F1087:G1087"/>
    <mergeCell ref="A1088:E1088"/>
    <mergeCell ref="F1088:G1088"/>
    <mergeCell ref="A877:B877"/>
    <mergeCell ref="C877:D877"/>
    <mergeCell ref="E1663:G1663"/>
    <mergeCell ref="A1665:A1666"/>
    <mergeCell ref="B1665:B1666"/>
    <mergeCell ref="C1665:C1666"/>
    <mergeCell ref="D1665:D1666"/>
    <mergeCell ref="E1665:E1666"/>
    <mergeCell ref="F1665:G1665"/>
    <mergeCell ref="H1665:H1666"/>
    <mergeCell ref="A1688:B1688"/>
    <mergeCell ref="F1688:G1688"/>
    <mergeCell ref="A1689:E1689"/>
    <mergeCell ref="F1689:G1689"/>
    <mergeCell ref="F1690:G1690"/>
    <mergeCell ref="A1691:B1691"/>
    <mergeCell ref="F1691:G1691"/>
    <mergeCell ref="E1693:F1693"/>
    <mergeCell ref="E1694:F1694"/>
    <mergeCell ref="A1695:H1695"/>
    <mergeCell ref="A1704:D1704"/>
    <mergeCell ref="E1704:H1705"/>
    <mergeCell ref="B1705:D1705"/>
    <mergeCell ref="A1706:B1706"/>
    <mergeCell ref="C1706:D1706"/>
    <mergeCell ref="E1706:H1706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C1710:D1710"/>
    <mergeCell ref="E1710:G1710"/>
    <mergeCell ref="A1696:D1696"/>
    <mergeCell ref="E1696:H1696"/>
    <mergeCell ref="A1697:D1697"/>
    <mergeCell ref="A1698:D1698"/>
    <mergeCell ref="A1699:D1699"/>
    <mergeCell ref="A1700:D1700"/>
    <mergeCell ref="E1700:H1700"/>
    <mergeCell ref="A1711:A1712"/>
    <mergeCell ref="B1711:B1712"/>
    <mergeCell ref="C1711:C1712"/>
    <mergeCell ref="D1711:D1712"/>
    <mergeCell ref="E1711:E1712"/>
    <mergeCell ref="F1711:G1711"/>
    <mergeCell ref="H1711:H1712"/>
    <mergeCell ref="A1734:B1734"/>
    <mergeCell ref="F1734:G1734"/>
    <mergeCell ref="A1735:E1735"/>
    <mergeCell ref="F1735:G1735"/>
    <mergeCell ref="F1736:G1736"/>
    <mergeCell ref="A1737:B1737"/>
    <mergeCell ref="F1737:G1737"/>
    <mergeCell ref="E1739:F1739"/>
    <mergeCell ref="E1740:F1740"/>
    <mergeCell ref="A1741:H1741"/>
    <mergeCell ref="F1781:G1781"/>
    <mergeCell ref="A1742:D1742"/>
    <mergeCell ref="E1742:H1742"/>
    <mergeCell ref="A1743:D1743"/>
    <mergeCell ref="A1744:D1744"/>
    <mergeCell ref="A1745:D1745"/>
    <mergeCell ref="A1746:D1746"/>
    <mergeCell ref="E1746:H1746"/>
    <mergeCell ref="A1749:D1749"/>
    <mergeCell ref="E1749:H1750"/>
    <mergeCell ref="B1750:D1750"/>
    <mergeCell ref="A1751:B1751"/>
    <mergeCell ref="C1751:D1751"/>
    <mergeCell ref="E1751:H1751"/>
    <mergeCell ref="C1752:D1752"/>
    <mergeCell ref="E1752:F1752"/>
    <mergeCell ref="A1753:B1753"/>
    <mergeCell ref="C1753:D1753"/>
    <mergeCell ref="E1753:F1753"/>
    <mergeCell ref="F1782:G1782"/>
    <mergeCell ref="A1783:B1783"/>
    <mergeCell ref="F1783:G1783"/>
    <mergeCell ref="E1785:F1785"/>
    <mergeCell ref="E1786:F1786"/>
    <mergeCell ref="A1787:H1787"/>
    <mergeCell ref="A1788:D1788"/>
    <mergeCell ref="E1788:H1788"/>
    <mergeCell ref="A1789:D1789"/>
    <mergeCell ref="A1790:D1790"/>
    <mergeCell ref="A1791:D1791"/>
    <mergeCell ref="A1792:D1792"/>
    <mergeCell ref="E1792:H1792"/>
    <mergeCell ref="A1795:D1795"/>
    <mergeCell ref="E1795:H1796"/>
    <mergeCell ref="B1796:D1796"/>
    <mergeCell ref="A1754:B1754"/>
    <mergeCell ref="C1754:D1754"/>
    <mergeCell ref="E1754:F1754"/>
    <mergeCell ref="A1755:B1755"/>
    <mergeCell ref="C1755:D1755"/>
    <mergeCell ref="E1755:G1755"/>
    <mergeCell ref="A1757:A1758"/>
    <mergeCell ref="B1757:B1758"/>
    <mergeCell ref="C1757:C1758"/>
    <mergeCell ref="D1757:D1758"/>
    <mergeCell ref="E1757:E1758"/>
    <mergeCell ref="F1757:G1757"/>
    <mergeCell ref="H1757:H1758"/>
    <mergeCell ref="A1780:B1780"/>
    <mergeCell ref="F1780:G1780"/>
    <mergeCell ref="A1781:E1781"/>
    <mergeCell ref="A1847:B1847"/>
    <mergeCell ref="A1797:B1797"/>
    <mergeCell ref="C1797:D1797"/>
    <mergeCell ref="E1797:H1797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H1801"/>
    <mergeCell ref="A1829:H1829"/>
    <mergeCell ref="A1830:D1830"/>
    <mergeCell ref="E1830:H1830"/>
    <mergeCell ref="A1802:B1802"/>
    <mergeCell ref="C1802:H1802"/>
    <mergeCell ref="A1803:A1804"/>
    <mergeCell ref="B1803:B1804"/>
    <mergeCell ref="C1803:C1804"/>
    <mergeCell ref="D1803:D1804"/>
    <mergeCell ref="E1803:E1804"/>
    <mergeCell ref="F1803:G1803"/>
    <mergeCell ref="H1803:H1804"/>
    <mergeCell ref="A1823:B1823"/>
    <mergeCell ref="F1823:G1823"/>
    <mergeCell ref="A1824:E1824"/>
    <mergeCell ref="F1824:G1824"/>
    <mergeCell ref="F1825:G1825"/>
    <mergeCell ref="A1932:D1932"/>
    <mergeCell ref="E1932:H1933"/>
    <mergeCell ref="B1933:D1933"/>
    <mergeCell ref="A1934:B1934"/>
    <mergeCell ref="C1934:D1934"/>
    <mergeCell ref="C1935:D1935"/>
    <mergeCell ref="E1935:F1935"/>
    <mergeCell ref="A1936:B1936"/>
    <mergeCell ref="C1936:D1936"/>
    <mergeCell ref="E1936:F1936"/>
    <mergeCell ref="A1937:B1937"/>
    <mergeCell ref="C1937:D1937"/>
    <mergeCell ref="A1938:B1938"/>
    <mergeCell ref="C1938:D1938"/>
    <mergeCell ref="E1938:G1938"/>
    <mergeCell ref="A1940:A1941"/>
    <mergeCell ref="B1940:B1941"/>
    <mergeCell ref="C1940:C1941"/>
    <mergeCell ref="D1940:D1941"/>
    <mergeCell ref="E1940:E1941"/>
    <mergeCell ref="F1940:G1940"/>
    <mergeCell ref="H1940:H1941"/>
    <mergeCell ref="A1925:D1925"/>
    <mergeCell ref="A1926:D1926"/>
    <mergeCell ref="A1927:D1927"/>
    <mergeCell ref="A1928:D1928"/>
    <mergeCell ref="E1928:H1928"/>
    <mergeCell ref="C1890:D1890"/>
    <mergeCell ref="E1890:H1890"/>
    <mergeCell ref="A1896:A1897"/>
    <mergeCell ref="B1896:B1897"/>
    <mergeCell ref="C1896:C1897"/>
    <mergeCell ref="D1896:D1897"/>
    <mergeCell ref="E1896:E1897"/>
    <mergeCell ref="F1896:G1896"/>
    <mergeCell ref="H1896:H1897"/>
    <mergeCell ref="A1917:B1917"/>
    <mergeCell ref="F1917:G1917"/>
    <mergeCell ref="A1918:E1918"/>
    <mergeCell ref="F1918:G1918"/>
    <mergeCell ref="F1919:G1919"/>
    <mergeCell ref="F1920:G1920"/>
    <mergeCell ref="E1921:F1921"/>
    <mergeCell ref="E1922:F1922"/>
    <mergeCell ref="A1923:H1923"/>
    <mergeCell ref="A1924:D1924"/>
    <mergeCell ref="E1924:H1924"/>
    <mergeCell ref="A1959:B1959"/>
    <mergeCell ref="F1959:G1959"/>
    <mergeCell ref="A1960:E1960"/>
    <mergeCell ref="F1960:G1960"/>
    <mergeCell ref="F1961:G1961"/>
    <mergeCell ref="A1962:B1962"/>
    <mergeCell ref="F1962:G1962"/>
    <mergeCell ref="E1964:F1964"/>
    <mergeCell ref="E1965:F1965"/>
    <mergeCell ref="A1966:H1966"/>
    <mergeCell ref="A1967:D1967"/>
    <mergeCell ref="E1967:H1967"/>
    <mergeCell ref="A1968:D1968"/>
    <mergeCell ref="A1969:D1969"/>
    <mergeCell ref="A1970:D1970"/>
    <mergeCell ref="A1971:D1971"/>
    <mergeCell ref="E1971:H1971"/>
    <mergeCell ref="A1975:D1975"/>
    <mergeCell ref="E1975:H1976"/>
    <mergeCell ref="B1976:D1976"/>
    <mergeCell ref="A1977:B1977"/>
    <mergeCell ref="C1977:D1977"/>
    <mergeCell ref="E1977:H1977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C1981:D1981"/>
    <mergeCell ref="E1981:H1981"/>
    <mergeCell ref="C1982:H1982"/>
    <mergeCell ref="A1983:A1984"/>
    <mergeCell ref="B1983:B1984"/>
    <mergeCell ref="C1983:C1984"/>
    <mergeCell ref="D1983:D1984"/>
    <mergeCell ref="E1983:E1984"/>
    <mergeCell ref="F1983:G1983"/>
    <mergeCell ref="H1983:H1984"/>
    <mergeCell ref="A2001:B2001"/>
    <mergeCell ref="F2001:G2001"/>
    <mergeCell ref="A2002:E2002"/>
    <mergeCell ref="F2002:G2002"/>
    <mergeCell ref="F2003:G2003"/>
    <mergeCell ref="F2004:G2004"/>
    <mergeCell ref="E2005:F2005"/>
    <mergeCell ref="E2006:F2006"/>
    <mergeCell ref="A2007:H2007"/>
    <mergeCell ref="A2008:D2008"/>
    <mergeCell ref="E2008:H2008"/>
    <mergeCell ref="A2009:D2009"/>
    <mergeCell ref="A2010:D2010"/>
    <mergeCell ref="A2011:D2011"/>
    <mergeCell ref="A2012:D2012"/>
    <mergeCell ref="E2012:H2012"/>
    <mergeCell ref="A2020:D2020"/>
    <mergeCell ref="E2020:H2021"/>
    <mergeCell ref="B2021:D2021"/>
    <mergeCell ref="A2022:B2022"/>
    <mergeCell ref="C2022:D2022"/>
    <mergeCell ref="E2022:H2022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C2026:D2026"/>
    <mergeCell ref="E2026:H2026"/>
    <mergeCell ref="C2027:H2027"/>
    <mergeCell ref="A2028:A2029"/>
    <mergeCell ref="B2028:B2029"/>
    <mergeCell ref="C2028:C2029"/>
    <mergeCell ref="D2028:D2029"/>
    <mergeCell ref="E2028:E2029"/>
    <mergeCell ref="F2028:G2028"/>
    <mergeCell ref="H2028:H2029"/>
    <mergeCell ref="A2052:B2052"/>
    <mergeCell ref="F2052:G2052"/>
    <mergeCell ref="A2053:E2053"/>
    <mergeCell ref="F2053:G2053"/>
    <mergeCell ref="F2054:G2054"/>
    <mergeCell ref="F2055:G2055"/>
    <mergeCell ref="E2056:F2056"/>
    <mergeCell ref="E2057:F2057"/>
    <mergeCell ref="A2058:H2058"/>
    <mergeCell ref="A2059:D2059"/>
    <mergeCell ref="E2059:H2059"/>
    <mergeCell ref="A2060:D2060"/>
    <mergeCell ref="A2061:D2061"/>
    <mergeCell ref="A2062:D2062"/>
    <mergeCell ref="A2063:D2063"/>
    <mergeCell ref="E2063:H2063"/>
    <mergeCell ref="A2066:D2066"/>
    <mergeCell ref="E2066:H2067"/>
    <mergeCell ref="B2067:D2067"/>
    <mergeCell ref="A2068:B2068"/>
    <mergeCell ref="C2068:D2068"/>
    <mergeCell ref="E2068:H2068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C2072:D2072"/>
    <mergeCell ref="E2072:H2072"/>
    <mergeCell ref="C2073:H2073"/>
    <mergeCell ref="A2074:A2075"/>
    <mergeCell ref="B2074:B2075"/>
    <mergeCell ref="C2074:C2075"/>
    <mergeCell ref="D2074:D2075"/>
    <mergeCell ref="E2074:E2075"/>
    <mergeCell ref="F2074:G2074"/>
    <mergeCell ref="H2074:H2075"/>
    <mergeCell ref="A2098:B2098"/>
    <mergeCell ref="F2098:G2098"/>
    <mergeCell ref="A2099:E2099"/>
    <mergeCell ref="F2099:G2099"/>
    <mergeCell ref="F2100:G2100"/>
    <mergeCell ref="F2101:G2101"/>
    <mergeCell ref="E2102:F2102"/>
    <mergeCell ref="E2103:F2103"/>
    <mergeCell ref="A2104:H2104"/>
    <mergeCell ref="A2105:D2105"/>
    <mergeCell ref="E2105:H2105"/>
    <mergeCell ref="A2106:D2106"/>
    <mergeCell ref="A2107:D2107"/>
    <mergeCell ref="A2108:D2108"/>
    <mergeCell ref="A2109:D2109"/>
    <mergeCell ref="E2109:H2109"/>
    <mergeCell ref="A2112:D2112"/>
    <mergeCell ref="E2112:H2113"/>
    <mergeCell ref="B2113:D2113"/>
    <mergeCell ref="A2114:B2114"/>
    <mergeCell ref="C2114:D2114"/>
    <mergeCell ref="E2114:H2114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C2118:D2118"/>
    <mergeCell ref="E2118:H2118"/>
    <mergeCell ref="C2119:H2119"/>
    <mergeCell ref="A2120:A2121"/>
    <mergeCell ref="B2120:B2121"/>
    <mergeCell ref="C2120:C2121"/>
    <mergeCell ref="D2120:D2121"/>
    <mergeCell ref="E2120:E2121"/>
    <mergeCell ref="F2120:G2120"/>
    <mergeCell ref="H2120:H2121"/>
    <mergeCell ref="A2144:B2144"/>
    <mergeCell ref="F2144:G2144"/>
    <mergeCell ref="A2145:E2145"/>
    <mergeCell ref="F2145:G2145"/>
    <mergeCell ref="F2146:G2146"/>
    <mergeCell ref="F2147:G2147"/>
    <mergeCell ref="E2148:F2148"/>
    <mergeCell ref="E2149:F2149"/>
    <mergeCell ref="A2150:H2150"/>
    <mergeCell ref="A2151:D2151"/>
    <mergeCell ref="E2151:H2151"/>
    <mergeCell ref="A2152:D2152"/>
    <mergeCell ref="A2153:D2153"/>
    <mergeCell ref="A2154:D2154"/>
    <mergeCell ref="A2155:D2155"/>
    <mergeCell ref="E2155:H2155"/>
    <mergeCell ref="A2158:D2158"/>
    <mergeCell ref="E2158:H2159"/>
    <mergeCell ref="B2159:D2159"/>
    <mergeCell ref="A2160:B2160"/>
    <mergeCell ref="C2160:D2160"/>
    <mergeCell ref="E2160:H2160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C2164:D2164"/>
    <mergeCell ref="E2164:H2164"/>
    <mergeCell ref="C2165:H2165"/>
    <mergeCell ref="A2166:A2167"/>
    <mergeCell ref="B2166:B2167"/>
    <mergeCell ref="C2166:C2167"/>
    <mergeCell ref="D2166:D2167"/>
    <mergeCell ref="E2166:E2167"/>
    <mergeCell ref="F2166:G2166"/>
    <mergeCell ref="H2166:H2167"/>
    <mergeCell ref="C2213:C2214"/>
    <mergeCell ref="D2213:D2214"/>
    <mergeCell ref="E2213:E2214"/>
    <mergeCell ref="F2213:G2213"/>
    <mergeCell ref="H2213:H2214"/>
    <mergeCell ref="A2190:B2190"/>
    <mergeCell ref="F2190:G2190"/>
    <mergeCell ref="A2191:E2191"/>
    <mergeCell ref="F2191:G2191"/>
    <mergeCell ref="F2192:G2192"/>
    <mergeCell ref="F2193:G2193"/>
    <mergeCell ref="E2194:F2194"/>
    <mergeCell ref="E2195:F2195"/>
    <mergeCell ref="A2196:H2196"/>
    <mergeCell ref="A2197:D2197"/>
    <mergeCell ref="E2197:H2197"/>
    <mergeCell ref="A2198:D2198"/>
    <mergeCell ref="A2199:D2199"/>
    <mergeCell ref="A2200:D2200"/>
    <mergeCell ref="A2201:D2201"/>
    <mergeCell ref="E2201:H2201"/>
    <mergeCell ref="A2205:D2205"/>
    <mergeCell ref="E2205:H2206"/>
    <mergeCell ref="B2206:D2206"/>
    <mergeCell ref="A2237:B2237"/>
    <mergeCell ref="F2237:G2237"/>
    <mergeCell ref="A2238:E2238"/>
    <mergeCell ref="F2238:G2238"/>
    <mergeCell ref="F2239:G2239"/>
    <mergeCell ref="F2240:G2240"/>
    <mergeCell ref="E2241:F2241"/>
    <mergeCell ref="E2242:F2242"/>
    <mergeCell ref="A2243:H2243"/>
    <mergeCell ref="A2244:D2244"/>
    <mergeCell ref="E2244:H2244"/>
    <mergeCell ref="A2245:D2245"/>
    <mergeCell ref="A2246:D2246"/>
    <mergeCell ref="A2247:D2247"/>
    <mergeCell ref="A2248:D2248"/>
    <mergeCell ref="E2248:H2248"/>
    <mergeCell ref="A2207:B2207"/>
    <mergeCell ref="C2207:D2207"/>
    <mergeCell ref="E2207:H2207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C2211:D2211"/>
    <mergeCell ref="E2211:H2211"/>
    <mergeCell ref="C2212:H2212"/>
    <mergeCell ref="A2213:A2214"/>
    <mergeCell ref="B2213:B2214"/>
    <mergeCell ref="A2393:D2393"/>
    <mergeCell ref="E2393:H2394"/>
    <mergeCell ref="B2394:D2394"/>
    <mergeCell ref="A2292:D2292"/>
    <mergeCell ref="A2293:D2293"/>
    <mergeCell ref="A2294:D2294"/>
    <mergeCell ref="A2295:D2295"/>
    <mergeCell ref="E2295:H2295"/>
    <mergeCell ref="A2260:A2261"/>
    <mergeCell ref="B2260:B2261"/>
    <mergeCell ref="C2260:C2261"/>
    <mergeCell ref="D2260:D2261"/>
    <mergeCell ref="E2260:E2261"/>
    <mergeCell ref="F2260:G2260"/>
    <mergeCell ref="H2260:H2261"/>
    <mergeCell ref="A2284:B2284"/>
    <mergeCell ref="F2284:G2284"/>
    <mergeCell ref="A2285:E2285"/>
    <mergeCell ref="F2285:G2285"/>
    <mergeCell ref="F2286:G2286"/>
    <mergeCell ref="F2287:G2287"/>
    <mergeCell ref="E2288:F2288"/>
    <mergeCell ref="E2289:F2289"/>
    <mergeCell ref="A2290:H2290"/>
    <mergeCell ref="A2291:D2291"/>
    <mergeCell ref="E2291:H2291"/>
    <mergeCell ref="A2252:D2252"/>
    <mergeCell ref="E2252:H2253"/>
    <mergeCell ref="B2253:D2253"/>
    <mergeCell ref="A2254:B2254"/>
    <mergeCell ref="C2254:D2254"/>
    <mergeCell ref="E2254:H2254"/>
    <mergeCell ref="A2395:B2395"/>
    <mergeCell ref="C2395:D2395"/>
    <mergeCell ref="E2395:H2395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C2399:D2399"/>
    <mergeCell ref="E2399:H2399"/>
    <mergeCell ref="C2400:H2400"/>
    <mergeCell ref="A2401:A2402"/>
    <mergeCell ref="B2401:B2402"/>
    <mergeCell ref="C2401:C2402"/>
    <mergeCell ref="D2401:D2402"/>
    <mergeCell ref="E2401:E2402"/>
    <mergeCell ref="F2401:G2401"/>
    <mergeCell ref="H2401:H2402"/>
    <mergeCell ref="A2425:B2425"/>
    <mergeCell ref="F2425:G2425"/>
    <mergeCell ref="A2426:E2426"/>
    <mergeCell ref="F2426:G2426"/>
    <mergeCell ref="F2427:G2427"/>
    <mergeCell ref="F2428:G2428"/>
    <mergeCell ref="E2429:F2429"/>
    <mergeCell ref="E2430:F2430"/>
    <mergeCell ref="A2431:H2431"/>
    <mergeCell ref="A2432:D2432"/>
    <mergeCell ref="E2432:H2432"/>
    <mergeCell ref="A2433:D2433"/>
    <mergeCell ref="A2434:D2434"/>
    <mergeCell ref="A2435:D2435"/>
    <mergeCell ref="A2436:D2436"/>
    <mergeCell ref="E2436:H2436"/>
    <mergeCell ref="A2440:D2440"/>
    <mergeCell ref="E2440:H2441"/>
    <mergeCell ref="B2441:D2441"/>
    <mergeCell ref="A2442:B2442"/>
    <mergeCell ref="C2442:D2442"/>
    <mergeCell ref="E2442:H2442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E2477:F2477"/>
    <mergeCell ref="A2478:H2478"/>
    <mergeCell ref="A2479:D2479"/>
    <mergeCell ref="E2479:H2479"/>
    <mergeCell ref="A2480:D2480"/>
    <mergeCell ref="A2481:D2481"/>
    <mergeCell ref="A2482:D2482"/>
    <mergeCell ref="A2483:D2483"/>
    <mergeCell ref="E2483:H2483"/>
    <mergeCell ref="C2446:D2446"/>
    <mergeCell ref="E2446:H2446"/>
    <mergeCell ref="C2447:H2447"/>
    <mergeCell ref="A2448:A2449"/>
    <mergeCell ref="B2448:B2449"/>
    <mergeCell ref="C2448:C2449"/>
    <mergeCell ref="D2448:D2449"/>
    <mergeCell ref="E2448:E2449"/>
    <mergeCell ref="F2448:G2448"/>
    <mergeCell ref="H2448:H2449"/>
    <mergeCell ref="A2472:B2472"/>
    <mergeCell ref="F2472:G2472"/>
    <mergeCell ref="A2473:E2473"/>
    <mergeCell ref="F2473:G2473"/>
    <mergeCell ref="F2474:G2474"/>
    <mergeCell ref="F2475:G2475"/>
    <mergeCell ref="E2476:F2476"/>
    <mergeCell ref="A2625:D2625"/>
    <mergeCell ref="E2625:H2626"/>
    <mergeCell ref="B2626:D2626"/>
    <mergeCell ref="A2627:B2627"/>
    <mergeCell ref="C2628:D2628"/>
    <mergeCell ref="E2628:F2628"/>
    <mergeCell ref="A2629:B2629"/>
    <mergeCell ref="C2629:D2629"/>
    <mergeCell ref="E2629:F2629"/>
    <mergeCell ref="A2630:B2631"/>
    <mergeCell ref="C2630:D2630"/>
    <mergeCell ref="E2630:F2630"/>
    <mergeCell ref="C2631:D2631"/>
    <mergeCell ref="E2631:G2631"/>
    <mergeCell ref="A2633:A2634"/>
    <mergeCell ref="B2633:B2634"/>
    <mergeCell ref="C2633:C2634"/>
    <mergeCell ref="D2633:D2634"/>
    <mergeCell ref="E2633:E2634"/>
    <mergeCell ref="F2633:G2633"/>
    <mergeCell ref="H2633:H2634"/>
    <mergeCell ref="C2627:D2627"/>
    <mergeCell ref="E2627:H2627"/>
    <mergeCell ref="A2656:B2656"/>
    <mergeCell ref="F2656:G2656"/>
    <mergeCell ref="A2657:E2657"/>
    <mergeCell ref="F2657:G2657"/>
    <mergeCell ref="F2658:G2658"/>
    <mergeCell ref="A2659:B2659"/>
    <mergeCell ref="F2659:G2659"/>
    <mergeCell ref="E2661:F2661"/>
    <mergeCell ref="E2662:F2662"/>
    <mergeCell ref="A2663:H2663"/>
    <mergeCell ref="A2664:D2664"/>
    <mergeCell ref="E2664:H2664"/>
    <mergeCell ref="A2665:D2665"/>
    <mergeCell ref="A2666:D2666"/>
    <mergeCell ref="E2668:H2668"/>
    <mergeCell ref="A2667:D2667"/>
    <mergeCell ref="A2668:D2668"/>
    <mergeCell ref="A2998:D2998"/>
    <mergeCell ref="E2998:H2999"/>
    <mergeCell ref="B2999:D2999"/>
    <mergeCell ref="A3000:B3000"/>
    <mergeCell ref="C3000:D3000"/>
    <mergeCell ref="E3000:H3000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H3004"/>
    <mergeCell ref="E3035:F3035"/>
    <mergeCell ref="A3036:H3036"/>
    <mergeCell ref="A3037:D3037"/>
    <mergeCell ref="E3037:H3037"/>
    <mergeCell ref="A3038:D3038"/>
    <mergeCell ref="A3039:D3039"/>
    <mergeCell ref="A3040:D3040"/>
    <mergeCell ref="A3041:D3041"/>
    <mergeCell ref="E3041:H3041"/>
    <mergeCell ref="A3005:B3005"/>
    <mergeCell ref="C3005:H3005"/>
    <mergeCell ref="A3006:A3007"/>
    <mergeCell ref="B3006:B3007"/>
    <mergeCell ref="C3006:C3007"/>
    <mergeCell ref="D3006:D3007"/>
    <mergeCell ref="E3006:E3007"/>
    <mergeCell ref="F3006:G3006"/>
    <mergeCell ref="H3006:H3007"/>
    <mergeCell ref="A3030:B3030"/>
    <mergeCell ref="F3030:G3030"/>
    <mergeCell ref="A3031:E3031"/>
    <mergeCell ref="F3031:G3031"/>
    <mergeCell ref="F3032:G3032"/>
    <mergeCell ref="A3033:B3033"/>
    <mergeCell ref="F3033:G3033"/>
    <mergeCell ref="E3034:F3034"/>
    <mergeCell ref="A2702:B2702"/>
    <mergeCell ref="F2702:G2702"/>
    <mergeCell ref="A2703:E2703"/>
    <mergeCell ref="F2703:G2703"/>
    <mergeCell ref="F2704:G2704"/>
    <mergeCell ref="A2705:B2705"/>
    <mergeCell ref="F2705:G2705"/>
    <mergeCell ref="E2707:F2707"/>
    <mergeCell ref="E2708:F2708"/>
    <mergeCell ref="A2709:H2709"/>
    <mergeCell ref="A2710:D2710"/>
    <mergeCell ref="E2710:H2710"/>
    <mergeCell ref="A2711:D2711"/>
    <mergeCell ref="A2712:D2712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G3188"/>
    <mergeCell ref="A3225:D3225"/>
    <mergeCell ref="A3226:D3226"/>
    <mergeCell ref="A3227:D3227"/>
    <mergeCell ref="E3227:H3227"/>
    <mergeCell ref="A3189:B3189"/>
    <mergeCell ref="A3190:A3191"/>
    <mergeCell ref="B3190:B3191"/>
    <mergeCell ref="C3190:C3191"/>
    <mergeCell ref="D3190:D3191"/>
    <mergeCell ref="E3190:E3191"/>
    <mergeCell ref="F3190:G3190"/>
    <mergeCell ref="H3190:H3191"/>
    <mergeCell ref="A3216:B3216"/>
    <mergeCell ref="A3217:D3217"/>
    <mergeCell ref="A3219:C3219"/>
    <mergeCell ref="E3220:F3220"/>
    <mergeCell ref="E3221:F3221"/>
    <mergeCell ref="A3222:G3222"/>
    <mergeCell ref="A3223:D3223"/>
    <mergeCell ref="E3223:H3223"/>
    <mergeCell ref="A3224:D3224"/>
    <mergeCell ref="A3416:D3416"/>
    <mergeCell ref="E3416:H3417"/>
    <mergeCell ref="B3417:D3417"/>
    <mergeCell ref="A3230:D3230"/>
    <mergeCell ref="E3230:H3231"/>
    <mergeCell ref="B3231:D3231"/>
    <mergeCell ref="A3271:D3271"/>
    <mergeCell ref="E3271:H3271"/>
    <mergeCell ref="A3272:D3272"/>
    <mergeCell ref="A3273:D3273"/>
    <mergeCell ref="A3274:D3274"/>
    <mergeCell ref="A3275:D3275"/>
    <mergeCell ref="E3275:H3275"/>
    <mergeCell ref="A3277:D3277"/>
    <mergeCell ref="E3277:H3278"/>
    <mergeCell ref="B3278:D3278"/>
    <mergeCell ref="A3279:B3279"/>
    <mergeCell ref="C3279:D3279"/>
    <mergeCell ref="E3279:H3279"/>
    <mergeCell ref="A3308:B3308"/>
    <mergeCell ref="F3308:G3308"/>
    <mergeCell ref="A3309:E3309"/>
    <mergeCell ref="F3309:G3309"/>
    <mergeCell ref="F3310:G3310"/>
    <mergeCell ref="F3311:G3311"/>
    <mergeCell ref="E3312:F3312"/>
    <mergeCell ref="E3313:F3313"/>
    <mergeCell ref="A3314:H3314"/>
    <mergeCell ref="A3315:D3315"/>
    <mergeCell ref="E3315:H3315"/>
    <mergeCell ref="A3316:D3316"/>
    <mergeCell ref="A3317:D3317"/>
    <mergeCell ref="A3318:D3318"/>
    <mergeCell ref="A3319:D3319"/>
    <mergeCell ref="A3418:B3418"/>
    <mergeCell ref="C3418:D3418"/>
    <mergeCell ref="E3418:H3418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C3422:D3422"/>
    <mergeCell ref="E3422:H3422"/>
    <mergeCell ref="C3423:H3423"/>
    <mergeCell ref="A3424:A3425"/>
    <mergeCell ref="B3424:B3425"/>
    <mergeCell ref="C3424:C3425"/>
    <mergeCell ref="D3424:D3425"/>
    <mergeCell ref="E3424:E3425"/>
    <mergeCell ref="F3424:G3424"/>
    <mergeCell ref="H3424:H3425"/>
    <mergeCell ref="A3447:B3447"/>
    <mergeCell ref="F3447:G3447"/>
    <mergeCell ref="A3448:E3448"/>
    <mergeCell ref="F3448:G3448"/>
    <mergeCell ref="F3449:G3449"/>
    <mergeCell ref="F3450:G3450"/>
    <mergeCell ref="E3451:F3451"/>
    <mergeCell ref="E3452:F3452"/>
    <mergeCell ref="A3453:H3453"/>
    <mergeCell ref="A3454:D3454"/>
    <mergeCell ref="E3454:H3454"/>
    <mergeCell ref="A3455:D3455"/>
    <mergeCell ref="A3456:D3456"/>
    <mergeCell ref="A3457:D3457"/>
    <mergeCell ref="A3458:D3458"/>
    <mergeCell ref="E3458:H3458"/>
    <mergeCell ref="A3461:D3461"/>
    <mergeCell ref="E3461:H3462"/>
    <mergeCell ref="B3462:D3462"/>
    <mergeCell ref="A3463:B3463"/>
    <mergeCell ref="C3463:D3463"/>
    <mergeCell ref="E3463:H3463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C3467:D3467"/>
    <mergeCell ref="E3467:H3467"/>
    <mergeCell ref="C3468:H3468"/>
    <mergeCell ref="A3469:A3470"/>
    <mergeCell ref="B3469:B3470"/>
    <mergeCell ref="C3469:C3470"/>
    <mergeCell ref="D3469:D3470"/>
    <mergeCell ref="E3469:E3470"/>
    <mergeCell ref="F3469:G3469"/>
    <mergeCell ref="H3469:H3470"/>
    <mergeCell ref="A3492:B3492"/>
    <mergeCell ref="F3492:G3492"/>
    <mergeCell ref="A3493:E3493"/>
    <mergeCell ref="F3493:G3493"/>
    <mergeCell ref="F3494:G3494"/>
    <mergeCell ref="F3495:G3495"/>
    <mergeCell ref="E3496:F3496"/>
    <mergeCell ref="E3497:F3497"/>
    <mergeCell ref="A3498:H3498"/>
    <mergeCell ref="A3499:D3499"/>
    <mergeCell ref="E3499:H3499"/>
    <mergeCell ref="A3500:D3500"/>
    <mergeCell ref="A3501:D3501"/>
    <mergeCell ref="A3502:D3502"/>
    <mergeCell ref="A3503:D3503"/>
    <mergeCell ref="E3503:H3503"/>
    <mergeCell ref="A3507:D3507"/>
    <mergeCell ref="E3507:H3508"/>
    <mergeCell ref="B3508:D3508"/>
    <mergeCell ref="A3509:B3509"/>
    <mergeCell ref="C3509:D3509"/>
    <mergeCell ref="E3509:H3509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C3513:D3513"/>
    <mergeCell ref="E3513:H3513"/>
    <mergeCell ref="C3514:H3514"/>
    <mergeCell ref="A3515:A3516"/>
    <mergeCell ref="B3515:B3516"/>
    <mergeCell ref="C3515:C3516"/>
    <mergeCell ref="D3515:D3516"/>
    <mergeCell ref="E3515:E3516"/>
    <mergeCell ref="F3515:G3515"/>
    <mergeCell ref="H3515:H3516"/>
    <mergeCell ref="A3538:B3538"/>
    <mergeCell ref="F3538:G3538"/>
    <mergeCell ref="A3539:E3539"/>
    <mergeCell ref="F3539:G3539"/>
    <mergeCell ref="F3540:G3540"/>
    <mergeCell ref="F3541:G3541"/>
    <mergeCell ref="E3542:F3542"/>
    <mergeCell ref="E3543:F3543"/>
    <mergeCell ref="A3544:H3544"/>
    <mergeCell ref="A3545:D3545"/>
    <mergeCell ref="E3545:H3545"/>
    <mergeCell ref="A3546:D3546"/>
    <mergeCell ref="A3547:D3547"/>
    <mergeCell ref="A3548:D3548"/>
    <mergeCell ref="A3549:D3549"/>
    <mergeCell ref="E3549:H3549"/>
    <mergeCell ref="A3553:D3553"/>
    <mergeCell ref="E3553:H3554"/>
    <mergeCell ref="B3554:D3554"/>
    <mergeCell ref="A3555:B3555"/>
    <mergeCell ref="C3555:D3555"/>
    <mergeCell ref="E3555:H3555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C3559:D3559"/>
    <mergeCell ref="E3559:H3559"/>
    <mergeCell ref="C3560:H3560"/>
    <mergeCell ref="A3561:A3562"/>
    <mergeCell ref="B3561:B3562"/>
    <mergeCell ref="C3561:C3562"/>
    <mergeCell ref="D3561:D3562"/>
    <mergeCell ref="E3561:E3562"/>
    <mergeCell ref="F3561:G3561"/>
    <mergeCell ref="H3561:H3562"/>
    <mergeCell ref="A3606:A3607"/>
    <mergeCell ref="B3606:B3607"/>
    <mergeCell ref="C3606:C3607"/>
    <mergeCell ref="D3606:D3607"/>
    <mergeCell ref="E3606:E3607"/>
    <mergeCell ref="F3606:G3606"/>
    <mergeCell ref="H3606:H3607"/>
    <mergeCell ref="A3584:B3584"/>
    <mergeCell ref="F3584:G3584"/>
    <mergeCell ref="A3585:E3585"/>
    <mergeCell ref="F3585:G3585"/>
    <mergeCell ref="F3586:G3586"/>
    <mergeCell ref="F3587:G3587"/>
    <mergeCell ref="E3588:F3588"/>
    <mergeCell ref="E3589:F3589"/>
    <mergeCell ref="A3590:H3590"/>
    <mergeCell ref="A3591:D3591"/>
    <mergeCell ref="E3591:H3591"/>
    <mergeCell ref="A3592:D3592"/>
    <mergeCell ref="A3593:D3593"/>
    <mergeCell ref="A3594:D3594"/>
    <mergeCell ref="A3595:D3595"/>
    <mergeCell ref="E3595:H3595"/>
    <mergeCell ref="A3598:D3598"/>
    <mergeCell ref="E3598:H3599"/>
    <mergeCell ref="B3599:D3599"/>
    <mergeCell ref="A3625:B3625"/>
    <mergeCell ref="F3625:G3625"/>
    <mergeCell ref="A3626:E3626"/>
    <mergeCell ref="F3626:G3626"/>
    <mergeCell ref="F3627:G3627"/>
    <mergeCell ref="F3628:G3628"/>
    <mergeCell ref="E3629:F3629"/>
    <mergeCell ref="E3630:F3630"/>
    <mergeCell ref="A3631:H3631"/>
    <mergeCell ref="A3632:D3632"/>
    <mergeCell ref="E3632:H3632"/>
    <mergeCell ref="A3633:D3633"/>
    <mergeCell ref="A3634:D3634"/>
    <mergeCell ref="A3635:D3635"/>
    <mergeCell ref="A3636:D3636"/>
    <mergeCell ref="E3636:H3636"/>
    <mergeCell ref="A3600:B3600"/>
    <mergeCell ref="C3600:D3600"/>
    <mergeCell ref="E3600:H3600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H3604"/>
    <mergeCell ref="A3605:B3605"/>
    <mergeCell ref="C3605:H3605"/>
    <mergeCell ref="A3771:B3771"/>
    <mergeCell ref="A3738:D3738"/>
    <mergeCell ref="E3738:H3739"/>
    <mergeCell ref="B3739:D3739"/>
    <mergeCell ref="A3740:B3740"/>
    <mergeCell ref="C3740:D3740"/>
    <mergeCell ref="E3740:H3740"/>
    <mergeCell ref="C3741:D3741"/>
    <mergeCell ref="E3741:F3741"/>
    <mergeCell ref="C3742:D3742"/>
    <mergeCell ref="E3742:F3742"/>
    <mergeCell ref="C3743:D3743"/>
    <mergeCell ref="E3743:F3743"/>
    <mergeCell ref="C3744:D3744"/>
    <mergeCell ref="A3745:B3745"/>
    <mergeCell ref="A3746:A3747"/>
    <mergeCell ref="B3746:B3747"/>
    <mergeCell ref="C3746:C3747"/>
    <mergeCell ref="D3746:D3747"/>
    <mergeCell ref="E3746:E3747"/>
    <mergeCell ref="F3746:G3746"/>
    <mergeCell ref="H3746:H3747"/>
    <mergeCell ref="A3681:H3681"/>
    <mergeCell ref="A3682:D3682"/>
    <mergeCell ref="E3682:H3682"/>
    <mergeCell ref="A3683:D3683"/>
    <mergeCell ref="A3684:D3684"/>
    <mergeCell ref="A3685:D3685"/>
    <mergeCell ref="A3686:D3686"/>
    <mergeCell ref="E3686:H3686"/>
    <mergeCell ref="A3651:B3651"/>
    <mergeCell ref="C3651:H3651"/>
    <mergeCell ref="J3787:K3787"/>
    <mergeCell ref="A3793:A3794"/>
    <mergeCell ref="B3793:B3794"/>
    <mergeCell ref="C3793:C3794"/>
    <mergeCell ref="D3793:D3794"/>
    <mergeCell ref="E3793:E3794"/>
    <mergeCell ref="F3793:G3793"/>
    <mergeCell ref="H3793:H3794"/>
    <mergeCell ref="A3804:B3804"/>
    <mergeCell ref="C3804:E3804"/>
    <mergeCell ref="C3805:E3805"/>
    <mergeCell ref="C3806:E3806"/>
    <mergeCell ref="A3807:B3807"/>
    <mergeCell ref="C3807:E3807"/>
    <mergeCell ref="A3811:B3811"/>
    <mergeCell ref="F3811:G3811"/>
    <mergeCell ref="A3812:E3812"/>
    <mergeCell ref="F3812:G3812"/>
    <mergeCell ref="C4074:C4075"/>
    <mergeCell ref="D4074:D4075"/>
    <mergeCell ref="E4074:E4075"/>
    <mergeCell ref="F4074:G4074"/>
    <mergeCell ref="H4074:H4075"/>
    <mergeCell ref="A4091:C4091"/>
    <mergeCell ref="F4091:G4091"/>
    <mergeCell ref="A4092:E4092"/>
    <mergeCell ref="F4092:G4092"/>
    <mergeCell ref="F4093:G4093"/>
    <mergeCell ref="A4096:C4096"/>
    <mergeCell ref="F4096:G4096"/>
    <mergeCell ref="A4101:D4101"/>
    <mergeCell ref="E4097:G4097"/>
    <mergeCell ref="E4100:G4100"/>
    <mergeCell ref="E4098:G4098"/>
    <mergeCell ref="E4099:G4099"/>
    <mergeCell ref="F4094:G4094"/>
    <mergeCell ref="F4095:G4095"/>
    <mergeCell ref="F4083:G4083"/>
    <mergeCell ref="A3827:B3827"/>
    <mergeCell ref="C3827:D3827"/>
    <mergeCell ref="E3827:H3827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G3831"/>
    <mergeCell ref="F3910:G3910"/>
    <mergeCell ref="A3911:B3911"/>
    <mergeCell ref="F3911:G3911"/>
    <mergeCell ref="E3913:F3913"/>
    <mergeCell ref="E3914:F3914"/>
    <mergeCell ref="A3915:H3915"/>
    <mergeCell ref="A3916:D3916"/>
    <mergeCell ref="E3916:H3916"/>
    <mergeCell ref="A3917:D3917"/>
    <mergeCell ref="A3918:D3918"/>
    <mergeCell ref="A3919:D3919"/>
    <mergeCell ref="A3920:D3920"/>
    <mergeCell ref="E4110:H4110"/>
    <mergeCell ref="C4111:D4111"/>
    <mergeCell ref="E4111:F4111"/>
    <mergeCell ref="A4140:E4140"/>
    <mergeCell ref="F4140:G4140"/>
    <mergeCell ref="F4141:G4141"/>
    <mergeCell ref="A4142:B4142"/>
    <mergeCell ref="F4142:G4142"/>
    <mergeCell ref="E4144:F4144"/>
    <mergeCell ref="E4145:F4145"/>
    <mergeCell ref="A4146:H4146"/>
    <mergeCell ref="A4147:D4147"/>
    <mergeCell ref="E4147:H4147"/>
    <mergeCell ref="A4148:D4148"/>
    <mergeCell ref="A4149:D4149"/>
    <mergeCell ref="A4150:D4150"/>
    <mergeCell ref="A4151:D4151"/>
    <mergeCell ref="E4151:H4151"/>
    <mergeCell ref="A4115:B4115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G4114"/>
    <mergeCell ref="A4116:A4117"/>
    <mergeCell ref="B4116:B4117"/>
    <mergeCell ref="C4116:C4117"/>
    <mergeCell ref="D4116:D4117"/>
    <mergeCell ref="E4116:E4117"/>
    <mergeCell ref="F4116:G4116"/>
    <mergeCell ref="H4116:H4117"/>
    <mergeCell ref="A4172:A4173"/>
    <mergeCell ref="B4172:B4173"/>
    <mergeCell ref="C4172:C4173"/>
    <mergeCell ref="D4172:D4173"/>
    <mergeCell ref="E4172:E4173"/>
    <mergeCell ref="F4172:G4172"/>
    <mergeCell ref="H4172:H4173"/>
    <mergeCell ref="A4194:C4194"/>
    <mergeCell ref="F4194:G4194"/>
    <mergeCell ref="A4195:E4195"/>
    <mergeCell ref="F4195:G4195"/>
    <mergeCell ref="F4196:G4196"/>
    <mergeCell ref="A4197:C4197"/>
    <mergeCell ref="D4498:D4499"/>
    <mergeCell ref="E4498:E4499"/>
    <mergeCell ref="F4498:G4498"/>
    <mergeCell ref="H4498:H4499"/>
    <mergeCell ref="C4305:D4305"/>
    <mergeCell ref="E4305:F4305"/>
    <mergeCell ref="C4264:C4265"/>
    <mergeCell ref="D4264:D4265"/>
    <mergeCell ref="E4264:E4265"/>
    <mergeCell ref="F4264:G4264"/>
    <mergeCell ref="H4264:H4265"/>
    <mergeCell ref="A4213:B4213"/>
    <mergeCell ref="C4213:D4213"/>
    <mergeCell ref="E4213:F4213"/>
    <mergeCell ref="A4214:B4214"/>
    <mergeCell ref="C4214:D4214"/>
    <mergeCell ref="E4214:H4214"/>
    <mergeCell ref="A4215:B4215"/>
    <mergeCell ref="C4215:H4215"/>
    <mergeCell ref="A4216:A4217"/>
    <mergeCell ref="B4216:B4217"/>
    <mergeCell ref="C4216:C4217"/>
    <mergeCell ref="D4216:D4217"/>
    <mergeCell ref="E4216:E4217"/>
    <mergeCell ref="F4216:G4216"/>
    <mergeCell ref="H4216:H4217"/>
    <mergeCell ref="A4242:C4242"/>
    <mergeCell ref="F4242:G4242"/>
    <mergeCell ref="A4243:E4243"/>
    <mergeCell ref="A4356:B4356"/>
    <mergeCell ref="A4357:A4358"/>
    <mergeCell ref="B4357:B4358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G4450"/>
    <mergeCell ref="A4451:B4451"/>
    <mergeCell ref="A4452:A4453"/>
    <mergeCell ref="B4452:B4453"/>
    <mergeCell ref="C4452:C4453"/>
    <mergeCell ref="D4452:D4453"/>
    <mergeCell ref="E4452:E4453"/>
    <mergeCell ref="F4452:G4452"/>
    <mergeCell ref="H4452:H4453"/>
    <mergeCell ref="A4475:B4475"/>
    <mergeCell ref="A4537:B4537"/>
    <mergeCell ref="C4537:D4537"/>
    <mergeCell ref="E4537:H4537"/>
    <mergeCell ref="A4582:D4582"/>
    <mergeCell ref="E4582:H4583"/>
    <mergeCell ref="B4583:D4583"/>
    <mergeCell ref="A4584:B4584"/>
    <mergeCell ref="C4584:D4584"/>
    <mergeCell ref="E4584:H4584"/>
    <mergeCell ref="A4487:D4487"/>
    <mergeCell ref="E4487:H4487"/>
    <mergeCell ref="A4490:D4490"/>
    <mergeCell ref="E4490:H4491"/>
    <mergeCell ref="B4491:D4491"/>
    <mergeCell ref="A4492:B4492"/>
    <mergeCell ref="C4492:D4492"/>
    <mergeCell ref="E4492:H4492"/>
    <mergeCell ref="C4493:D4493"/>
    <mergeCell ref="E4493:F4493"/>
    <mergeCell ref="A4494:B4494"/>
    <mergeCell ref="C4494:D4494"/>
    <mergeCell ref="E4494:F4494"/>
    <mergeCell ref="F4522:G4522"/>
    <mergeCell ref="F4523:G4523"/>
    <mergeCell ref="E4524:F4524"/>
    <mergeCell ref="E4525:F4525"/>
    <mergeCell ref="A4526:H4526"/>
    <mergeCell ref="A4527:D4527"/>
    <mergeCell ref="E4527:H4527"/>
    <mergeCell ref="A4528:D4528"/>
    <mergeCell ref="A4529:D4529"/>
    <mergeCell ref="A4530:D4530"/>
    <mergeCell ref="A4531:D4531"/>
    <mergeCell ref="E4531:H4531"/>
    <mergeCell ref="A4495:B4495"/>
    <mergeCell ref="C4495:D4495"/>
    <mergeCell ref="E4495:F4495"/>
    <mergeCell ref="A4496:B4496"/>
    <mergeCell ref="C4496:D4496"/>
    <mergeCell ref="E4496:H4496"/>
    <mergeCell ref="A4497:B4497"/>
    <mergeCell ref="C4497:H4497"/>
    <mergeCell ref="A4498:A4499"/>
    <mergeCell ref="B4498:B4499"/>
    <mergeCell ref="C4498:C4499"/>
    <mergeCell ref="C4585:D4585"/>
    <mergeCell ref="E4585:F4585"/>
    <mergeCell ref="A4586:B4586"/>
    <mergeCell ref="C4586:D4586"/>
    <mergeCell ref="E4586:F4586"/>
    <mergeCell ref="A4543:B4543"/>
    <mergeCell ref="C4543:D4543"/>
    <mergeCell ref="E4543:H4543"/>
    <mergeCell ref="A4544:A4545"/>
    <mergeCell ref="B4544:B4545"/>
    <mergeCell ref="C4544:C4545"/>
    <mergeCell ref="D4544:D4545"/>
    <mergeCell ref="E4544:E4545"/>
    <mergeCell ref="F4544:G4544"/>
    <mergeCell ref="H4544:H4545"/>
    <mergeCell ref="A4568:B4568"/>
    <mergeCell ref="A4569:D4569"/>
    <mergeCell ref="A4571:C4571"/>
    <mergeCell ref="A4615:E4615"/>
    <mergeCell ref="F4615:G4615"/>
    <mergeCell ref="F4616:G4616"/>
    <mergeCell ref="F4617:G4617"/>
    <mergeCell ref="E4618:F4618"/>
    <mergeCell ref="E4619:F4619"/>
    <mergeCell ref="A4620:H4620"/>
    <mergeCell ref="A4621:D4621"/>
    <mergeCell ref="E4621:H4621"/>
    <mergeCell ref="A4622:D4622"/>
    <mergeCell ref="A4623:D4623"/>
    <mergeCell ref="A4624:D4624"/>
    <mergeCell ref="A4625:D4625"/>
    <mergeCell ref="E4625:H4625"/>
    <mergeCell ref="A4587:B4587"/>
    <mergeCell ref="C4587:D4587"/>
    <mergeCell ref="E4587:F4587"/>
    <mergeCell ref="A4588:B4588"/>
    <mergeCell ref="C4588:D4588"/>
    <mergeCell ref="E4588:H4588"/>
    <mergeCell ref="A4589:B4589"/>
    <mergeCell ref="C4589:H4589"/>
    <mergeCell ref="A4590:A4591"/>
    <mergeCell ref="B4590:B4591"/>
    <mergeCell ref="C4590:C4591"/>
    <mergeCell ref="D4590:D4591"/>
    <mergeCell ref="E4590:E4591"/>
    <mergeCell ref="F4590:G4590"/>
    <mergeCell ref="H4590:H4591"/>
    <mergeCell ref="A4614:B4614"/>
    <mergeCell ref="F4614:G4614"/>
    <mergeCell ref="E4572:F4572"/>
    <mergeCell ref="E4573:F4573"/>
    <mergeCell ref="A4574:E4574"/>
    <mergeCell ref="A4575:D4575"/>
    <mergeCell ref="E4575:H4575"/>
    <mergeCell ref="A4577:D4577"/>
    <mergeCell ref="A4578:D4578"/>
    <mergeCell ref="A4579:D4579"/>
    <mergeCell ref="E4579:H4579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H4634"/>
    <mergeCell ref="A4635:B4635"/>
    <mergeCell ref="C4635:H4635"/>
    <mergeCell ref="A4636:A4637"/>
    <mergeCell ref="B4636:B4637"/>
    <mergeCell ref="C4636:C4637"/>
    <mergeCell ref="D4636:D4637"/>
    <mergeCell ref="E4636:E4637"/>
    <mergeCell ref="F4636:G4636"/>
    <mergeCell ref="H4636:H4637"/>
    <mergeCell ref="A4672:D4672"/>
    <mergeCell ref="E4672:H4673"/>
    <mergeCell ref="B4673:D4673"/>
    <mergeCell ref="A4674:B4674"/>
    <mergeCell ref="C4674:D4674"/>
    <mergeCell ref="E4674:H4674"/>
    <mergeCell ref="C4675:D4675"/>
    <mergeCell ref="E4675:F4675"/>
    <mergeCell ref="A4676:B4676"/>
    <mergeCell ref="C4676:D4676"/>
    <mergeCell ref="E4676:F4676"/>
    <mergeCell ref="A4677:B4677"/>
    <mergeCell ref="C4677:D4677"/>
    <mergeCell ref="A4769:B4769"/>
    <mergeCell ref="C4769:D4769"/>
    <mergeCell ref="E4769:F4769"/>
    <mergeCell ref="E4677:F4677"/>
    <mergeCell ref="A4678:B4678"/>
    <mergeCell ref="C4678:D4678"/>
    <mergeCell ref="E4678:H4678"/>
    <mergeCell ref="A4658:C4658"/>
    <mergeCell ref="F4658:G4658"/>
    <mergeCell ref="A4659:E4659"/>
    <mergeCell ref="F4659:G4659"/>
    <mergeCell ref="F4660:G4660"/>
    <mergeCell ref="A4661:D4661"/>
    <mergeCell ref="F4661:G4661"/>
    <mergeCell ref="E4662:F4662"/>
    <mergeCell ref="E4663:F4663"/>
    <mergeCell ref="A4664:H4664"/>
    <mergeCell ref="A4665:D4665"/>
    <mergeCell ref="E4665:H4665"/>
    <mergeCell ref="A4666:D4666"/>
    <mergeCell ref="A4667:D4667"/>
    <mergeCell ref="A4668:D4668"/>
    <mergeCell ref="A4669:D4669"/>
    <mergeCell ref="E4669:H4669"/>
    <mergeCell ref="E4710:F4710"/>
    <mergeCell ref="A4711:H4711"/>
    <mergeCell ref="A4712:D4712"/>
    <mergeCell ref="E4712:H4712"/>
    <mergeCell ref="A4713:D4713"/>
    <mergeCell ref="A4714:D4714"/>
    <mergeCell ref="A4715:D4715"/>
    <mergeCell ref="A4716:D4716"/>
    <mergeCell ref="E4716:H4716"/>
    <mergeCell ref="E4772:E4773"/>
    <mergeCell ref="F4772:G4772"/>
    <mergeCell ref="H4772:H4773"/>
    <mergeCell ref="A4783:B4783"/>
    <mergeCell ref="C4783:E4783"/>
    <mergeCell ref="C4784:E4784"/>
    <mergeCell ref="C4785:E4785"/>
    <mergeCell ref="A4786:B4786"/>
    <mergeCell ref="C4786:E4786"/>
    <mergeCell ref="A4790:B4790"/>
    <mergeCell ref="F4790:G4790"/>
    <mergeCell ref="A4791:E4791"/>
    <mergeCell ref="F4791:G4791"/>
    <mergeCell ref="A4811:D4811"/>
    <mergeCell ref="E4811:H4812"/>
    <mergeCell ref="B4812:D4812"/>
    <mergeCell ref="A4813:B4813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H4817"/>
    <mergeCell ref="A4818:B4818"/>
    <mergeCell ref="C4818:H4818"/>
    <mergeCell ref="A4851:D4851"/>
    <mergeCell ref="E4851:H4851"/>
    <mergeCell ref="A4852:D4852"/>
    <mergeCell ref="C4772:C4773"/>
    <mergeCell ref="D4772:D4773"/>
    <mergeCell ref="A4853:D4853"/>
    <mergeCell ref="A4854:D4854"/>
    <mergeCell ref="A4855:D4855"/>
    <mergeCell ref="E4855:H4855"/>
    <mergeCell ref="C4813:D4813"/>
    <mergeCell ref="E4813:H4813"/>
    <mergeCell ref="A4819:A4820"/>
    <mergeCell ref="B4819:B4820"/>
    <mergeCell ref="C4819:C4820"/>
    <mergeCell ref="D4819:D4820"/>
    <mergeCell ref="E4819:E4820"/>
    <mergeCell ref="F4819:G4819"/>
    <mergeCell ref="H4819:H4820"/>
    <mergeCell ref="A4844:C4844"/>
    <mergeCell ref="F4844:G4844"/>
    <mergeCell ref="A4845:E4845"/>
    <mergeCell ref="F4845:G4845"/>
    <mergeCell ref="F4846:G4846"/>
    <mergeCell ref="A4847:B4847"/>
    <mergeCell ref="F4847:G4847"/>
    <mergeCell ref="E4848:F4848"/>
    <mergeCell ref="E4849:F4849"/>
    <mergeCell ref="A4850:H4850"/>
    <mergeCell ref="F5007:G5007"/>
    <mergeCell ref="H5007:H5008"/>
    <mergeCell ref="F5055:G5055"/>
    <mergeCell ref="H5055:H5056"/>
    <mergeCell ref="A5033:C5033"/>
    <mergeCell ref="A5035:B5035"/>
    <mergeCell ref="A5039:D5039"/>
    <mergeCell ref="A5040:D5040"/>
    <mergeCell ref="F5040:G5042"/>
    <mergeCell ref="A5041:D5041"/>
    <mergeCell ref="A5042:D5042"/>
    <mergeCell ref="A5043:D5043"/>
    <mergeCell ref="E5036:F5036"/>
    <mergeCell ref="A5047:D5047"/>
    <mergeCell ref="E5047:H5048"/>
    <mergeCell ref="B5048:D5048"/>
    <mergeCell ref="A5049:B5049"/>
    <mergeCell ref="C5049:D5049"/>
    <mergeCell ref="E5049:H5049"/>
    <mergeCell ref="C5050:D5050"/>
    <mergeCell ref="E5050:F5050"/>
    <mergeCell ref="A4891:C4891"/>
    <mergeCell ref="F4891:G4891"/>
    <mergeCell ref="A4892:E4892"/>
    <mergeCell ref="F4892:G4892"/>
    <mergeCell ref="F4893:G4893"/>
    <mergeCell ref="A4894:B4894"/>
    <mergeCell ref="F4894:G4894"/>
    <mergeCell ref="E4895:F4895"/>
    <mergeCell ref="A4859:D4859"/>
    <mergeCell ref="E4859:H4860"/>
    <mergeCell ref="B4860:D4860"/>
    <mergeCell ref="A4861:B4861"/>
    <mergeCell ref="C4861:D4861"/>
    <mergeCell ref="E4861:H4861"/>
    <mergeCell ref="C4862:D4862"/>
    <mergeCell ref="E4862:F4862"/>
    <mergeCell ref="A4863:B4863"/>
    <mergeCell ref="C4863:D4863"/>
    <mergeCell ref="E4863:F4863"/>
    <mergeCell ref="A4864:B4864"/>
    <mergeCell ref="A5079:B5079"/>
    <mergeCell ref="F5079:G5079"/>
    <mergeCell ref="A5080:E5080"/>
    <mergeCell ref="F5080:G5080"/>
    <mergeCell ref="F5081:G5081"/>
    <mergeCell ref="F5082:G5082"/>
    <mergeCell ref="E5083:F5083"/>
    <mergeCell ref="E5084:F5084"/>
    <mergeCell ref="A5085:H5085"/>
    <mergeCell ref="A5086:D5086"/>
    <mergeCell ref="E5086:H5086"/>
    <mergeCell ref="A5087:D5087"/>
    <mergeCell ref="A5088:D5088"/>
    <mergeCell ref="A5089:D5089"/>
    <mergeCell ref="A5090:D5090"/>
    <mergeCell ref="E5090:H509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H5053"/>
    <mergeCell ref="A5054:B5054"/>
    <mergeCell ref="C5054:H5054"/>
    <mergeCell ref="A5055:A5056"/>
    <mergeCell ref="B5055:B5056"/>
    <mergeCell ref="C5055:C5056"/>
    <mergeCell ref="D5055:D5056"/>
    <mergeCell ref="E5055:E5056"/>
    <mergeCell ref="A5140:D5140"/>
    <mergeCell ref="E5140:H5141"/>
    <mergeCell ref="B5141:D5141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G5146"/>
    <mergeCell ref="A5142:B5142"/>
    <mergeCell ref="C5142:D5142"/>
    <mergeCell ref="E5142:H5142"/>
    <mergeCell ref="A5094:D5094"/>
    <mergeCell ref="E5094:H5095"/>
    <mergeCell ref="B5095:D5095"/>
    <mergeCell ref="A5096:B5096"/>
    <mergeCell ref="C5096:D5096"/>
    <mergeCell ref="E5096:H5096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H5100"/>
    <mergeCell ref="E5272:F5272"/>
    <mergeCell ref="H5289:H5290"/>
    <mergeCell ref="E5273:F5273"/>
    <mergeCell ref="A5274:H5274"/>
    <mergeCell ref="A5275:D5275"/>
    <mergeCell ref="E5275:H5275"/>
    <mergeCell ref="A5276:D5276"/>
    <mergeCell ref="A5277:D5277"/>
    <mergeCell ref="A5278:D5278"/>
    <mergeCell ref="A5279:D5279"/>
    <mergeCell ref="E5279:H5279"/>
    <mergeCell ref="A5281:D5281"/>
    <mergeCell ref="E5281:H5282"/>
    <mergeCell ref="B5282:D5282"/>
    <mergeCell ref="A5283:B5283"/>
    <mergeCell ref="C5283:D5283"/>
    <mergeCell ref="E5283:H5283"/>
    <mergeCell ref="C5284:D5284"/>
    <mergeCell ref="E5284:F5284"/>
    <mergeCell ref="F5172:G5172"/>
    <mergeCell ref="F5173:G5173"/>
    <mergeCell ref="F5174:G5174"/>
    <mergeCell ref="E5175:F5175"/>
    <mergeCell ref="E5176:F5176"/>
    <mergeCell ref="A5177:H5177"/>
    <mergeCell ref="A5178:D5178"/>
    <mergeCell ref="E5178:H5178"/>
    <mergeCell ref="A5179:D5179"/>
    <mergeCell ref="A5180:D5180"/>
    <mergeCell ref="A5181:D5181"/>
    <mergeCell ref="A5182:D5182"/>
    <mergeCell ref="E5182:H5182"/>
    <mergeCell ref="D5243:D5244"/>
    <mergeCell ref="F5309:G5309"/>
    <mergeCell ref="A5310:E5310"/>
    <mergeCell ref="F5310:G5310"/>
    <mergeCell ref="F5311:G5311"/>
    <mergeCell ref="F5312:G5312"/>
    <mergeCell ref="E5313:F5313"/>
    <mergeCell ref="E5314:F5314"/>
    <mergeCell ref="A5315:H5315"/>
    <mergeCell ref="A5316:D5316"/>
    <mergeCell ref="E5316:H5316"/>
    <mergeCell ref="A5317:D5317"/>
    <mergeCell ref="A5318:D5318"/>
    <mergeCell ref="A5319:D5319"/>
    <mergeCell ref="A5320:D5320"/>
    <mergeCell ref="E5320:H5320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H5287"/>
    <mergeCell ref="A5288:B5288"/>
    <mergeCell ref="C5288:H5288"/>
    <mergeCell ref="A5289:A5290"/>
    <mergeCell ref="B5289:B5290"/>
    <mergeCell ref="C5289:C5290"/>
    <mergeCell ref="D5289:D5290"/>
    <mergeCell ref="E5289:E5290"/>
    <mergeCell ref="F5289:G5289"/>
    <mergeCell ref="A5324:D5324"/>
    <mergeCell ref="E5324:H5325"/>
    <mergeCell ref="B5325:D5325"/>
    <mergeCell ref="A5326:B5326"/>
    <mergeCell ref="C5326:D5326"/>
    <mergeCell ref="E5326:H5326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H5330"/>
    <mergeCell ref="A5331:B5331"/>
    <mergeCell ref="C5331:H5331"/>
    <mergeCell ref="A5332:A5333"/>
    <mergeCell ref="B5332:B5333"/>
    <mergeCell ref="C5332:C5333"/>
    <mergeCell ref="D5332:D5333"/>
    <mergeCell ref="E5332:E5333"/>
    <mergeCell ref="F5332:G5332"/>
    <mergeCell ref="H5332:H5333"/>
    <mergeCell ref="A5356:B5356"/>
    <mergeCell ref="F5356:G5356"/>
    <mergeCell ref="A5357:E5357"/>
    <mergeCell ref="F5357:G5357"/>
    <mergeCell ref="F5358:G5358"/>
    <mergeCell ref="A5359:B5359"/>
    <mergeCell ref="F5359:G5359"/>
    <mergeCell ref="E5360:F5360"/>
    <mergeCell ref="E5361:F5361"/>
    <mergeCell ref="A5362:H5362"/>
    <mergeCell ref="A5363:D5363"/>
    <mergeCell ref="E5363:H5363"/>
    <mergeCell ref="A5364:D5364"/>
    <mergeCell ref="A5365:D5365"/>
    <mergeCell ref="A5366:D5366"/>
    <mergeCell ref="A5367:D5367"/>
    <mergeCell ref="E5367:H5367"/>
    <mergeCell ref="A5371:D5371"/>
    <mergeCell ref="E5371:H5372"/>
    <mergeCell ref="B5372:D5372"/>
    <mergeCell ref="A5373:B5373"/>
    <mergeCell ref="C5373:D5373"/>
    <mergeCell ref="E5373:H5373"/>
    <mergeCell ref="C5374:D5374"/>
    <mergeCell ref="E5374:F5374"/>
    <mergeCell ref="A5404:E5404"/>
    <mergeCell ref="F5404:G5404"/>
    <mergeCell ref="F5405:G5405"/>
    <mergeCell ref="F5406:G5406"/>
    <mergeCell ref="E5407:F5407"/>
    <mergeCell ref="E5408:F5408"/>
    <mergeCell ref="A5409:H5409"/>
    <mergeCell ref="A5410:D5410"/>
    <mergeCell ref="E5410:H5410"/>
    <mergeCell ref="A5411:D5411"/>
    <mergeCell ref="A5412:D5412"/>
    <mergeCell ref="A5413:D5413"/>
    <mergeCell ref="A5414:D5414"/>
    <mergeCell ref="E5414:H5414"/>
    <mergeCell ref="A5375:B5375"/>
    <mergeCell ref="C5375:D5375"/>
    <mergeCell ref="E5375:F5375"/>
    <mergeCell ref="A5376:B5376"/>
    <mergeCell ref="C5376:D5376"/>
    <mergeCell ref="E5376:F5376"/>
    <mergeCell ref="C5377:D5377"/>
    <mergeCell ref="E5377:H5377"/>
    <mergeCell ref="C5378:H5378"/>
    <mergeCell ref="A5379:A5380"/>
    <mergeCell ref="B5379:B5380"/>
    <mergeCell ref="C5379:C5380"/>
    <mergeCell ref="D5379:D5380"/>
    <mergeCell ref="E5379:E5380"/>
    <mergeCell ref="F5379:G5379"/>
    <mergeCell ref="H5379:H5380"/>
    <mergeCell ref="A5403:B5403"/>
    <mergeCell ref="F5403:G5403"/>
    <mergeCell ref="A5418:D5418"/>
    <mergeCell ref="E5418:H5419"/>
    <mergeCell ref="B5419:D5419"/>
    <mergeCell ref="A5420:B5420"/>
    <mergeCell ref="D5420:E5420"/>
    <mergeCell ref="C5421:D5421"/>
    <mergeCell ref="E5421:F5421"/>
    <mergeCell ref="C5422:D5422"/>
    <mergeCell ref="E5422:F5422"/>
    <mergeCell ref="A5423:B5423"/>
    <mergeCell ref="C5423:D5423"/>
    <mergeCell ref="E5423:F5423"/>
    <mergeCell ref="A5424:B5424"/>
    <mergeCell ref="C5424:D5424"/>
    <mergeCell ref="E5424:G5424"/>
    <mergeCell ref="A5425:B5425"/>
    <mergeCell ref="C5425:H5425"/>
    <mergeCell ref="F5446:G5446"/>
    <mergeCell ref="F5447:G5447"/>
    <mergeCell ref="E5448:F5448"/>
    <mergeCell ref="E5449:F5449"/>
    <mergeCell ref="A5450:H5450"/>
    <mergeCell ref="A5451:D5451"/>
    <mergeCell ref="E5451:H5451"/>
    <mergeCell ref="A5452:D5452"/>
    <mergeCell ref="A5453:D5453"/>
    <mergeCell ref="A5454:D5454"/>
    <mergeCell ref="A5455:D5455"/>
    <mergeCell ref="E5455:H5455"/>
    <mergeCell ref="A5426:A5427"/>
    <mergeCell ref="B5426:B5427"/>
    <mergeCell ref="C5426:C5427"/>
    <mergeCell ref="D5426:D5427"/>
    <mergeCell ref="E5426:E5427"/>
    <mergeCell ref="F5426:G5426"/>
    <mergeCell ref="H5426:H5427"/>
    <mergeCell ref="A5437:B5437"/>
    <mergeCell ref="C5437:E5437"/>
    <mergeCell ref="C5438:E5438"/>
    <mergeCell ref="C5439:E5439"/>
    <mergeCell ref="A5440:B5440"/>
    <mergeCell ref="C5440:E5440"/>
    <mergeCell ref="A5444:B5444"/>
    <mergeCell ref="F5444:G5444"/>
    <mergeCell ref="A5445:E5445"/>
    <mergeCell ref="F5445:G5445"/>
    <mergeCell ref="A5933:D5933"/>
    <mergeCell ref="E5933:H5934"/>
    <mergeCell ref="B5934:D5934"/>
    <mergeCell ref="A5610:B5610"/>
    <mergeCell ref="C5610:D5610"/>
    <mergeCell ref="E5610:F5610"/>
    <mergeCell ref="A5611:B5611"/>
    <mergeCell ref="C5611:D5611"/>
    <mergeCell ref="E5611:F5611"/>
    <mergeCell ref="C5612:D5612"/>
    <mergeCell ref="E5612:H5612"/>
    <mergeCell ref="C5613:H5613"/>
    <mergeCell ref="A5614:A5615"/>
    <mergeCell ref="B5614:B5615"/>
    <mergeCell ref="C5614:C5615"/>
    <mergeCell ref="D5614:D5615"/>
    <mergeCell ref="E5614:E5615"/>
    <mergeCell ref="F5614:G5614"/>
    <mergeCell ref="H5614:H5615"/>
    <mergeCell ref="A5638:B5638"/>
    <mergeCell ref="F5638:G5638"/>
    <mergeCell ref="A5700:B5700"/>
    <mergeCell ref="C5700:D5700"/>
    <mergeCell ref="E5700:H5700"/>
    <mergeCell ref="C5701:D5701"/>
    <mergeCell ref="E5701:F5701"/>
    <mergeCell ref="A5702:B5702"/>
    <mergeCell ref="C5702:D5702"/>
    <mergeCell ref="E5702:F5702"/>
    <mergeCell ref="A5703:B5703"/>
    <mergeCell ref="C5703:D5703"/>
    <mergeCell ref="C5704:D5704"/>
    <mergeCell ref="A5645:D5645"/>
    <mergeCell ref="E5645:H5645"/>
    <mergeCell ref="A5646:D5646"/>
    <mergeCell ref="A5647:D5647"/>
    <mergeCell ref="A5648:D5648"/>
    <mergeCell ref="A5649:D5649"/>
    <mergeCell ref="E5649:H5649"/>
    <mergeCell ref="A5652:D5652"/>
    <mergeCell ref="E5652:H5653"/>
    <mergeCell ref="B5653:D5653"/>
    <mergeCell ref="A5747:B5747"/>
    <mergeCell ref="C5747:D5747"/>
    <mergeCell ref="E5747:F5747"/>
    <mergeCell ref="A5748:B5748"/>
    <mergeCell ref="C5748:D5748"/>
    <mergeCell ref="E5748:F5748"/>
    <mergeCell ref="B5751:B5752"/>
    <mergeCell ref="A5683:B5683"/>
    <mergeCell ref="F5683:G5683"/>
    <mergeCell ref="A5684:E5684"/>
    <mergeCell ref="F5684:G5684"/>
    <mergeCell ref="F5685:G5685"/>
    <mergeCell ref="F5686:G5686"/>
    <mergeCell ref="E5687:F5687"/>
    <mergeCell ref="E5688:F5688"/>
    <mergeCell ref="A5689:H5689"/>
    <mergeCell ref="A5690:D5690"/>
    <mergeCell ref="E5690:H5690"/>
    <mergeCell ref="A5691:D5691"/>
    <mergeCell ref="A5692:D5692"/>
    <mergeCell ref="A5693:D5693"/>
    <mergeCell ref="A5694:D5694"/>
    <mergeCell ref="A5935:B5935"/>
    <mergeCell ref="C5935:D5935"/>
    <mergeCell ref="E5935:H5935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C5939:D5939"/>
    <mergeCell ref="E5939:H5939"/>
    <mergeCell ref="C5940:H5940"/>
    <mergeCell ref="A5973:D5973"/>
    <mergeCell ref="A5974:D5974"/>
    <mergeCell ref="A5975:D5975"/>
    <mergeCell ref="A5976:D5976"/>
    <mergeCell ref="E5976:H5976"/>
    <mergeCell ref="A5941:A5942"/>
    <mergeCell ref="B5941:B5942"/>
    <mergeCell ref="C5941:C5942"/>
    <mergeCell ref="D5941:D5942"/>
    <mergeCell ref="E5941:E5942"/>
    <mergeCell ref="F5941:G5941"/>
    <mergeCell ref="H5941:H5942"/>
    <mergeCell ref="A5965:B5965"/>
    <mergeCell ref="F5965:G5965"/>
    <mergeCell ref="A5966:E5966"/>
    <mergeCell ref="F5966:G5966"/>
    <mergeCell ref="F5967:G5967"/>
    <mergeCell ref="F5968:G5968"/>
    <mergeCell ref="E5969:F5969"/>
    <mergeCell ref="E5970:F5970"/>
    <mergeCell ref="A5971:H5971"/>
    <mergeCell ref="A5972:D5972"/>
    <mergeCell ref="E5972:H5972"/>
    <mergeCell ref="A6112:D6112"/>
    <mergeCell ref="E6112:H6113"/>
    <mergeCell ref="B6113:D6113"/>
    <mergeCell ref="A6114:B6114"/>
    <mergeCell ref="C6114:D6114"/>
    <mergeCell ref="E6114:H6114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C6118:D6118"/>
    <mergeCell ref="E6118:G6118"/>
    <mergeCell ref="A6120:A6121"/>
    <mergeCell ref="B6120:B6121"/>
    <mergeCell ref="C6120:C6121"/>
    <mergeCell ref="D6120:D6121"/>
    <mergeCell ref="E6120:E6121"/>
    <mergeCell ref="F6120:G6120"/>
    <mergeCell ref="H6120:H6121"/>
    <mergeCell ref="A6118:B6118"/>
    <mergeCell ref="A6142:B6142"/>
    <mergeCell ref="F6142:G6142"/>
    <mergeCell ref="A6143:E6143"/>
    <mergeCell ref="F6143:G6143"/>
    <mergeCell ref="F6144:G6144"/>
    <mergeCell ref="A6145:B6145"/>
    <mergeCell ref="F6145:G6145"/>
    <mergeCell ref="E6147:F6147"/>
    <mergeCell ref="E6148:F6148"/>
    <mergeCell ref="A6149:H6149"/>
    <mergeCell ref="A6150:D6150"/>
    <mergeCell ref="E6150:H6150"/>
    <mergeCell ref="A6151:D6151"/>
    <mergeCell ref="A6152:D6152"/>
    <mergeCell ref="A6153:D6153"/>
    <mergeCell ref="A6154:D6154"/>
    <mergeCell ref="E6154:H6154"/>
    <mergeCell ref="E6298:G6298"/>
    <mergeCell ref="A6300:A6301"/>
    <mergeCell ref="B6300:B6301"/>
    <mergeCell ref="C6300:C6301"/>
    <mergeCell ref="D6300:D6301"/>
    <mergeCell ref="E6300:E6301"/>
    <mergeCell ref="F6300:G6300"/>
    <mergeCell ref="H6300:H6301"/>
    <mergeCell ref="A6298:B6298"/>
    <mergeCell ref="A6323:B6323"/>
    <mergeCell ref="F6323:G6323"/>
    <mergeCell ref="A6324:E6324"/>
    <mergeCell ref="F6324:G6324"/>
    <mergeCell ref="F6325:G6325"/>
    <mergeCell ref="A6326:B6326"/>
    <mergeCell ref="F6326:G6326"/>
    <mergeCell ref="E6328:F6328"/>
    <mergeCell ref="E6329:F6329"/>
    <mergeCell ref="A6330:H6330"/>
    <mergeCell ref="A6331:D6331"/>
    <mergeCell ref="E6331:H6331"/>
    <mergeCell ref="A6332:D6332"/>
    <mergeCell ref="A6333:D6333"/>
    <mergeCell ref="A6334:D6334"/>
    <mergeCell ref="A6335:D6335"/>
    <mergeCell ref="E6335:H6335"/>
    <mergeCell ref="A6157:D6157"/>
    <mergeCell ref="E6157:H6158"/>
    <mergeCell ref="B6158:D6158"/>
    <mergeCell ref="A6159:B6159"/>
    <mergeCell ref="C6159:D6159"/>
    <mergeCell ref="E6159:H6159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G6163"/>
    <mergeCell ref="A6194:D6194"/>
    <mergeCell ref="E6194:H6194"/>
    <mergeCell ref="A6195:D6195"/>
    <mergeCell ref="A6196:D6196"/>
    <mergeCell ref="A6197:D6197"/>
    <mergeCell ref="A6198:D6198"/>
    <mergeCell ref="E6198:H6198"/>
    <mergeCell ref="A6165:A6166"/>
    <mergeCell ref="B6165:B6166"/>
    <mergeCell ref="C6165:C6166"/>
    <mergeCell ref="D6165:D6166"/>
    <mergeCell ref="E6165:E6166"/>
    <mergeCell ref="F6165:G6165"/>
    <mergeCell ref="H6165:H6166"/>
    <mergeCell ref="A6186:B6186"/>
    <mergeCell ref="F6186:G6186"/>
    <mergeCell ref="A6187:E6187"/>
    <mergeCell ref="F6187:G6187"/>
    <mergeCell ref="F6188:G6188"/>
    <mergeCell ref="A6189:B6189"/>
    <mergeCell ref="F6189:G6189"/>
    <mergeCell ref="E6191:F6191"/>
    <mergeCell ref="E6192:F6192"/>
    <mergeCell ref="A6193:H6193"/>
    <mergeCell ref="B6433:D6433"/>
    <mergeCell ref="D6434:E6434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H6438"/>
    <mergeCell ref="A6439:B6439"/>
    <mergeCell ref="C6439:H6439"/>
    <mergeCell ref="A6471:D6471"/>
    <mergeCell ref="A6472:D6472"/>
    <mergeCell ref="A6473:D6473"/>
    <mergeCell ref="A6474:D6474"/>
    <mergeCell ref="E6474:H6474"/>
    <mergeCell ref="A6440:A6441"/>
    <mergeCell ref="B6440:B6441"/>
    <mergeCell ref="C6440:C6441"/>
    <mergeCell ref="D6440:D6441"/>
    <mergeCell ref="E6440:E6441"/>
    <mergeCell ref="F6440:G6440"/>
    <mergeCell ref="H6440:H6441"/>
    <mergeCell ref="F6463:G6463"/>
    <mergeCell ref="A6464:E6464"/>
    <mergeCell ref="F6464:G6464"/>
    <mergeCell ref="F6465:G6465"/>
    <mergeCell ref="F6466:G6466"/>
    <mergeCell ref="E6467:F6467"/>
    <mergeCell ref="E6468:F6468"/>
    <mergeCell ref="A6469:H6469"/>
    <mergeCell ref="A6470:D6470"/>
    <mergeCell ref="E6470:H6470"/>
    <mergeCell ref="A6209:A6210"/>
    <mergeCell ref="B6209:B6210"/>
    <mergeCell ref="C6209:C6210"/>
    <mergeCell ref="D6209:D6210"/>
    <mergeCell ref="E6209:E6210"/>
    <mergeCell ref="F6209:G6209"/>
    <mergeCell ref="H6209:H6210"/>
    <mergeCell ref="A6230:B6230"/>
    <mergeCell ref="F6230:G6230"/>
    <mergeCell ref="A6231:E6231"/>
    <mergeCell ref="F6231:G6231"/>
    <mergeCell ref="F6232:G6232"/>
    <mergeCell ref="A6233:B6233"/>
    <mergeCell ref="F6233:G6233"/>
    <mergeCell ref="E6235:F6235"/>
    <mergeCell ref="E6236:F6236"/>
    <mergeCell ref="A6618:D6618"/>
    <mergeCell ref="E6618:H6619"/>
    <mergeCell ref="B6619:D6619"/>
    <mergeCell ref="A6620:B6620"/>
    <mergeCell ref="C6620:D6620"/>
    <mergeCell ref="E6620:H6620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C6624:D6624"/>
    <mergeCell ref="E6624:H6624"/>
    <mergeCell ref="C6625:H6625"/>
    <mergeCell ref="A6659:D6659"/>
    <mergeCell ref="A6660:D6660"/>
    <mergeCell ref="A6661:D6661"/>
    <mergeCell ref="A6662:D6662"/>
    <mergeCell ref="E6662:H6662"/>
    <mergeCell ref="A6626:A6627"/>
    <mergeCell ref="B6626:B6627"/>
    <mergeCell ref="C6626:C6627"/>
    <mergeCell ref="D6626:D6627"/>
    <mergeCell ref="E6626:E6627"/>
    <mergeCell ref="F6626:G6626"/>
    <mergeCell ref="H6626:H6627"/>
    <mergeCell ref="A6651:B6651"/>
    <mergeCell ref="F6651:G6651"/>
    <mergeCell ref="A6652:E6652"/>
    <mergeCell ref="F6652:G6652"/>
    <mergeCell ref="F6653:G6653"/>
    <mergeCell ref="F6654:G6654"/>
    <mergeCell ref="E6655:F6655"/>
    <mergeCell ref="E6656:F6656"/>
    <mergeCell ref="A6657:H6657"/>
    <mergeCell ref="A6658:D6658"/>
    <mergeCell ref="E6658:H6658"/>
    <mergeCell ref="A7017:E7017"/>
    <mergeCell ref="F7017:G7017"/>
    <mergeCell ref="F7018:G7018"/>
    <mergeCell ref="F7019:G7019"/>
    <mergeCell ref="E7020:F7020"/>
    <mergeCell ref="E7021:F7021"/>
    <mergeCell ref="A7022:H7022"/>
    <mergeCell ref="A7023:D7023"/>
    <mergeCell ref="E7023:H7023"/>
    <mergeCell ref="A7031:D7031"/>
    <mergeCell ref="E7031:H7032"/>
    <mergeCell ref="B7032:D7032"/>
    <mergeCell ref="A7033:B7033"/>
    <mergeCell ref="C7033:D7033"/>
    <mergeCell ref="E7033:H7033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C7037:D7037"/>
    <mergeCell ref="E7037:H7037"/>
    <mergeCell ref="C7038:H7038"/>
    <mergeCell ref="A7069:D7069"/>
    <mergeCell ref="A7070:D7070"/>
    <mergeCell ref="A7071:D7071"/>
    <mergeCell ref="A7072:D7072"/>
    <mergeCell ref="E7072:H7072"/>
    <mergeCell ref="A7039:A7040"/>
    <mergeCell ref="B7039:B7040"/>
    <mergeCell ref="C7039:C7040"/>
    <mergeCell ref="D7039:D7040"/>
    <mergeCell ref="E7039:E7040"/>
    <mergeCell ref="F7039:G7039"/>
    <mergeCell ref="H7039:H7040"/>
    <mergeCell ref="A7061:B7061"/>
    <mergeCell ref="F7061:G7061"/>
    <mergeCell ref="A7062:E7062"/>
    <mergeCell ref="F7062:G7062"/>
    <mergeCell ref="F7063:G7063"/>
    <mergeCell ref="F7064:G7064"/>
    <mergeCell ref="E7065:F7065"/>
    <mergeCell ref="E7066:F7066"/>
    <mergeCell ref="A7067:H7067"/>
    <mergeCell ref="A7068:D7068"/>
    <mergeCell ref="E7068:H7068"/>
    <mergeCell ref="E7309:H7309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H7313"/>
    <mergeCell ref="F7384:G7384"/>
    <mergeCell ref="A7385:E7385"/>
    <mergeCell ref="F7385:G7385"/>
    <mergeCell ref="F7386:G7386"/>
    <mergeCell ref="F7387:G7387"/>
    <mergeCell ref="E7388:F7388"/>
    <mergeCell ref="E7389:F7389"/>
    <mergeCell ref="A7390:H7390"/>
    <mergeCell ref="A7391:D7391"/>
    <mergeCell ref="E7391:H7391"/>
    <mergeCell ref="A7392:D7392"/>
    <mergeCell ref="A7393:D7393"/>
    <mergeCell ref="E7446:H7447"/>
    <mergeCell ref="B7447:D7447"/>
    <mergeCell ref="A7448:B7448"/>
    <mergeCell ref="D7448:E7448"/>
    <mergeCell ref="G7448:H7448"/>
    <mergeCell ref="C7449:D7449"/>
    <mergeCell ref="E7449:F7449"/>
    <mergeCell ref="A7450:B7450"/>
    <mergeCell ref="C7450:D7450"/>
    <mergeCell ref="E7450:F7450"/>
    <mergeCell ref="A7394:D7394"/>
    <mergeCell ref="A7395:D7395"/>
    <mergeCell ref="E7395:H7395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H7360"/>
    <mergeCell ref="A7361:B7361"/>
    <mergeCell ref="C7361:H7361"/>
    <mergeCell ref="A7362:A7363"/>
    <mergeCell ref="B7362:B7363"/>
    <mergeCell ref="C7362:C7363"/>
    <mergeCell ref="D7362:D7363"/>
    <mergeCell ref="E7362:E7363"/>
    <mergeCell ref="F7362:G7362"/>
    <mergeCell ref="H7362:H7363"/>
    <mergeCell ref="A7432:B7432"/>
    <mergeCell ref="A7433:D7433"/>
    <mergeCell ref="A7435:C7435"/>
    <mergeCell ref="E7436:F7436"/>
    <mergeCell ref="E7437:F7437"/>
    <mergeCell ref="A7438:G7438"/>
    <mergeCell ref="A7439:D7439"/>
    <mergeCell ref="E7439:H7439"/>
    <mergeCell ref="A7440:D7440"/>
    <mergeCell ref="F7454:G7454"/>
    <mergeCell ref="H7454:H7455"/>
    <mergeCell ref="A7479:C7479"/>
    <mergeCell ref="F7479:G7479"/>
    <mergeCell ref="A7480:E7480"/>
    <mergeCell ref="F7480:G7480"/>
    <mergeCell ref="F7481:G7481"/>
    <mergeCell ref="A7482:D7482"/>
    <mergeCell ref="F7482:G7482"/>
    <mergeCell ref="E7483:F7483"/>
    <mergeCell ref="A7446:D7446"/>
    <mergeCell ref="E7484:F7484"/>
    <mergeCell ref="A7485:H7485"/>
    <mergeCell ref="A7486:D7486"/>
    <mergeCell ref="E7486:H7486"/>
    <mergeCell ref="A7487:D7487"/>
    <mergeCell ref="A7488:D7488"/>
    <mergeCell ref="A7489:D7489"/>
    <mergeCell ref="A7490:D7490"/>
    <mergeCell ref="E7490:H7490"/>
    <mergeCell ref="A7493:D7493"/>
    <mergeCell ref="E7493:H7494"/>
    <mergeCell ref="B7494:D7494"/>
    <mergeCell ref="A7495:B7495"/>
    <mergeCell ref="D7495:E7495"/>
    <mergeCell ref="G7495:H7495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H7499"/>
    <mergeCell ref="A7500:B7500"/>
    <mergeCell ref="C7500:H7500"/>
    <mergeCell ref="A7501:A7502"/>
    <mergeCell ref="B7501:B7502"/>
    <mergeCell ref="C7501:C7502"/>
    <mergeCell ref="D7501:D7502"/>
    <mergeCell ref="E7501:E7502"/>
    <mergeCell ref="F7501:G7501"/>
    <mergeCell ref="H7501:H7502"/>
    <mergeCell ref="A7546:B7546"/>
    <mergeCell ref="C7546:H7546"/>
    <mergeCell ref="A7547:A7548"/>
    <mergeCell ref="B7547:B7548"/>
    <mergeCell ref="C7547:C7548"/>
    <mergeCell ref="D7547:D7548"/>
    <mergeCell ref="E7547:E7548"/>
    <mergeCell ref="F7547:G7547"/>
    <mergeCell ref="H7547:H7548"/>
    <mergeCell ref="A7570:B7570"/>
    <mergeCell ref="F7570:G7570"/>
    <mergeCell ref="A7571:E7571"/>
    <mergeCell ref="F7571:G7571"/>
    <mergeCell ref="F7572:G7572"/>
    <mergeCell ref="A7573:B7573"/>
    <mergeCell ref="F7573:G7573"/>
    <mergeCell ref="E7574:F7574"/>
    <mergeCell ref="A7815:D7815"/>
    <mergeCell ref="E7815:H7816"/>
    <mergeCell ref="B7816:D7816"/>
    <mergeCell ref="D7817:E7817"/>
    <mergeCell ref="E7634:F7634"/>
    <mergeCell ref="A7635:B7635"/>
    <mergeCell ref="C7635:D7635"/>
    <mergeCell ref="E7635:H7635"/>
    <mergeCell ref="A7636:B7636"/>
    <mergeCell ref="C7636:H7636"/>
    <mergeCell ref="A7637:A7638"/>
    <mergeCell ref="B7637:B7638"/>
    <mergeCell ref="C7637:C7638"/>
    <mergeCell ref="D7637:D7638"/>
    <mergeCell ref="E7637:E7638"/>
    <mergeCell ref="F7637:G7637"/>
    <mergeCell ref="H7637:H7638"/>
    <mergeCell ref="A7685:A7686"/>
    <mergeCell ref="B7685:B7686"/>
    <mergeCell ref="C7685:C7686"/>
    <mergeCell ref="D7685:D7686"/>
    <mergeCell ref="E7685:E7686"/>
    <mergeCell ref="F7685:G7685"/>
    <mergeCell ref="H7685:H7686"/>
    <mergeCell ref="A7708:B7708"/>
    <mergeCell ref="F7708:G7708"/>
    <mergeCell ref="A7709:E7709"/>
    <mergeCell ref="F7709:G7709"/>
    <mergeCell ref="F7710:G7710"/>
    <mergeCell ref="A7711:B7711"/>
    <mergeCell ref="F7711:G7711"/>
    <mergeCell ref="E7713:F7713"/>
    <mergeCell ref="E7714:F7714"/>
    <mergeCell ref="A7715:H7715"/>
    <mergeCell ref="A7677:D7677"/>
    <mergeCell ref="C7818:D7818"/>
    <mergeCell ref="E7818:F7818"/>
    <mergeCell ref="A7819:B7819"/>
    <mergeCell ref="C7819:D7819"/>
    <mergeCell ref="E7819:F7819"/>
    <mergeCell ref="A7526:C7526"/>
    <mergeCell ref="F7526:G7526"/>
    <mergeCell ref="A7527:E7527"/>
    <mergeCell ref="F7527:G7527"/>
    <mergeCell ref="F7528:G7528"/>
    <mergeCell ref="A7529:D7529"/>
    <mergeCell ref="F7529:G7529"/>
    <mergeCell ref="E7530:F7530"/>
    <mergeCell ref="E7531:F7531"/>
    <mergeCell ref="A7532:H7532"/>
    <mergeCell ref="A7533:D7533"/>
    <mergeCell ref="E7533:H7533"/>
    <mergeCell ref="A7534:D7534"/>
    <mergeCell ref="A7535:D7535"/>
    <mergeCell ref="A7536:D7536"/>
    <mergeCell ref="A7537:D7537"/>
    <mergeCell ref="E7537:H7537"/>
    <mergeCell ref="A7539:D7539"/>
    <mergeCell ref="E7539:H7540"/>
    <mergeCell ref="B7540:D7540"/>
    <mergeCell ref="A7541:B7541"/>
    <mergeCell ref="C7541:D7541"/>
    <mergeCell ref="E7541:H7541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H7545"/>
    <mergeCell ref="A7585:D7585"/>
    <mergeCell ref="E7585:H7586"/>
    <mergeCell ref="B7586:D7586"/>
    <mergeCell ref="A7587:B7587"/>
    <mergeCell ref="A7631:B7631"/>
    <mergeCell ref="C7631:D7631"/>
    <mergeCell ref="E7631:H7631"/>
    <mergeCell ref="A7660:B7660"/>
    <mergeCell ref="F7660:G7660"/>
    <mergeCell ref="A7661:E7661"/>
    <mergeCell ref="F7661:G7661"/>
    <mergeCell ref="F7662:G7662"/>
    <mergeCell ref="A7663:B7663"/>
    <mergeCell ref="E7677:H7678"/>
    <mergeCell ref="B7678:D7678"/>
    <mergeCell ref="A7679:B7679"/>
    <mergeCell ref="C7679:D7679"/>
    <mergeCell ref="E7679:H7679"/>
    <mergeCell ref="C7680:D7680"/>
    <mergeCell ref="E7680:F7680"/>
    <mergeCell ref="A7681:B7681"/>
    <mergeCell ref="C7681:D7681"/>
    <mergeCell ref="E7681:F7681"/>
    <mergeCell ref="A7682:B7682"/>
    <mergeCell ref="C7682:D7682"/>
    <mergeCell ref="E7851:F7851"/>
    <mergeCell ref="A7852:H7852"/>
    <mergeCell ref="A7853:D7853"/>
    <mergeCell ref="E7853:H7853"/>
    <mergeCell ref="A7861:D7861"/>
    <mergeCell ref="E7861:H7862"/>
    <mergeCell ref="B7862:D7862"/>
    <mergeCell ref="D7863:E7863"/>
    <mergeCell ref="C7864:D7864"/>
    <mergeCell ref="E7864:F7864"/>
    <mergeCell ref="A7865:B7865"/>
    <mergeCell ref="C7865:D7865"/>
    <mergeCell ref="E7865:F7865"/>
    <mergeCell ref="A8008:B8008"/>
    <mergeCell ref="E7575:F7575"/>
    <mergeCell ref="A7576:H7576"/>
    <mergeCell ref="A7577:D7577"/>
    <mergeCell ref="E7577:H7577"/>
    <mergeCell ref="A7578:D7578"/>
    <mergeCell ref="A7579:D7579"/>
    <mergeCell ref="A7580:D7580"/>
    <mergeCell ref="A7581:D7581"/>
    <mergeCell ref="E7581:H7581"/>
    <mergeCell ref="D7587:E7587"/>
    <mergeCell ref="C7588:D7588"/>
    <mergeCell ref="E7588:F7588"/>
    <mergeCell ref="C7589:D7589"/>
    <mergeCell ref="E7589:F7589"/>
    <mergeCell ref="A7590:B7590"/>
    <mergeCell ref="C7590:D7590"/>
    <mergeCell ref="E7590:F7590"/>
    <mergeCell ref="A7591:B7591"/>
    <mergeCell ref="C7591:D7591"/>
    <mergeCell ref="E7591:G7591"/>
    <mergeCell ref="A7592:B7592"/>
    <mergeCell ref="C7592:H7592"/>
    <mergeCell ref="F7613:G7613"/>
    <mergeCell ref="F7614:G7614"/>
    <mergeCell ref="E7615:F7615"/>
    <mergeCell ref="E7616:F7616"/>
    <mergeCell ref="A7617:H7617"/>
    <mergeCell ref="A7618:D7618"/>
    <mergeCell ref="E7618:H7618"/>
    <mergeCell ref="A7619:D7619"/>
    <mergeCell ref="A7620:D7620"/>
    <mergeCell ref="A7621:D7621"/>
    <mergeCell ref="F7663:G7663"/>
    <mergeCell ref="E7664:F7664"/>
    <mergeCell ref="E7665:F7665"/>
    <mergeCell ref="A7666:H7666"/>
    <mergeCell ref="A7667:D7667"/>
    <mergeCell ref="E7667:H7667"/>
    <mergeCell ref="A7668:D7668"/>
    <mergeCell ref="A7669:D7669"/>
    <mergeCell ref="A7670:D7670"/>
    <mergeCell ref="A7671:D7671"/>
    <mergeCell ref="E7671:H7671"/>
    <mergeCell ref="C7632:D7632"/>
    <mergeCell ref="E7632:F7632"/>
    <mergeCell ref="A7633:B7633"/>
    <mergeCell ref="C7633:D7633"/>
    <mergeCell ref="E7633:F7633"/>
    <mergeCell ref="A7634:B7634"/>
    <mergeCell ref="C7634:D7634"/>
    <mergeCell ref="A8009:A8010"/>
    <mergeCell ref="B8009:B8010"/>
    <mergeCell ref="C8009:C8010"/>
    <mergeCell ref="D8009:D8010"/>
    <mergeCell ref="E8009:E8010"/>
    <mergeCell ref="F8009:G8009"/>
    <mergeCell ref="H8009:H8010"/>
    <mergeCell ref="A8037:B8037"/>
    <mergeCell ref="E8038:F8038"/>
    <mergeCell ref="A8041:D8041"/>
    <mergeCell ref="A8042:D8042"/>
    <mergeCell ref="A8043:D8043"/>
    <mergeCell ref="A8044:D8044"/>
    <mergeCell ref="A8045:D8045"/>
    <mergeCell ref="A8001:D8001"/>
    <mergeCell ref="E8001:H8002"/>
    <mergeCell ref="B8002:D8002"/>
    <mergeCell ref="A8003:B8003"/>
    <mergeCell ref="C8003:D8003"/>
    <mergeCell ref="E8003:H8003"/>
    <mergeCell ref="C8004:D8004"/>
    <mergeCell ref="E8004:F8004"/>
    <mergeCell ref="A8005:B8005"/>
    <mergeCell ref="C8005:D8005"/>
    <mergeCell ref="E8005:F8005"/>
    <mergeCell ref="G8005:H8005"/>
    <mergeCell ref="A8006:B8006"/>
    <mergeCell ref="C8006:D8006"/>
    <mergeCell ref="E8006:F8006"/>
    <mergeCell ref="A8007:B8007"/>
    <mergeCell ref="C8007:D8007"/>
    <mergeCell ref="A8188:D8188"/>
    <mergeCell ref="E8188:H8189"/>
    <mergeCell ref="B8189:D8189"/>
    <mergeCell ref="E8007:H8007"/>
    <mergeCell ref="A8057:A8058"/>
    <mergeCell ref="B8057:B8058"/>
    <mergeCell ref="C8057:C8058"/>
    <mergeCell ref="D8057:D8058"/>
    <mergeCell ref="E8057:E8058"/>
    <mergeCell ref="F8057:G8057"/>
    <mergeCell ref="H8057:H8058"/>
    <mergeCell ref="A8081:B8081"/>
    <mergeCell ref="A8082:D8082"/>
    <mergeCell ref="A8084:C8084"/>
    <mergeCell ref="E8085:F8085"/>
    <mergeCell ref="E8086:F8086"/>
    <mergeCell ref="A8087:E8087"/>
    <mergeCell ref="A8088:D8088"/>
    <mergeCell ref="E8088:H8088"/>
    <mergeCell ref="A8089:D8089"/>
    <mergeCell ref="A8090:D8090"/>
    <mergeCell ref="A8049:D8049"/>
    <mergeCell ref="E8049:H8050"/>
    <mergeCell ref="B8050:D8050"/>
    <mergeCell ref="A8051:B8051"/>
    <mergeCell ref="C8051:D8051"/>
    <mergeCell ref="E8051:H8051"/>
    <mergeCell ref="C8052:D8052"/>
    <mergeCell ref="E8052:F8052"/>
    <mergeCell ref="C8053:D8053"/>
    <mergeCell ref="E8053:F8053"/>
    <mergeCell ref="A8054:B8054"/>
    <mergeCell ref="C8054:D8054"/>
    <mergeCell ref="A8231:D8231"/>
    <mergeCell ref="A8232:D8232"/>
    <mergeCell ref="E8232:H8232"/>
    <mergeCell ref="A8195:B8195"/>
    <mergeCell ref="A8196:A8197"/>
    <mergeCell ref="B8196:B8197"/>
    <mergeCell ref="C8196:C8197"/>
    <mergeCell ref="D8196:D8197"/>
    <mergeCell ref="E8196:E8197"/>
    <mergeCell ref="F8196:G8196"/>
    <mergeCell ref="H8196:H8197"/>
    <mergeCell ref="A8221:B8221"/>
    <mergeCell ref="A8222:D8222"/>
    <mergeCell ref="A8224:C8224"/>
    <mergeCell ref="E8225:F8225"/>
    <mergeCell ref="E8226:F8226"/>
    <mergeCell ref="A8227:E8227"/>
    <mergeCell ref="A8228:D8228"/>
    <mergeCell ref="E8228:H8228"/>
    <mergeCell ref="A8229:D8229"/>
    <mergeCell ref="BU8232:BX8232"/>
    <mergeCell ref="BY8232:CB8233"/>
    <mergeCell ref="BV8233:BX8233"/>
    <mergeCell ref="BU8234:BV8234"/>
    <mergeCell ref="BX8234:BY8234"/>
    <mergeCell ref="BW8235:BX8235"/>
    <mergeCell ref="BY8235:BZ8235"/>
    <mergeCell ref="BW8236:BX8236"/>
    <mergeCell ref="BY8236:BZ8236"/>
    <mergeCell ref="BU8237:BV8237"/>
    <mergeCell ref="BW8237:BX8237"/>
    <mergeCell ref="BY8237:BZ8237"/>
    <mergeCell ref="BU8238:BV8238"/>
    <mergeCell ref="BW8238:BX8238"/>
    <mergeCell ref="BY8238:CA8238"/>
    <mergeCell ref="BU8239:BV8239"/>
    <mergeCell ref="BW8239:CB8239"/>
    <mergeCell ref="BU8240:BU8241"/>
    <mergeCell ref="BV8240:BV8241"/>
    <mergeCell ref="BW8240:BW8241"/>
    <mergeCell ref="BX8240:BX8241"/>
    <mergeCell ref="BY8240:BY8241"/>
    <mergeCell ref="BZ8240:CA8240"/>
    <mergeCell ref="CB8240:CB8241"/>
    <mergeCell ref="BU8251:BV8251"/>
    <mergeCell ref="BW8251:BY8251"/>
    <mergeCell ref="BW8252:BY8252"/>
    <mergeCell ref="BW8253:BY8253"/>
    <mergeCell ref="BU8254:BV8254"/>
    <mergeCell ref="BW8254:BY8254"/>
    <mergeCell ref="BU8258:BV8258"/>
    <mergeCell ref="BZ8258:CA8258"/>
    <mergeCell ref="BU8259:BY8259"/>
    <mergeCell ref="BZ8259:CA8259"/>
    <mergeCell ref="BZ8260:CA8260"/>
    <mergeCell ref="BZ8261:CA8261"/>
    <mergeCell ref="BY8262:BZ8262"/>
    <mergeCell ref="BY8263:BZ8263"/>
    <mergeCell ref="BU8264:CB8264"/>
    <mergeCell ref="BU8265:BX8265"/>
    <mergeCell ref="BY8265:CB8265"/>
    <mergeCell ref="BU8266:BX8266"/>
    <mergeCell ref="BU8267:BX8267"/>
    <mergeCell ref="BU8268:BX8268"/>
    <mergeCell ref="BU8269:BX8269"/>
    <mergeCell ref="BY8269:CB8269"/>
    <mergeCell ref="A8236:D8236"/>
    <mergeCell ref="E8236:H8237"/>
    <mergeCell ref="B8237:D8237"/>
    <mergeCell ref="A8238:B8238"/>
    <mergeCell ref="D8238:E8238"/>
    <mergeCell ref="C8239:D8239"/>
    <mergeCell ref="E8239:F8239"/>
    <mergeCell ref="C8240:D8240"/>
    <mergeCell ref="E8240:F8240"/>
    <mergeCell ref="A8241:B8241"/>
    <mergeCell ref="C8241:D8241"/>
    <mergeCell ref="E8241:F8241"/>
    <mergeCell ref="A8242:B8242"/>
    <mergeCell ref="C8242:D8242"/>
    <mergeCell ref="E8242:G8242"/>
    <mergeCell ref="A8243:B8243"/>
    <mergeCell ref="C8243:H8243"/>
    <mergeCell ref="A8244:A8245"/>
    <mergeCell ref="B8244:B8245"/>
    <mergeCell ref="C8244:C8245"/>
    <mergeCell ref="D8244:D8245"/>
    <mergeCell ref="E8244:E8245"/>
    <mergeCell ref="F8244:G8244"/>
    <mergeCell ref="H8244:H8245"/>
    <mergeCell ref="A8255:B8255"/>
    <mergeCell ref="C8255:E8255"/>
    <mergeCell ref="C8256:E8256"/>
    <mergeCell ref="C8257:E8257"/>
    <mergeCell ref="A8258:B8258"/>
    <mergeCell ref="C8258:E8258"/>
    <mergeCell ref="A8262:B8262"/>
    <mergeCell ref="F8262:G8262"/>
    <mergeCell ref="A8263:E8263"/>
    <mergeCell ref="F8263:G8263"/>
    <mergeCell ref="F8264:G8264"/>
    <mergeCell ref="F8265:G8265"/>
    <mergeCell ref="E8266:F8266"/>
    <mergeCell ref="E8267:F8267"/>
    <mergeCell ref="A8268:H8268"/>
    <mergeCell ref="A8269:D8269"/>
    <mergeCell ref="E8269:H8269"/>
    <mergeCell ref="A8270:D8270"/>
    <mergeCell ref="A8271:D8271"/>
    <mergeCell ref="A8272:D8272"/>
    <mergeCell ref="A8273:D8273"/>
    <mergeCell ref="E8273:H8273"/>
    <mergeCell ref="A8277:D8277"/>
    <mergeCell ref="E8277:H8278"/>
    <mergeCell ref="B8278:D8278"/>
    <mergeCell ref="A8279:B8279"/>
    <mergeCell ref="C8279:D8279"/>
    <mergeCell ref="E8279:H8279"/>
    <mergeCell ref="C8280:D8280"/>
    <mergeCell ref="E8280:F8280"/>
    <mergeCell ref="C8281:D8281"/>
    <mergeCell ref="E8281:F8281"/>
    <mergeCell ref="C8282:D8282"/>
    <mergeCell ref="E8282:F8282"/>
    <mergeCell ref="C8283:D8283"/>
    <mergeCell ref="A8284:B8284"/>
    <mergeCell ref="A8285:A8286"/>
    <mergeCell ref="B8285:B8286"/>
    <mergeCell ref="C8285:C8286"/>
    <mergeCell ref="D8285:D8286"/>
    <mergeCell ref="E8285:E8286"/>
    <mergeCell ref="F8285:G8285"/>
    <mergeCell ref="H8285:H8286"/>
    <mergeCell ref="A8310:B8310"/>
    <mergeCell ref="A8311:D8311"/>
    <mergeCell ref="A8313:C8313"/>
    <mergeCell ref="E8314:F8314"/>
    <mergeCell ref="E8315:F8315"/>
    <mergeCell ref="A8316:E8316"/>
    <mergeCell ref="A8317:C8317"/>
    <mergeCell ref="A8319:D8319"/>
    <mergeCell ref="A8320:D8320"/>
    <mergeCell ref="A8321:D8321"/>
    <mergeCell ref="E8321:H8321"/>
    <mergeCell ref="A8325:D8325"/>
    <mergeCell ref="E8325:H8326"/>
    <mergeCell ref="B8326:D8326"/>
    <mergeCell ref="A8327:B8327"/>
    <mergeCell ref="D8327:E8327"/>
    <mergeCell ref="C8328:D8328"/>
    <mergeCell ref="E8328:F8328"/>
    <mergeCell ref="A8329:B8329"/>
    <mergeCell ref="C8329:D8329"/>
    <mergeCell ref="E8329:F8329"/>
    <mergeCell ref="A8361:B8361"/>
    <mergeCell ref="F8361:G8361"/>
    <mergeCell ref="E8363:F8363"/>
    <mergeCell ref="E8364:F8364"/>
    <mergeCell ref="A8365:H8365"/>
    <mergeCell ref="E8366:H8366"/>
    <mergeCell ref="A8368:D8368"/>
    <mergeCell ref="E8370:H8370"/>
    <mergeCell ref="A8366:C8366"/>
    <mergeCell ref="A8369:D8369"/>
    <mergeCell ref="A8370:D8370"/>
    <mergeCell ref="A8330:B8331"/>
    <mergeCell ref="C8330:D8330"/>
    <mergeCell ref="E8330:F8330"/>
    <mergeCell ref="C8331:D8331"/>
    <mergeCell ref="E8331:G8331"/>
    <mergeCell ref="A8333:A8334"/>
    <mergeCell ref="B8333:B8334"/>
    <mergeCell ref="C8333:C8334"/>
    <mergeCell ref="D8333:D8334"/>
    <mergeCell ref="E8333:E8334"/>
    <mergeCell ref="F8333:G8333"/>
    <mergeCell ref="H8333:H8334"/>
    <mergeCell ref="A8358:B8358"/>
    <mergeCell ref="F8358:G8358"/>
    <mergeCell ref="A8359:E8359"/>
    <mergeCell ref="F8359:G8359"/>
    <mergeCell ref="F8360:G8360"/>
    <mergeCell ref="A8373:D8373"/>
    <mergeCell ref="E8373:H8374"/>
    <mergeCell ref="B8374:D8374"/>
    <mergeCell ref="A8375:B8375"/>
    <mergeCell ref="D8375:E8375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H8379"/>
    <mergeCell ref="A8380:B8380"/>
    <mergeCell ref="C8380:H8380"/>
    <mergeCell ref="A8381:A8382"/>
    <mergeCell ref="B8381:B8382"/>
    <mergeCell ref="C8381:C8382"/>
    <mergeCell ref="D8381:D8382"/>
    <mergeCell ref="E8381:E8382"/>
    <mergeCell ref="F8381:G8381"/>
    <mergeCell ref="H8381:H8382"/>
    <mergeCell ref="A8405:C8405"/>
    <mergeCell ref="F8405:G8405"/>
    <mergeCell ref="A8406:E8406"/>
    <mergeCell ref="F8406:G8406"/>
    <mergeCell ref="F8407:G8407"/>
    <mergeCell ref="A8408:B8408"/>
    <mergeCell ref="F8408:G8408"/>
    <mergeCell ref="E8409:F8409"/>
    <mergeCell ref="E8410:F8410"/>
    <mergeCell ref="A8411:H8411"/>
    <mergeCell ref="A8412:D8412"/>
    <mergeCell ref="E8412:H8412"/>
    <mergeCell ref="A8413:D8413"/>
    <mergeCell ref="A8414:D8414"/>
    <mergeCell ref="A8415:D8415"/>
    <mergeCell ref="A8416:D8416"/>
    <mergeCell ref="E8416:H8416"/>
    <mergeCell ref="A8419:D8419"/>
    <mergeCell ref="E8419:H8420"/>
    <mergeCell ref="B8420:D8420"/>
    <mergeCell ref="D8421:E8421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E8454:F8454"/>
    <mergeCell ref="E8455:F8455"/>
    <mergeCell ref="A8456:H8456"/>
    <mergeCell ref="A8457:D8457"/>
    <mergeCell ref="E8457:H8457"/>
    <mergeCell ref="A8458:D8458"/>
    <mergeCell ref="A8459:D8459"/>
    <mergeCell ref="A8460:D8460"/>
    <mergeCell ref="A8461:D8461"/>
    <mergeCell ref="E8461:H8461"/>
    <mergeCell ref="A8425:B8425"/>
    <mergeCell ref="C8425:D8425"/>
    <mergeCell ref="E8425:H8425"/>
    <mergeCell ref="A8426:B8426"/>
    <mergeCell ref="C8426:H8426"/>
    <mergeCell ref="A8427:A8428"/>
    <mergeCell ref="B8427:B8428"/>
    <mergeCell ref="C8427:C8428"/>
    <mergeCell ref="D8427:D8428"/>
    <mergeCell ref="E8427:E8428"/>
    <mergeCell ref="F8427:G8427"/>
    <mergeCell ref="H8427:H8428"/>
    <mergeCell ref="F8450:G8450"/>
    <mergeCell ref="A8451:E8451"/>
    <mergeCell ref="F8451:G8451"/>
    <mergeCell ref="F8452:G8452"/>
    <mergeCell ref="F8453:G8453"/>
    <mergeCell ref="A8465:D8465"/>
    <mergeCell ref="E8465:H8466"/>
    <mergeCell ref="B8466:D8466"/>
    <mergeCell ref="A8467:B8467"/>
    <mergeCell ref="D8467:E8467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H8471"/>
    <mergeCell ref="A8472:B8472"/>
    <mergeCell ref="C8472:H8472"/>
    <mergeCell ref="A8504:D8504"/>
    <mergeCell ref="E8504:H8504"/>
    <mergeCell ref="A8505:D8505"/>
    <mergeCell ref="A8506:D8506"/>
    <mergeCell ref="A8507:D8507"/>
    <mergeCell ref="A8508:D8508"/>
    <mergeCell ref="E8508:H8508"/>
    <mergeCell ref="A8473:A8474"/>
    <mergeCell ref="B8473:B8474"/>
    <mergeCell ref="C8473:C8474"/>
    <mergeCell ref="D8473:D8474"/>
    <mergeCell ref="E8473:E8474"/>
    <mergeCell ref="F8473:G8473"/>
    <mergeCell ref="H8473:H8474"/>
    <mergeCell ref="A8497:C8497"/>
    <mergeCell ref="F8497:G8497"/>
    <mergeCell ref="A8498:E8498"/>
    <mergeCell ref="F8498:G8498"/>
    <mergeCell ref="F8499:G8499"/>
    <mergeCell ref="A8500:B8500"/>
    <mergeCell ref="F8500:G8500"/>
    <mergeCell ref="E8501:F8501"/>
    <mergeCell ref="E8502:F8502"/>
    <mergeCell ref="A8503:H8503"/>
    <mergeCell ref="A8600:D8600"/>
    <mergeCell ref="E8600:H8600"/>
    <mergeCell ref="A8604:D8604"/>
    <mergeCell ref="E8604:H8605"/>
    <mergeCell ref="B8605:D8605"/>
    <mergeCell ref="A8606:B8606"/>
    <mergeCell ref="D8606:E8606"/>
    <mergeCell ref="G8606:H8606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H8610"/>
    <mergeCell ref="A8611:B8611"/>
    <mergeCell ref="C8611:H8611"/>
    <mergeCell ref="A8612:A8613"/>
    <mergeCell ref="B8612:B8613"/>
    <mergeCell ref="C8612:C8613"/>
    <mergeCell ref="D8612:D8613"/>
    <mergeCell ref="E8612:E8613"/>
    <mergeCell ref="F8612:G8612"/>
    <mergeCell ref="H8612:H8613"/>
    <mergeCell ref="A8637:C8637"/>
    <mergeCell ref="F8637:G8637"/>
    <mergeCell ref="A8638:E8638"/>
    <mergeCell ref="F8638:G8638"/>
    <mergeCell ref="F8639:G8639"/>
    <mergeCell ref="A8640:D8640"/>
    <mergeCell ref="F8640:G8640"/>
    <mergeCell ref="E8641:F8641"/>
    <mergeCell ref="E8642:F8642"/>
    <mergeCell ref="A8643:H8643"/>
    <mergeCell ref="A8644:D8644"/>
    <mergeCell ref="E8644:H8644"/>
    <mergeCell ref="A8645:D8645"/>
    <mergeCell ref="A8646:D8646"/>
    <mergeCell ref="A8647:D8647"/>
    <mergeCell ref="A8648:D8648"/>
    <mergeCell ref="E8648:H8648"/>
    <mergeCell ref="A8651:D8651"/>
    <mergeCell ref="E8651:H8652"/>
    <mergeCell ref="B8652:D8652"/>
    <mergeCell ref="A8653:B8653"/>
    <mergeCell ref="D8653:E8653"/>
    <mergeCell ref="G8653:H8653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H8657"/>
    <mergeCell ref="A8658:B8658"/>
    <mergeCell ref="C8658:H8658"/>
    <mergeCell ref="A8659:A8660"/>
    <mergeCell ref="B8659:B8660"/>
    <mergeCell ref="C8659:C8660"/>
    <mergeCell ref="D8659:D8660"/>
    <mergeCell ref="E8659:E8660"/>
    <mergeCell ref="F8659:G8659"/>
    <mergeCell ref="H8659:H8660"/>
    <mergeCell ref="A8684:C8684"/>
    <mergeCell ref="F8684:G8684"/>
    <mergeCell ref="A8685:E8685"/>
    <mergeCell ref="F8685:G8685"/>
    <mergeCell ref="F8686:G8686"/>
    <mergeCell ref="A8687:D8687"/>
    <mergeCell ref="F8687:G8687"/>
    <mergeCell ref="E8688:F8688"/>
    <mergeCell ref="E8689:F8689"/>
    <mergeCell ref="A8690:H8690"/>
    <mergeCell ref="A8691:D8691"/>
    <mergeCell ref="E8691:H8691"/>
    <mergeCell ref="A8692:D8692"/>
    <mergeCell ref="A8693:D8693"/>
    <mergeCell ref="A8694:D8694"/>
    <mergeCell ref="A8695:D8695"/>
    <mergeCell ref="E8695:H8695"/>
    <mergeCell ref="A8699:D8699"/>
    <mergeCell ref="E8699:H8700"/>
    <mergeCell ref="B8700:D8700"/>
    <mergeCell ref="A8701:B8701"/>
    <mergeCell ref="D8701:E8701"/>
    <mergeCell ref="G8701:H8701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H8705"/>
    <mergeCell ref="A8706:B8706"/>
    <mergeCell ref="C8706:H8706"/>
    <mergeCell ref="A8707:A8708"/>
    <mergeCell ref="B8707:B8708"/>
    <mergeCell ref="C8707:C8708"/>
    <mergeCell ref="D8707:D8708"/>
    <mergeCell ref="E8707:E8708"/>
    <mergeCell ref="F8707:G8707"/>
    <mergeCell ref="H8707:H8708"/>
    <mergeCell ref="A8732:C8732"/>
    <mergeCell ref="F8732:G8732"/>
    <mergeCell ref="A8733:E8733"/>
    <mergeCell ref="F8733:G8733"/>
    <mergeCell ref="F8734:G8734"/>
    <mergeCell ref="A8735:D8735"/>
    <mergeCell ref="F8735:G8735"/>
    <mergeCell ref="E8736:F8736"/>
    <mergeCell ref="E8737:F8737"/>
    <mergeCell ref="A8738:H8738"/>
    <mergeCell ref="A8739:D8739"/>
    <mergeCell ref="E8739:H8739"/>
    <mergeCell ref="A8740:D8740"/>
    <mergeCell ref="A8741:D8741"/>
    <mergeCell ref="A8742:D8742"/>
    <mergeCell ref="A8743:D8743"/>
    <mergeCell ref="E8743:H8743"/>
    <mergeCell ref="A8923:B8923"/>
    <mergeCell ref="A8924:D8924"/>
    <mergeCell ref="A8926:C8926"/>
    <mergeCell ref="E8927:F8927"/>
    <mergeCell ref="E8928:F8928"/>
    <mergeCell ref="A8929:E8929"/>
    <mergeCell ref="A8930:C8930"/>
    <mergeCell ref="A8890:D8890"/>
    <mergeCell ref="E8890:H8891"/>
    <mergeCell ref="B8891:D8891"/>
    <mergeCell ref="A8892:B8892"/>
    <mergeCell ref="C8892:D8892"/>
    <mergeCell ref="E8892:H8892"/>
    <mergeCell ref="C8893:D8893"/>
    <mergeCell ref="E8893:F8893"/>
    <mergeCell ref="C8894:D8894"/>
    <mergeCell ref="E8894:F8894"/>
    <mergeCell ref="C8895:D8895"/>
    <mergeCell ref="E8895:F8895"/>
    <mergeCell ref="C8896:D8896"/>
    <mergeCell ref="A8897:B8897"/>
    <mergeCell ref="A8898:A8899"/>
    <mergeCell ref="B8898:B8899"/>
    <mergeCell ref="C8898:C8899"/>
    <mergeCell ref="D8898:D8899"/>
    <mergeCell ref="E8898:E8899"/>
    <mergeCell ref="F8898:G8898"/>
    <mergeCell ref="H8898:H8899"/>
    <mergeCell ref="A8747:D8747"/>
    <mergeCell ref="E8747:H8748"/>
    <mergeCell ref="B8748:D8748"/>
    <mergeCell ref="A8749:B8749"/>
    <mergeCell ref="D8749:E8749"/>
    <mergeCell ref="G8749:H8749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H8753"/>
    <mergeCell ref="A8827:C8827"/>
    <mergeCell ref="F8827:G8827"/>
    <mergeCell ref="H8989:H8990"/>
    <mergeCell ref="A9011:B9011"/>
    <mergeCell ref="F9011:G9011"/>
    <mergeCell ref="A9012:E9012"/>
    <mergeCell ref="F9012:G9012"/>
    <mergeCell ref="F9013:G9013"/>
    <mergeCell ref="F9014:G9014"/>
    <mergeCell ref="E9015:F9015"/>
    <mergeCell ref="E9016:F9016"/>
    <mergeCell ref="A9017:H9017"/>
    <mergeCell ref="A9018:D9018"/>
    <mergeCell ref="E9018:H9018"/>
    <mergeCell ref="A9019:D9019"/>
    <mergeCell ref="A9020:D9020"/>
    <mergeCell ref="A9021:D9021"/>
    <mergeCell ref="A9022:D9022"/>
    <mergeCell ref="E9022:H9022"/>
    <mergeCell ref="A9025:D9025"/>
    <mergeCell ref="E9025:H9026"/>
    <mergeCell ref="B9026:D9026"/>
    <mergeCell ref="A9027:B9027"/>
    <mergeCell ref="C9027:D9027"/>
    <mergeCell ref="E9027:H9027"/>
    <mergeCell ref="C9028:D9028"/>
    <mergeCell ref="E9028:F9028"/>
    <mergeCell ref="A8828:E8828"/>
    <mergeCell ref="F8828:G8828"/>
    <mergeCell ref="F8829:G8829"/>
    <mergeCell ref="A8830:D8830"/>
    <mergeCell ref="F8830:G8830"/>
    <mergeCell ref="E8831:F8831"/>
    <mergeCell ref="E8832:F8832"/>
    <mergeCell ref="A8833:H8833"/>
    <mergeCell ref="A8834:D8834"/>
    <mergeCell ref="E8834:H8834"/>
    <mergeCell ref="A8835:D8835"/>
    <mergeCell ref="A8836:D8836"/>
    <mergeCell ref="A8837:D8837"/>
    <mergeCell ref="A8838:D8838"/>
    <mergeCell ref="E8838:H8838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H8800"/>
    <mergeCell ref="A8801:B8801"/>
    <mergeCell ref="C8801:H8801"/>
    <mergeCell ref="A8802:A8803"/>
    <mergeCell ref="B8802:B8803"/>
    <mergeCell ref="C8802:C8803"/>
    <mergeCell ref="D8802:D8803"/>
    <mergeCell ref="A9029:B9029"/>
    <mergeCell ref="C9029:D9029"/>
    <mergeCell ref="E9029:F9029"/>
    <mergeCell ref="A9030:B9030"/>
    <mergeCell ref="C9030:D9030"/>
    <mergeCell ref="E9030:F9030"/>
    <mergeCell ref="C9031:D9031"/>
    <mergeCell ref="E9031:H9031"/>
    <mergeCell ref="C9032:H9032"/>
    <mergeCell ref="A9033:A9034"/>
    <mergeCell ref="B9033:B9034"/>
    <mergeCell ref="C9033:C9034"/>
    <mergeCell ref="D9033:D9034"/>
    <mergeCell ref="E9033:E9034"/>
    <mergeCell ref="F9033:G9033"/>
    <mergeCell ref="H9033:H9034"/>
    <mergeCell ref="A9055:B9055"/>
    <mergeCell ref="F9055:G9055"/>
    <mergeCell ref="A9056:E9056"/>
    <mergeCell ref="F9056:G9056"/>
    <mergeCell ref="F9057:G9057"/>
    <mergeCell ref="F9058:G9058"/>
    <mergeCell ref="E9059:F9059"/>
    <mergeCell ref="E9060:F9060"/>
    <mergeCell ref="A9061:H9061"/>
    <mergeCell ref="A9062:D9062"/>
    <mergeCell ref="E9062:H9062"/>
    <mergeCell ref="A9063:D9063"/>
    <mergeCell ref="A9064:D9064"/>
    <mergeCell ref="A9065:D9065"/>
    <mergeCell ref="A9066:D9066"/>
    <mergeCell ref="E9066:H9066"/>
    <mergeCell ref="A9072:D9072"/>
    <mergeCell ref="E9072:H9073"/>
    <mergeCell ref="B9073:D9073"/>
    <mergeCell ref="A9074:B9074"/>
    <mergeCell ref="C9074:D9074"/>
    <mergeCell ref="E9074:H9074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H9078"/>
    <mergeCell ref="A9079:B9079"/>
    <mergeCell ref="C9079:H9079"/>
    <mergeCell ref="A9080:A9081"/>
    <mergeCell ref="B9080:B9081"/>
    <mergeCell ref="C9080:C9081"/>
    <mergeCell ref="D9080:D9081"/>
    <mergeCell ref="E9080:E9081"/>
    <mergeCell ref="F9080:G9080"/>
    <mergeCell ref="H9080:H9081"/>
    <mergeCell ref="A9102:C9102"/>
    <mergeCell ref="F9102:G9102"/>
    <mergeCell ref="A9103:E9103"/>
    <mergeCell ref="F9103:G9103"/>
    <mergeCell ref="F9104:G9104"/>
    <mergeCell ref="A9105:D9105"/>
    <mergeCell ref="F9105:G9105"/>
    <mergeCell ref="E9106:F9106"/>
    <mergeCell ref="E9107:F9107"/>
    <mergeCell ref="A9108:H9108"/>
    <mergeCell ref="A9109:D9109"/>
    <mergeCell ref="E9109:H9109"/>
    <mergeCell ref="A9110:D9110"/>
    <mergeCell ref="A9111:D9111"/>
    <mergeCell ref="A9112:D9112"/>
    <mergeCell ref="A9113:D9113"/>
    <mergeCell ref="E9113:H9113"/>
    <mergeCell ref="A9118:D9118"/>
    <mergeCell ref="E9118:H9119"/>
    <mergeCell ref="B9119:D9119"/>
    <mergeCell ref="A9120:B9120"/>
    <mergeCell ref="C9120:D9120"/>
    <mergeCell ref="E9120:H9120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H9124"/>
    <mergeCell ref="A9125:B9125"/>
    <mergeCell ref="C9125:H9125"/>
    <mergeCell ref="A9126:A9127"/>
    <mergeCell ref="B9126:B9127"/>
    <mergeCell ref="C9126:C9127"/>
    <mergeCell ref="D9126:D9127"/>
    <mergeCell ref="E9126:E9127"/>
    <mergeCell ref="F9126:G9126"/>
    <mergeCell ref="H9126:H9127"/>
    <mergeCell ref="A9148:C9148"/>
    <mergeCell ref="F9148:G9148"/>
    <mergeCell ref="A9149:E9149"/>
    <mergeCell ref="F9149:G9149"/>
    <mergeCell ref="F9150:G9150"/>
    <mergeCell ref="A9151:D9151"/>
    <mergeCell ref="F9151:G9151"/>
    <mergeCell ref="E9152:F9152"/>
    <mergeCell ref="E9153:F9153"/>
    <mergeCell ref="A9154:H9154"/>
    <mergeCell ref="A9155:D9155"/>
    <mergeCell ref="E9155:H9155"/>
    <mergeCell ref="A9156:D9156"/>
    <mergeCell ref="A9157:D9157"/>
    <mergeCell ref="A9158:D9158"/>
    <mergeCell ref="A9159:D9159"/>
    <mergeCell ref="E9159:H9159"/>
    <mergeCell ref="A9164:D9164"/>
    <mergeCell ref="E9164:H9165"/>
    <mergeCell ref="B9165:D9165"/>
    <mergeCell ref="A9166:B9166"/>
    <mergeCell ref="C9166:D9166"/>
    <mergeCell ref="E9166:H9166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C9170:D9170"/>
    <mergeCell ref="E9170:H9170"/>
    <mergeCell ref="C9171:H9171"/>
    <mergeCell ref="A9172:A9173"/>
    <mergeCell ref="B9172:B9173"/>
    <mergeCell ref="C9172:C9173"/>
    <mergeCell ref="D9172:D9173"/>
    <mergeCell ref="E9172:E9173"/>
    <mergeCell ref="F9172:G9172"/>
    <mergeCell ref="H9172:H9173"/>
    <mergeCell ref="A9196:B9196"/>
    <mergeCell ref="F9196:G9196"/>
    <mergeCell ref="A9197:E9197"/>
    <mergeCell ref="F9197:G9197"/>
    <mergeCell ref="F9198:G9198"/>
    <mergeCell ref="F9199:G9199"/>
    <mergeCell ref="E9200:F9200"/>
    <mergeCell ref="E9201:F9201"/>
    <mergeCell ref="A9202:H9202"/>
    <mergeCell ref="A9203:D9203"/>
    <mergeCell ref="E9203:H9203"/>
    <mergeCell ref="A9204:D9204"/>
    <mergeCell ref="A9205:D9205"/>
    <mergeCell ref="A9206:D9206"/>
    <mergeCell ref="A9207:D9207"/>
    <mergeCell ref="E9207:H9207"/>
    <mergeCell ref="A9244:B9244"/>
    <mergeCell ref="F9244:G9244"/>
    <mergeCell ref="A9245:E9245"/>
    <mergeCell ref="F9245:G9245"/>
    <mergeCell ref="A9264:D9264"/>
    <mergeCell ref="E9264:H9265"/>
    <mergeCell ref="B9265:D9265"/>
    <mergeCell ref="A9266:B9266"/>
    <mergeCell ref="C9266:D9266"/>
    <mergeCell ref="E9266:H9266"/>
    <mergeCell ref="A9255:D9255"/>
    <mergeCell ref="E9255:H9255"/>
    <mergeCell ref="E9211:H9211"/>
    <mergeCell ref="E9216:F9216"/>
    <mergeCell ref="A9213:B9213"/>
    <mergeCell ref="C9213:D9213"/>
    <mergeCell ref="E9213:H9213"/>
    <mergeCell ref="A9211:D9211"/>
    <mergeCell ref="E9214:F9214"/>
    <mergeCell ref="E9215:F9215"/>
    <mergeCell ref="E9217:H9217"/>
    <mergeCell ref="C9217:D9217"/>
    <mergeCell ref="F9219:G9219"/>
    <mergeCell ref="H9219:H9220"/>
    <mergeCell ref="C9219:C9220"/>
    <mergeCell ref="D9219:D9220"/>
    <mergeCell ref="E9219:E9220"/>
    <mergeCell ref="B9219:B9220"/>
    <mergeCell ref="A9219:A9220"/>
    <mergeCell ref="F9246:G9246"/>
    <mergeCell ref="E9248:F9248"/>
    <mergeCell ref="E9249:F9249"/>
    <mergeCell ref="E9251:H9251"/>
    <mergeCell ref="F9247:G9247"/>
    <mergeCell ref="A9250:H9250"/>
    <mergeCell ref="A9251:D9251"/>
    <mergeCell ref="A9252:D9252"/>
    <mergeCell ref="A9253:D9253"/>
    <mergeCell ref="A9254:D9254"/>
    <mergeCell ref="F9348:G9348"/>
    <mergeCell ref="F9349:G9349"/>
    <mergeCell ref="E9350:F9350"/>
    <mergeCell ref="E9351:F9351"/>
    <mergeCell ref="A9352:H9352"/>
    <mergeCell ref="A9353:D9353"/>
    <mergeCell ref="E9353:H9353"/>
    <mergeCell ref="A9354:D9354"/>
    <mergeCell ref="A9355:D9355"/>
    <mergeCell ref="A9356:D9356"/>
    <mergeCell ref="A9357:D9357"/>
    <mergeCell ref="E9357:H9357"/>
    <mergeCell ref="A9314:B9314"/>
    <mergeCell ref="C9314:D9314"/>
    <mergeCell ref="E9314:H9314"/>
    <mergeCell ref="C9315:D9315"/>
    <mergeCell ref="E9315:F9315"/>
    <mergeCell ref="A9316:B9316"/>
    <mergeCell ref="C9316:D9316"/>
    <mergeCell ref="E9316:F9316"/>
    <mergeCell ref="A9317:B9317"/>
    <mergeCell ref="C9317:D9317"/>
    <mergeCell ref="E9317:F9317"/>
    <mergeCell ref="C9318:D9318"/>
    <mergeCell ref="E9318:H9318"/>
    <mergeCell ref="C9319:H9319"/>
    <mergeCell ref="A9320:A9321"/>
    <mergeCell ref="B9320:B9321"/>
    <mergeCell ref="E9408:H9409"/>
    <mergeCell ref="B9409:D9409"/>
    <mergeCell ref="A9410:B9410"/>
    <mergeCell ref="C9410:D9410"/>
    <mergeCell ref="E9410:H9410"/>
    <mergeCell ref="A9360:D9360"/>
    <mergeCell ref="E9360:H9361"/>
    <mergeCell ref="B9361:D9361"/>
    <mergeCell ref="A9362:B9362"/>
    <mergeCell ref="C9362:D9362"/>
    <mergeCell ref="E9362:H9362"/>
    <mergeCell ref="C9363:D9363"/>
    <mergeCell ref="E9363:F9363"/>
    <mergeCell ref="A9364:B9364"/>
    <mergeCell ref="C9364:D9364"/>
    <mergeCell ref="E9364:F9364"/>
    <mergeCell ref="A9365:B9365"/>
    <mergeCell ref="C9365:D9365"/>
    <mergeCell ref="E9365:F9365"/>
    <mergeCell ref="C9366:D9366"/>
    <mergeCell ref="E9366:H9366"/>
    <mergeCell ref="C9367:H9367"/>
    <mergeCell ref="A9442:B9442"/>
    <mergeCell ref="F9442:G9442"/>
    <mergeCell ref="A9443:E9443"/>
    <mergeCell ref="F9443:G9443"/>
    <mergeCell ref="F9444:G9444"/>
    <mergeCell ref="F9445:G9445"/>
    <mergeCell ref="E9446:F9446"/>
    <mergeCell ref="E9447:F9447"/>
    <mergeCell ref="A9448:H9448"/>
    <mergeCell ref="A9449:D9449"/>
    <mergeCell ref="E9449:H9449"/>
    <mergeCell ref="A9450:D9450"/>
    <mergeCell ref="A9451:D9451"/>
    <mergeCell ref="C9413:D9413"/>
    <mergeCell ref="E9413:F9413"/>
    <mergeCell ref="C9414:D9414"/>
    <mergeCell ref="E9414:H9414"/>
    <mergeCell ref="C9415:H9415"/>
    <mergeCell ref="A9416:A9417"/>
    <mergeCell ref="B9416:B9417"/>
    <mergeCell ref="C9416:C9417"/>
    <mergeCell ref="D9416:D9417"/>
    <mergeCell ref="E9416:E9417"/>
    <mergeCell ref="F9416:G9416"/>
    <mergeCell ref="H9416:H9417"/>
    <mergeCell ref="A9452:D9452"/>
    <mergeCell ref="A9453:D9453"/>
    <mergeCell ref="E9453:H9453"/>
    <mergeCell ref="A9456:D9456"/>
    <mergeCell ref="E9456:H9457"/>
    <mergeCell ref="B9457:D9457"/>
    <mergeCell ref="A9458:B9458"/>
    <mergeCell ref="C9458:D9458"/>
    <mergeCell ref="E9458:H9458"/>
    <mergeCell ref="C9459:D9459"/>
    <mergeCell ref="E9459:F9459"/>
    <mergeCell ref="A9460:B9460"/>
    <mergeCell ref="C9460:D9460"/>
    <mergeCell ref="E9460:F9460"/>
    <mergeCell ref="A9461:B9461"/>
    <mergeCell ref="C9461:D9461"/>
    <mergeCell ref="E9461:F9461"/>
    <mergeCell ref="C9462:D9462"/>
    <mergeCell ref="E9462:H9462"/>
    <mergeCell ref="C9463:H9463"/>
    <mergeCell ref="A9464:A9465"/>
    <mergeCell ref="B9464:B9465"/>
    <mergeCell ref="C9464:C9465"/>
    <mergeCell ref="D9464:D9465"/>
    <mergeCell ref="E9464:E9465"/>
    <mergeCell ref="F9464:G9464"/>
    <mergeCell ref="H9464:H9465"/>
    <mergeCell ref="A9536:B9536"/>
    <mergeCell ref="F9536:G9536"/>
    <mergeCell ref="A9537:E9537"/>
    <mergeCell ref="F9537:G9537"/>
    <mergeCell ref="F9538:G9538"/>
    <mergeCell ref="F9539:G9539"/>
    <mergeCell ref="E9540:F9540"/>
    <mergeCell ref="E9541:F9541"/>
    <mergeCell ref="A9542:H9542"/>
    <mergeCell ref="A9490:B9490"/>
    <mergeCell ref="F9490:G9490"/>
    <mergeCell ref="A9491:E9491"/>
    <mergeCell ref="F9491:G9491"/>
    <mergeCell ref="F9492:G9492"/>
    <mergeCell ref="F9493:G9493"/>
    <mergeCell ref="E9494:F9494"/>
    <mergeCell ref="E9495:F9495"/>
    <mergeCell ref="A9496:H9496"/>
    <mergeCell ref="A9497:D9497"/>
    <mergeCell ref="E9497:H9497"/>
    <mergeCell ref="A9498:D9498"/>
    <mergeCell ref="A9499:D9499"/>
    <mergeCell ref="A9500:D9500"/>
    <mergeCell ref="A9501:D9501"/>
    <mergeCell ref="E9501:H9501"/>
    <mergeCell ref="A9504:D9504"/>
    <mergeCell ref="E9504:H9505"/>
    <mergeCell ref="B9505:D9505"/>
    <mergeCell ref="A9506:B9506"/>
    <mergeCell ref="C9506:D9506"/>
    <mergeCell ref="E9506:H9506"/>
    <mergeCell ref="C9507:D9507"/>
    <mergeCell ref="E9507:F9507"/>
    <mergeCell ref="A9508:B9508"/>
    <mergeCell ref="C9508:D9508"/>
    <mergeCell ref="E9508:F9508"/>
    <mergeCell ref="A9509:B9509"/>
    <mergeCell ref="C9509:D9509"/>
    <mergeCell ref="E9509:F9509"/>
    <mergeCell ref="C9510:D9510"/>
    <mergeCell ref="E9510:H9510"/>
    <mergeCell ref="C9511:H9511"/>
    <mergeCell ref="A9512:A9513"/>
    <mergeCell ref="B9512:B9513"/>
    <mergeCell ref="C9512:C9513"/>
    <mergeCell ref="D9512:D9513"/>
    <mergeCell ref="E9512:E9513"/>
    <mergeCell ref="F9512:G9512"/>
    <mergeCell ref="H9512:H9513"/>
    <mergeCell ref="A9543:D9543"/>
    <mergeCell ref="E9543:H9543"/>
    <mergeCell ref="A9544:D9544"/>
    <mergeCell ref="A9545:D9545"/>
    <mergeCell ref="A9546:D9546"/>
    <mergeCell ref="A9547:D9547"/>
    <mergeCell ref="E9547:H9547"/>
    <mergeCell ref="J9550:M9550"/>
    <mergeCell ref="J9552:K9552"/>
    <mergeCell ref="L9552:M9552"/>
    <mergeCell ref="N9552:Q9552"/>
    <mergeCell ref="L9553:M9553"/>
    <mergeCell ref="N9553:O9553"/>
    <mergeCell ref="J9554:K9554"/>
    <mergeCell ref="L9554:M9554"/>
    <mergeCell ref="N9554:O9554"/>
    <mergeCell ref="J9555:K9555"/>
    <mergeCell ref="L9555:M9555"/>
    <mergeCell ref="N9555:O9555"/>
    <mergeCell ref="N9550:Q9551"/>
    <mergeCell ref="K9551:M9551"/>
    <mergeCell ref="L9556:M9556"/>
    <mergeCell ref="N9556:Q9556"/>
    <mergeCell ref="L9557:Q9557"/>
    <mergeCell ref="J9558:J9559"/>
    <mergeCell ref="K9558:K9559"/>
    <mergeCell ref="L9558:L9559"/>
    <mergeCell ref="M9558:M9559"/>
    <mergeCell ref="N9558:N9559"/>
    <mergeCell ref="O9558:P9558"/>
    <mergeCell ref="Q9558:Q9559"/>
    <mergeCell ref="J9584:K9584"/>
    <mergeCell ref="O9584:P9584"/>
    <mergeCell ref="J9585:N9585"/>
    <mergeCell ref="O9585:P9585"/>
    <mergeCell ref="O9586:P9586"/>
    <mergeCell ref="O9587:P9587"/>
    <mergeCell ref="N9588:O9588"/>
    <mergeCell ref="N9589:O9589"/>
    <mergeCell ref="J9590:Q9590"/>
    <mergeCell ref="J9591:M9591"/>
    <mergeCell ref="N9591:Q9591"/>
    <mergeCell ref="J9592:M9592"/>
    <mergeCell ref="J9593:M9593"/>
    <mergeCell ref="J9594:M9594"/>
    <mergeCell ref="J9595:M9595"/>
    <mergeCell ref="N9595:Q9595"/>
    <mergeCell ref="J9599:M9599"/>
    <mergeCell ref="N9599:Q9600"/>
    <mergeCell ref="K9600:M9600"/>
    <mergeCell ref="J9601:K9601"/>
    <mergeCell ref="M9601:N9601"/>
    <mergeCell ref="P9601:Q9601"/>
    <mergeCell ref="L9602:M9602"/>
    <mergeCell ref="N9602:O9602"/>
    <mergeCell ref="J9603:K9603"/>
    <mergeCell ref="L9603:M9603"/>
    <mergeCell ref="N9603:O9603"/>
    <mergeCell ref="J9604:K9604"/>
    <mergeCell ref="L9604:M9604"/>
    <mergeCell ref="N9604:O9604"/>
    <mergeCell ref="J9605:K9605"/>
    <mergeCell ref="L9605:M9605"/>
    <mergeCell ref="N9605:Q9605"/>
    <mergeCell ref="L9606:Q9606"/>
    <mergeCell ref="J9607:J9608"/>
    <mergeCell ref="K9607:K9608"/>
    <mergeCell ref="L9607:L9608"/>
    <mergeCell ref="M9607:M9608"/>
    <mergeCell ref="N9607:N9608"/>
    <mergeCell ref="O9607:P9607"/>
    <mergeCell ref="Q9607:Q9608"/>
    <mergeCell ref="J9635:L9635"/>
    <mergeCell ref="O9635:P9635"/>
    <mergeCell ref="J9636:N9636"/>
    <mergeCell ref="O9636:P9636"/>
    <mergeCell ref="O9637:P9637"/>
    <mergeCell ref="J9638:M9638"/>
    <mergeCell ref="O9638:P9638"/>
    <mergeCell ref="N9639:O9639"/>
    <mergeCell ref="N9640:O9640"/>
    <mergeCell ref="J9641:Q9641"/>
    <mergeCell ref="J9642:M9642"/>
    <mergeCell ref="N9642:Q9642"/>
    <mergeCell ref="J9643:M9643"/>
    <mergeCell ref="J9644:M9644"/>
    <mergeCell ref="J9645:M9645"/>
    <mergeCell ref="J9646:M9646"/>
    <mergeCell ref="N9646:Q9646"/>
    <mergeCell ref="A9599:D9599"/>
    <mergeCell ref="E9599:H9600"/>
    <mergeCell ref="B9600:D9600"/>
    <mergeCell ref="A9601:B9601"/>
    <mergeCell ref="C9601:D9601"/>
    <mergeCell ref="E9601:H9601"/>
    <mergeCell ref="C9602:D9602"/>
    <mergeCell ref="E9602:F9602"/>
    <mergeCell ref="A9603:B9603"/>
    <mergeCell ref="C9603:D9603"/>
    <mergeCell ref="E9603:F9603"/>
    <mergeCell ref="A9604:B9604"/>
    <mergeCell ref="C9604:D9604"/>
    <mergeCell ref="E9604:F9604"/>
    <mergeCell ref="C9605:D9605"/>
    <mergeCell ref="E9605:H9605"/>
    <mergeCell ref="C9606:H9606"/>
    <mergeCell ref="A9607:A9608"/>
    <mergeCell ref="B9607:B9608"/>
    <mergeCell ref="C9607:C9608"/>
    <mergeCell ref="D9607:D9608"/>
    <mergeCell ref="E9607:E9608"/>
    <mergeCell ref="F9607:G9607"/>
    <mergeCell ref="H9607:H9608"/>
    <mergeCell ref="A9634:B9634"/>
    <mergeCell ref="F9634:G9634"/>
    <mergeCell ref="A9635:E9635"/>
    <mergeCell ref="F9635:G9635"/>
    <mergeCell ref="F9636:G9636"/>
    <mergeCell ref="F9637:G9637"/>
    <mergeCell ref="E9638:F9638"/>
    <mergeCell ref="E9639:F9639"/>
    <mergeCell ref="A9640:H9640"/>
    <mergeCell ref="A9641:D9641"/>
    <mergeCell ref="E9641:H9641"/>
    <mergeCell ref="A9642:D9642"/>
    <mergeCell ref="A9643:D9643"/>
    <mergeCell ref="A9644:D9644"/>
    <mergeCell ref="A9645:D9645"/>
    <mergeCell ref="E9645:H9645"/>
    <mergeCell ref="E9689:H9689"/>
    <mergeCell ref="A9690:D9690"/>
    <mergeCell ref="A9691:D9691"/>
    <mergeCell ref="A9692:D9692"/>
    <mergeCell ref="A9693:D9693"/>
    <mergeCell ref="E9693:H9693"/>
    <mergeCell ref="C9655:D9655"/>
    <mergeCell ref="E9655:H9655"/>
    <mergeCell ref="C9656:H9656"/>
    <mergeCell ref="A9657:A9658"/>
    <mergeCell ref="B9657:B9658"/>
    <mergeCell ref="C9657:C9658"/>
    <mergeCell ref="D9657:D9658"/>
    <mergeCell ref="E9657:E9658"/>
    <mergeCell ref="F9657:G9657"/>
    <mergeCell ref="H9657:H9658"/>
    <mergeCell ref="A9682:B9682"/>
    <mergeCell ref="F9682:G9682"/>
    <mergeCell ref="A9683:E9683"/>
    <mergeCell ref="F9683:G9683"/>
    <mergeCell ref="F9684:G9684"/>
    <mergeCell ref="F9685:G9685"/>
    <mergeCell ref="E9686:F9686"/>
    <mergeCell ref="A9697:D9697"/>
    <mergeCell ref="E9697:H9698"/>
    <mergeCell ref="B9698:D9698"/>
    <mergeCell ref="A9699:B9699"/>
    <mergeCell ref="C9699:D9699"/>
    <mergeCell ref="E9699:H9699"/>
    <mergeCell ref="C9700:D9700"/>
    <mergeCell ref="E9700:F9700"/>
    <mergeCell ref="A9701:B9701"/>
    <mergeCell ref="C9701:D9701"/>
    <mergeCell ref="E9701:F9701"/>
    <mergeCell ref="A9649:D9649"/>
    <mergeCell ref="E9649:H9650"/>
    <mergeCell ref="B9650:D9650"/>
    <mergeCell ref="A9651:B9651"/>
    <mergeCell ref="C9651:D9651"/>
    <mergeCell ref="E9651:H9651"/>
    <mergeCell ref="C9652:D9652"/>
    <mergeCell ref="E9652:F9652"/>
    <mergeCell ref="A9653:B9653"/>
    <mergeCell ref="C9653:D9653"/>
    <mergeCell ref="E9653:F9653"/>
    <mergeCell ref="A9654:B9654"/>
    <mergeCell ref="C9654:D9654"/>
    <mergeCell ref="E9654:F9654"/>
    <mergeCell ref="E9687:F9687"/>
    <mergeCell ref="A9688:H9688"/>
    <mergeCell ref="A9689:D9689"/>
    <mergeCell ref="A9702:B9702"/>
    <mergeCell ref="C9702:D9702"/>
    <mergeCell ref="E9702:F9702"/>
    <mergeCell ref="C9703:D9703"/>
    <mergeCell ref="E9703:H9703"/>
    <mergeCell ref="C9704:H9704"/>
    <mergeCell ref="A9705:A9706"/>
    <mergeCell ref="B9705:B9706"/>
    <mergeCell ref="C9705:C9706"/>
    <mergeCell ref="D9705:D9706"/>
    <mergeCell ref="E9705:E9706"/>
    <mergeCell ref="F9705:G9705"/>
    <mergeCell ref="H9705:H9706"/>
    <mergeCell ref="A9730:B9730"/>
    <mergeCell ref="F9730:G9730"/>
    <mergeCell ref="A9731:E9731"/>
    <mergeCell ref="F9731:G9731"/>
    <mergeCell ref="F9732:G9732"/>
    <mergeCell ref="F9733:G9733"/>
    <mergeCell ref="E9734:F9734"/>
    <mergeCell ref="E9735:F9735"/>
    <mergeCell ref="A9736:H9736"/>
    <mergeCell ref="A9737:D9737"/>
    <mergeCell ref="E9737:H9737"/>
    <mergeCell ref="C9750:D9750"/>
    <mergeCell ref="E9750:F9750"/>
    <mergeCell ref="C9751:D9751"/>
    <mergeCell ref="E9751:H9751"/>
    <mergeCell ref="C9752:H9752"/>
    <mergeCell ref="A9753:A9754"/>
    <mergeCell ref="B9753:B9754"/>
    <mergeCell ref="C9753:C9754"/>
    <mergeCell ref="D9753:D9754"/>
    <mergeCell ref="E9753:E9754"/>
    <mergeCell ref="F9753:G9753"/>
    <mergeCell ref="H9753:H9754"/>
    <mergeCell ref="A9778:B9778"/>
    <mergeCell ref="F9778:G9778"/>
    <mergeCell ref="A9779:E9779"/>
    <mergeCell ref="F9779:G9779"/>
    <mergeCell ref="A9738:D9738"/>
    <mergeCell ref="A9739:D9739"/>
    <mergeCell ref="A9740:D9740"/>
    <mergeCell ref="A9741:D9741"/>
    <mergeCell ref="E9741:H9741"/>
    <mergeCell ref="A9745:D9745"/>
    <mergeCell ref="E9745:H9746"/>
    <mergeCell ref="B9746:D9746"/>
    <mergeCell ref="A9747:B9747"/>
    <mergeCell ref="C9747:D9747"/>
    <mergeCell ref="E9747:H9747"/>
    <mergeCell ref="C9748:D9748"/>
    <mergeCell ref="E9748:F9748"/>
    <mergeCell ref="A9749:B9749"/>
    <mergeCell ref="C9749:D9749"/>
    <mergeCell ref="E9749:F9749"/>
    <mergeCell ref="F9780:G9780"/>
    <mergeCell ref="F9781:G9781"/>
    <mergeCell ref="E9782:F9782"/>
    <mergeCell ref="E9783:F9783"/>
    <mergeCell ref="A9784:H9784"/>
    <mergeCell ref="A9785:D9785"/>
    <mergeCell ref="E9785:H9785"/>
    <mergeCell ref="A9786:D9786"/>
    <mergeCell ref="A9787:D9787"/>
    <mergeCell ref="A9788:D9788"/>
    <mergeCell ref="A9789:D9789"/>
    <mergeCell ref="E9789:H9789"/>
    <mergeCell ref="A9792:D9792"/>
    <mergeCell ref="E9792:H9793"/>
    <mergeCell ref="B9793:D9793"/>
    <mergeCell ref="A9794:B9794"/>
    <mergeCell ref="C9794:D9794"/>
    <mergeCell ref="E9794:H9794"/>
    <mergeCell ref="C9795:D9795"/>
    <mergeCell ref="E9795:F9795"/>
    <mergeCell ref="A9796:B9796"/>
    <mergeCell ref="C9796:D9796"/>
    <mergeCell ref="E9796:F9796"/>
    <mergeCell ref="A9797:B9797"/>
    <mergeCell ref="C9797:D9797"/>
    <mergeCell ref="E9797:F9797"/>
    <mergeCell ref="A9798:B9798"/>
    <mergeCell ref="C9798:D9798"/>
    <mergeCell ref="E9798:G9798"/>
    <mergeCell ref="A9800:A9801"/>
    <mergeCell ref="B9800:B9801"/>
    <mergeCell ref="C9800:C9801"/>
    <mergeCell ref="D9800:D9801"/>
    <mergeCell ref="E9800:E9801"/>
    <mergeCell ref="F9800:G9800"/>
    <mergeCell ref="H9800:H9801"/>
    <mergeCell ref="A9819:B9819"/>
    <mergeCell ref="F9819:G9819"/>
    <mergeCell ref="A9820:E9820"/>
    <mergeCell ref="F9820:G9820"/>
    <mergeCell ref="F9821:G9821"/>
    <mergeCell ref="A9822:B9822"/>
    <mergeCell ref="F9822:G9822"/>
    <mergeCell ref="E9824:F9824"/>
    <mergeCell ref="E9825:F9825"/>
    <mergeCell ref="A9826:H9826"/>
    <mergeCell ref="A9827:D9827"/>
    <mergeCell ref="E9827:H9827"/>
    <mergeCell ref="A9828:D9828"/>
    <mergeCell ref="A9829:D9829"/>
    <mergeCell ref="A9830:D9830"/>
    <mergeCell ref="A9831:D9831"/>
    <mergeCell ref="E9831:H9831"/>
    <mergeCell ref="A9835:D9835"/>
    <mergeCell ref="E9835:H9836"/>
    <mergeCell ref="B9836:D9836"/>
    <mergeCell ref="A9837:B9837"/>
    <mergeCell ref="D9837:E9837"/>
    <mergeCell ref="G9837:H9837"/>
    <mergeCell ref="C9838:D9838"/>
    <mergeCell ref="E9838:F9838"/>
    <mergeCell ref="A9839:B9839"/>
    <mergeCell ref="C9839:D9839"/>
    <mergeCell ref="E9839:F9839"/>
    <mergeCell ref="A9840:B9840"/>
    <mergeCell ref="C9840:D9840"/>
    <mergeCell ref="E9840:F9840"/>
    <mergeCell ref="A9841:B9841"/>
    <mergeCell ref="C9841:D9841"/>
    <mergeCell ref="E9841:H9841"/>
    <mergeCell ref="E9873:F9873"/>
    <mergeCell ref="A9874:H9874"/>
    <mergeCell ref="A9875:D9875"/>
    <mergeCell ref="E9875:H9875"/>
    <mergeCell ref="A9876:D9876"/>
    <mergeCell ref="A9877:D9877"/>
    <mergeCell ref="A9878:D9878"/>
    <mergeCell ref="A9879:D9879"/>
    <mergeCell ref="E9879:H9879"/>
    <mergeCell ref="A9842:B9842"/>
    <mergeCell ref="C9842:H9842"/>
    <mergeCell ref="A9843:A9844"/>
    <mergeCell ref="B9843:B9844"/>
    <mergeCell ref="C9843:C9844"/>
    <mergeCell ref="D9843:D9844"/>
    <mergeCell ref="E9843:E9844"/>
    <mergeCell ref="F9843:G9843"/>
    <mergeCell ref="H9843:H9844"/>
    <mergeCell ref="A9868:C9868"/>
    <mergeCell ref="F9868:G9868"/>
    <mergeCell ref="A9869:E9869"/>
    <mergeCell ref="F9869:G9869"/>
    <mergeCell ref="F9870:G9870"/>
    <mergeCell ref="A9871:D9871"/>
    <mergeCell ref="F9871:G9871"/>
    <mergeCell ref="E9872:F9872"/>
    <mergeCell ref="B9937:B9938"/>
    <mergeCell ref="C9937:C9938"/>
    <mergeCell ref="D9937:D9938"/>
    <mergeCell ref="A10014:D10014"/>
    <mergeCell ref="A10015:D10015"/>
    <mergeCell ref="A10016:D10016"/>
    <mergeCell ref="E9937:E9938"/>
    <mergeCell ref="F9937:G9937"/>
    <mergeCell ref="H9937:H9938"/>
    <mergeCell ref="F9959:G9959"/>
    <mergeCell ref="A9960:E9960"/>
    <mergeCell ref="F9960:G9960"/>
    <mergeCell ref="F10006:G10006"/>
    <mergeCell ref="A10007:E10007"/>
    <mergeCell ref="F10007:G10007"/>
    <mergeCell ref="F10008:G10008"/>
    <mergeCell ref="F10009:G10009"/>
    <mergeCell ref="E10010:F10010"/>
    <mergeCell ref="E10011:F10011"/>
    <mergeCell ref="A10012:H10012"/>
    <mergeCell ref="A10013:D10013"/>
    <mergeCell ref="E10013:H10013"/>
    <mergeCell ref="A9978:B9978"/>
    <mergeCell ref="C9978:D9978"/>
    <mergeCell ref="E9978:F9978"/>
    <mergeCell ref="A9979:B9979"/>
    <mergeCell ref="C9979:D9979"/>
    <mergeCell ref="E9979:F9979"/>
    <mergeCell ref="A9980:B9980"/>
    <mergeCell ref="C9980:D9980"/>
    <mergeCell ref="E9980:H9980"/>
    <mergeCell ref="A9981:B9981"/>
    <mergeCell ref="C9981:H9981"/>
    <mergeCell ref="A9982:A9983"/>
    <mergeCell ref="B9982:B9983"/>
    <mergeCell ref="C9982:C9983"/>
    <mergeCell ref="D9982:D9983"/>
    <mergeCell ref="E9982:E9983"/>
    <mergeCell ref="F9982:G9982"/>
    <mergeCell ref="H9982:H9983"/>
    <mergeCell ref="A10017:D10017"/>
    <mergeCell ref="E10017:H10017"/>
    <mergeCell ref="A10021:D10021"/>
    <mergeCell ref="E10021:H10022"/>
    <mergeCell ref="B10022:D10022"/>
    <mergeCell ref="A10053:B10053"/>
    <mergeCell ref="F10053:G10053"/>
    <mergeCell ref="A10054:E10054"/>
    <mergeCell ref="F10054:G10054"/>
    <mergeCell ref="F10055:G10055"/>
    <mergeCell ref="F10056:G10056"/>
    <mergeCell ref="E10057:F10057"/>
    <mergeCell ref="E10058:F10058"/>
    <mergeCell ref="A10059:H10059"/>
    <mergeCell ref="A10060:D10060"/>
    <mergeCell ref="E10060:H10060"/>
    <mergeCell ref="A10061:D10061"/>
    <mergeCell ref="A10062:D10062"/>
    <mergeCell ref="A10063:D10063"/>
    <mergeCell ref="A10064:D10064"/>
    <mergeCell ref="E10064:H10064"/>
    <mergeCell ref="A10023:B10023"/>
    <mergeCell ref="C10023:D10023"/>
    <mergeCell ref="A10073:B10073"/>
    <mergeCell ref="C10073:D10073"/>
    <mergeCell ref="E10073:F10073"/>
    <mergeCell ref="A10074:B10074"/>
    <mergeCell ref="C10074:D10074"/>
    <mergeCell ref="E10074:F10074"/>
    <mergeCell ref="A10075:B10075"/>
    <mergeCell ref="C10075:D10075"/>
    <mergeCell ref="E10075:H10075"/>
    <mergeCell ref="E10106:F10106"/>
    <mergeCell ref="A10076:B10076"/>
    <mergeCell ref="C10076:H10076"/>
    <mergeCell ref="A10077:A10078"/>
    <mergeCell ref="B10077:B10078"/>
    <mergeCell ref="C10077:C10078"/>
    <mergeCell ref="D10077:D10078"/>
    <mergeCell ref="E10077:E10078"/>
    <mergeCell ref="F10077:G10077"/>
    <mergeCell ref="H10077:H10078"/>
    <mergeCell ref="A10101:B10101"/>
    <mergeCell ref="F10101:G10101"/>
    <mergeCell ref="A10102:E10102"/>
    <mergeCell ref="F10102:G10102"/>
    <mergeCell ref="F10103:G10103"/>
    <mergeCell ref="A10104:B10104"/>
    <mergeCell ref="F10104:G10104"/>
    <mergeCell ref="E10105:F10105"/>
    <mergeCell ref="A10069:D10069"/>
    <mergeCell ref="E10069:H10070"/>
    <mergeCell ref="B10070:D10070"/>
    <mergeCell ref="A10071:B10071"/>
    <mergeCell ref="C10071:D10071"/>
    <mergeCell ref="E10071:H10071"/>
    <mergeCell ref="C10072:D10072"/>
    <mergeCell ref="E10072:F10072"/>
    <mergeCell ref="A10122:B10122"/>
    <mergeCell ref="C10122:D10122"/>
    <mergeCell ref="E10122:H10122"/>
    <mergeCell ref="A10123:B10123"/>
    <mergeCell ref="C10123:H10123"/>
    <mergeCell ref="A10124:A10125"/>
    <mergeCell ref="B10124:B10125"/>
    <mergeCell ref="C10124:C10125"/>
    <mergeCell ref="D10124:D10125"/>
    <mergeCell ref="E10124:E10125"/>
    <mergeCell ref="F10124:G10124"/>
    <mergeCell ref="H10124:H10125"/>
    <mergeCell ref="A10149:C10149"/>
    <mergeCell ref="F10149:G10149"/>
    <mergeCell ref="A10150:E10150"/>
    <mergeCell ref="F10150:G10150"/>
    <mergeCell ref="F10151:G10151"/>
    <mergeCell ref="A10152:D10152"/>
    <mergeCell ref="F10152:G10152"/>
    <mergeCell ref="E10153:F10153"/>
    <mergeCell ref="E10154:F10154"/>
    <mergeCell ref="A10155:H10155"/>
    <mergeCell ref="A10156:D10156"/>
    <mergeCell ref="E10156:H10156"/>
    <mergeCell ref="A10157:D10157"/>
    <mergeCell ref="A10158:D10158"/>
    <mergeCell ref="A10159:D10159"/>
    <mergeCell ref="A10160:D10160"/>
    <mergeCell ref="E10160:H10160"/>
    <mergeCell ref="A10164:D10164"/>
    <mergeCell ref="E10164:H10165"/>
    <mergeCell ref="B10165:D10165"/>
    <mergeCell ref="A10166:B10166"/>
    <mergeCell ref="C10166:D10166"/>
    <mergeCell ref="E10166:H10166"/>
    <mergeCell ref="C10167:D10167"/>
    <mergeCell ref="E10167:F10167"/>
    <mergeCell ref="A10168:B10168"/>
    <mergeCell ref="C10168:D10168"/>
    <mergeCell ref="E10168:F10168"/>
    <mergeCell ref="A10169:B10169"/>
    <mergeCell ref="C10169:D10169"/>
    <mergeCell ref="E10169:F10169"/>
    <mergeCell ref="A10170:B10170"/>
    <mergeCell ref="C10170:D10170"/>
    <mergeCell ref="E10170:H10170"/>
    <mergeCell ref="A10171:B10171"/>
    <mergeCell ref="C10171:H10171"/>
    <mergeCell ref="A10172:A10173"/>
    <mergeCell ref="B10172:B10173"/>
    <mergeCell ref="C10172:C10173"/>
    <mergeCell ref="D10172:D10173"/>
    <mergeCell ref="E10172:E10173"/>
    <mergeCell ref="F10172:G10172"/>
    <mergeCell ref="H10172:H10173"/>
    <mergeCell ref="A10196:B10196"/>
    <mergeCell ref="F10196:G10196"/>
    <mergeCell ref="A10197:E10197"/>
    <mergeCell ref="F10197:G10197"/>
    <mergeCell ref="F10198:G10198"/>
    <mergeCell ref="A10199:B10199"/>
    <mergeCell ref="F10199:G10199"/>
    <mergeCell ref="E10200:F10200"/>
    <mergeCell ref="E10201:F10201"/>
    <mergeCell ref="A10202:H10202"/>
    <mergeCell ref="A10203:D10203"/>
    <mergeCell ref="E10203:H10203"/>
    <mergeCell ref="A10204:D10204"/>
    <mergeCell ref="A10205:D10205"/>
    <mergeCell ref="A10206:D10206"/>
    <mergeCell ref="A10207:D10207"/>
    <mergeCell ref="E10207:H10207"/>
    <mergeCell ref="A10211:D10211"/>
    <mergeCell ref="E10211:H10212"/>
    <mergeCell ref="B10212:D10212"/>
    <mergeCell ref="A10213:B10213"/>
    <mergeCell ref="C10213:D10213"/>
    <mergeCell ref="E10213:H10213"/>
    <mergeCell ref="C10214:D10214"/>
    <mergeCell ref="E10214:F10214"/>
    <mergeCell ref="A10215:B10215"/>
    <mergeCell ref="C10215:D10215"/>
    <mergeCell ref="E10215:F10215"/>
    <mergeCell ref="A10216:B10216"/>
    <mergeCell ref="C10216:D10216"/>
    <mergeCell ref="E10216:F10216"/>
    <mergeCell ref="A10217:B10217"/>
    <mergeCell ref="C10217:D10217"/>
    <mergeCell ref="E10217:G10217"/>
    <mergeCell ref="A10219:A10220"/>
    <mergeCell ref="B10219:B10220"/>
    <mergeCell ref="C10219:C10220"/>
    <mergeCell ref="D10219:D10220"/>
    <mergeCell ref="E10219:E10220"/>
    <mergeCell ref="F10219:G10219"/>
    <mergeCell ref="H10219:H10220"/>
    <mergeCell ref="A10240:B10240"/>
    <mergeCell ref="F10240:G10240"/>
    <mergeCell ref="A10241:E10241"/>
    <mergeCell ref="F10241:G10241"/>
    <mergeCell ref="F10242:G10242"/>
    <mergeCell ref="A10243:B10243"/>
    <mergeCell ref="F10243:G10243"/>
    <mergeCell ref="E10245:F10245"/>
    <mergeCell ref="E10246:F10246"/>
    <mergeCell ref="A10247:H10247"/>
    <mergeCell ref="A10248:D10248"/>
    <mergeCell ref="E10248:H10248"/>
    <mergeCell ref="A10249:D10249"/>
    <mergeCell ref="A10250:D10250"/>
    <mergeCell ref="A10251:D10251"/>
    <mergeCell ref="A10252:D10252"/>
    <mergeCell ref="E10252:H10252"/>
    <mergeCell ref="A10256:D10256"/>
    <mergeCell ref="E10256:H10257"/>
    <mergeCell ref="B10257:D10257"/>
    <mergeCell ref="A10258:B10258"/>
    <mergeCell ref="C10258:D10258"/>
    <mergeCell ref="E10258:H10258"/>
    <mergeCell ref="C10259:D10259"/>
    <mergeCell ref="E10259:F10259"/>
    <mergeCell ref="A10260:B10260"/>
    <mergeCell ref="C10260:D10260"/>
    <mergeCell ref="E10260:F10260"/>
    <mergeCell ref="F10289:G10289"/>
    <mergeCell ref="F10290:G10290"/>
    <mergeCell ref="E10291:F10291"/>
    <mergeCell ref="E10292:F10292"/>
    <mergeCell ref="A10293:H10293"/>
    <mergeCell ref="A10294:D10294"/>
    <mergeCell ref="E10294:H10294"/>
    <mergeCell ref="A10295:D10295"/>
    <mergeCell ref="A10296:D10296"/>
    <mergeCell ref="A10297:D10297"/>
    <mergeCell ref="A10298:D10298"/>
    <mergeCell ref="E10298:H10298"/>
    <mergeCell ref="A10261:B10261"/>
    <mergeCell ref="C10261:D10261"/>
    <mergeCell ref="E10261:F10261"/>
    <mergeCell ref="A10262:B10262"/>
    <mergeCell ref="C10262:D10262"/>
    <mergeCell ref="E10262:H10262"/>
    <mergeCell ref="A10263:B10263"/>
    <mergeCell ref="C10263:H10263"/>
    <mergeCell ref="A10264:A10265"/>
    <mergeCell ref="B10264:B10265"/>
    <mergeCell ref="C10264:C10265"/>
    <mergeCell ref="D10264:D10265"/>
    <mergeCell ref="E10264:E10265"/>
    <mergeCell ref="F10264:G10264"/>
    <mergeCell ref="H10264:H10265"/>
    <mergeCell ref="F10287:G10287"/>
    <mergeCell ref="A10288:E10288"/>
    <mergeCell ref="F10288:G10288"/>
    <mergeCell ref="A10302:D10302"/>
    <mergeCell ref="E10302:H10303"/>
    <mergeCell ref="B10303:D10303"/>
    <mergeCell ref="A10304:B10304"/>
    <mergeCell ref="C10304:D10304"/>
    <mergeCell ref="E10304:H10304"/>
    <mergeCell ref="C10305:D10305"/>
    <mergeCell ref="E10305:F10305"/>
    <mergeCell ref="A10306:B10306"/>
    <mergeCell ref="C10306:D10306"/>
    <mergeCell ref="E10306:F10306"/>
    <mergeCell ref="A10307:B10307"/>
    <mergeCell ref="C10307:D10307"/>
    <mergeCell ref="E10307:F10307"/>
    <mergeCell ref="C10308:D10308"/>
    <mergeCell ref="E10308:H10308"/>
    <mergeCell ref="C10309:H10309"/>
    <mergeCell ref="A10310:A10311"/>
    <mergeCell ref="B10310:B10311"/>
    <mergeCell ref="C10310:C10311"/>
    <mergeCell ref="D10310:D10311"/>
    <mergeCell ref="E10310:E10311"/>
    <mergeCell ref="F10310:G10310"/>
    <mergeCell ref="H10310:H10311"/>
    <mergeCell ref="A10334:B10334"/>
    <mergeCell ref="F10334:G10334"/>
    <mergeCell ref="A10335:E10335"/>
    <mergeCell ref="F10335:G10335"/>
    <mergeCell ref="F10336:G10336"/>
    <mergeCell ref="F10337:G10337"/>
    <mergeCell ref="E10338:F10338"/>
    <mergeCell ref="E10339:F10339"/>
    <mergeCell ref="A10340:H10340"/>
    <mergeCell ref="A10341:D10341"/>
    <mergeCell ref="E10341:H10341"/>
    <mergeCell ref="A10342:D10342"/>
    <mergeCell ref="A10343:D10343"/>
    <mergeCell ref="A10344:D10344"/>
    <mergeCell ref="A10345:D10345"/>
    <mergeCell ref="E10345:H10345"/>
    <mergeCell ref="A10349:D10349"/>
    <mergeCell ref="E10349:H10350"/>
    <mergeCell ref="B10350:D10350"/>
    <mergeCell ref="A10351:B10351"/>
    <mergeCell ref="C10351:D10351"/>
    <mergeCell ref="E10351:H10351"/>
    <mergeCell ref="C10352:D10352"/>
    <mergeCell ref="E10352:F10352"/>
    <mergeCell ref="A10353:B10353"/>
    <mergeCell ref="C10353:D10353"/>
    <mergeCell ref="E10353:F10353"/>
    <mergeCell ref="A10354:B10354"/>
    <mergeCell ref="C10354:D10354"/>
    <mergeCell ref="E10354:F10354"/>
    <mergeCell ref="C10355:D10355"/>
    <mergeCell ref="E10355:H10355"/>
    <mergeCell ref="C10356:H10356"/>
    <mergeCell ref="A10357:A10358"/>
    <mergeCell ref="B10357:B10358"/>
    <mergeCell ref="C10357:C10358"/>
    <mergeCell ref="D10357:D10358"/>
    <mergeCell ref="E10357:E10358"/>
    <mergeCell ref="F10357:G10357"/>
    <mergeCell ref="H10357:H10358"/>
    <mergeCell ref="A10381:B10381"/>
    <mergeCell ref="F10381:G10381"/>
    <mergeCell ref="A10382:E10382"/>
    <mergeCell ref="F10382:G10382"/>
    <mergeCell ref="F10383:G10383"/>
    <mergeCell ref="F10384:G10384"/>
    <mergeCell ref="E10385:F10385"/>
    <mergeCell ref="E10386:F10386"/>
    <mergeCell ref="A10387:H10387"/>
    <mergeCell ref="A10388:D10388"/>
    <mergeCell ref="E10388:H10388"/>
    <mergeCell ref="A10389:D10389"/>
    <mergeCell ref="A10390:D10390"/>
    <mergeCell ref="A10391:D10391"/>
    <mergeCell ref="A10392:D10392"/>
    <mergeCell ref="E10392:H10392"/>
    <mergeCell ref="A10397:D10397"/>
    <mergeCell ref="E10397:H10398"/>
    <mergeCell ref="B10398:D10398"/>
    <mergeCell ref="A10399:B10399"/>
    <mergeCell ref="C10399:D10399"/>
    <mergeCell ref="E10399:H10399"/>
    <mergeCell ref="C10400:D10400"/>
    <mergeCell ref="E10400:F10400"/>
    <mergeCell ref="A10401:B10401"/>
    <mergeCell ref="C10401:D10401"/>
    <mergeCell ref="E10401:F10401"/>
    <mergeCell ref="A10402:B10402"/>
    <mergeCell ref="C10402:D10402"/>
    <mergeCell ref="E10402:F10402"/>
    <mergeCell ref="C10403:D10403"/>
    <mergeCell ref="E10403:H10403"/>
    <mergeCell ref="C10404:H10404"/>
    <mergeCell ref="A10405:A10406"/>
    <mergeCell ref="B10405:B10406"/>
    <mergeCell ref="C10405:C10406"/>
    <mergeCell ref="D10405:D10406"/>
    <mergeCell ref="E10405:E10406"/>
    <mergeCell ref="F10405:G10405"/>
    <mergeCell ref="H10405:H10406"/>
    <mergeCell ref="A10424:B10424"/>
    <mergeCell ref="F10424:G10424"/>
    <mergeCell ref="C10449:C10450"/>
    <mergeCell ref="D10449:D10450"/>
    <mergeCell ref="E10449:E10450"/>
    <mergeCell ref="F10449:G10449"/>
    <mergeCell ref="H10449:H10450"/>
    <mergeCell ref="A10425:E10425"/>
    <mergeCell ref="F10425:G10425"/>
    <mergeCell ref="F10426:G10426"/>
    <mergeCell ref="F10427:G10427"/>
    <mergeCell ref="E10428:F10428"/>
    <mergeCell ref="E10429:F10429"/>
    <mergeCell ref="A10430:H10430"/>
    <mergeCell ref="A10431:D10431"/>
    <mergeCell ref="E10431:H10431"/>
    <mergeCell ref="A10432:D10432"/>
    <mergeCell ref="A10433:D10433"/>
    <mergeCell ref="A10434:D10434"/>
    <mergeCell ref="A10435:D10435"/>
    <mergeCell ref="E10435:H10435"/>
    <mergeCell ref="A10441:D10441"/>
    <mergeCell ref="E10441:H10442"/>
    <mergeCell ref="B10442:D10442"/>
    <mergeCell ref="A10469:B10469"/>
    <mergeCell ref="F10469:G10469"/>
    <mergeCell ref="A10470:E10470"/>
    <mergeCell ref="F10470:G10470"/>
    <mergeCell ref="F10471:G10471"/>
    <mergeCell ref="F10472:G10472"/>
    <mergeCell ref="E10473:F10473"/>
    <mergeCell ref="E10474:F10474"/>
    <mergeCell ref="A10475:H10475"/>
    <mergeCell ref="A10476:D10476"/>
    <mergeCell ref="E10476:H10476"/>
    <mergeCell ref="A10477:D10477"/>
    <mergeCell ref="A10478:D10478"/>
    <mergeCell ref="A10479:D10479"/>
    <mergeCell ref="A10480:D10480"/>
    <mergeCell ref="E10480:H10480"/>
    <mergeCell ref="A10443:B10443"/>
    <mergeCell ref="C10443:D10443"/>
    <mergeCell ref="E10443:H10443"/>
    <mergeCell ref="C10444:D10444"/>
    <mergeCell ref="E10444:F10444"/>
    <mergeCell ref="A10445:B10445"/>
    <mergeCell ref="C10445:D10445"/>
    <mergeCell ref="E10445:F10445"/>
    <mergeCell ref="A10446:B10446"/>
    <mergeCell ref="C10446:D10446"/>
    <mergeCell ref="E10446:F10446"/>
    <mergeCell ref="C10447:D10447"/>
    <mergeCell ref="E10447:H10447"/>
    <mergeCell ref="C10448:H10448"/>
    <mergeCell ref="A10449:A10450"/>
    <mergeCell ref="B10449:B10450"/>
    <mergeCell ref="A10484:D10484"/>
    <mergeCell ref="E10484:H10485"/>
    <mergeCell ref="B10485:D10485"/>
    <mergeCell ref="D10486:E10486"/>
    <mergeCell ref="C10487:D10487"/>
    <mergeCell ref="E10487:F10487"/>
    <mergeCell ref="A10488:B10488"/>
    <mergeCell ref="C10488:D10488"/>
    <mergeCell ref="E10488:F10488"/>
    <mergeCell ref="A10489:B10489"/>
    <mergeCell ref="C10489:D10489"/>
    <mergeCell ref="E10489:F10489"/>
    <mergeCell ref="A10490:B10490"/>
    <mergeCell ref="C10490:D10490"/>
    <mergeCell ref="E10490:H10490"/>
    <mergeCell ref="A10491:B10491"/>
    <mergeCell ref="C10491:H10491"/>
    <mergeCell ref="A10492:A10493"/>
    <mergeCell ref="B10492:B10493"/>
    <mergeCell ref="C10492:C10493"/>
    <mergeCell ref="D10492:D10493"/>
    <mergeCell ref="E10492:E10493"/>
    <mergeCell ref="F10492:G10492"/>
    <mergeCell ref="H10492:H10493"/>
    <mergeCell ref="F10510:G10510"/>
    <mergeCell ref="A10511:E10511"/>
    <mergeCell ref="F10511:G10511"/>
    <mergeCell ref="F10512:G10512"/>
    <mergeCell ref="F10513:G10513"/>
    <mergeCell ref="E10514:F10514"/>
    <mergeCell ref="E10515:F10515"/>
    <mergeCell ref="A10516:H10516"/>
    <mergeCell ref="A10517:D10517"/>
    <mergeCell ref="E10517:H10517"/>
    <mergeCell ref="A10518:D10518"/>
    <mergeCell ref="A10519:D10519"/>
    <mergeCell ref="A10520:D10520"/>
    <mergeCell ref="E10520:H10520"/>
    <mergeCell ref="A10521:D10521"/>
    <mergeCell ref="E10521:H10521"/>
    <mergeCell ref="A10525:D10525"/>
    <mergeCell ref="E10525:H10526"/>
    <mergeCell ref="B10526:D10526"/>
    <mergeCell ref="A10527:B10527"/>
    <mergeCell ref="D10527:E10527"/>
    <mergeCell ref="G10527:H10527"/>
    <mergeCell ref="C10528:D10528"/>
    <mergeCell ref="E10528:F10528"/>
    <mergeCell ref="A10529:B10529"/>
    <mergeCell ref="C10529:D10529"/>
    <mergeCell ref="E10529:F10529"/>
    <mergeCell ref="A10530:B10530"/>
    <mergeCell ref="C10530:D10530"/>
    <mergeCell ref="E10530:F10530"/>
    <mergeCell ref="A10531:B10531"/>
    <mergeCell ref="C10531:D10531"/>
    <mergeCell ref="E10531:H10531"/>
    <mergeCell ref="A10532:B10532"/>
    <mergeCell ref="C10532:H10532"/>
    <mergeCell ref="A10533:A10534"/>
    <mergeCell ref="B10533:B10534"/>
    <mergeCell ref="C10533:C10534"/>
    <mergeCell ref="D10533:D10534"/>
    <mergeCell ref="E10533:E10534"/>
    <mergeCell ref="F10533:G10533"/>
    <mergeCell ref="H10533:H10534"/>
    <mergeCell ref="A10558:C10558"/>
    <mergeCell ref="F10558:G10558"/>
    <mergeCell ref="A10559:E10559"/>
    <mergeCell ref="F10559:G10559"/>
    <mergeCell ref="F10560:G10560"/>
    <mergeCell ref="A10561:D10561"/>
    <mergeCell ref="F10561:G10561"/>
    <mergeCell ref="E10562:F10562"/>
    <mergeCell ref="E10563:F10563"/>
    <mergeCell ref="A10564:H10564"/>
    <mergeCell ref="A10565:D10565"/>
    <mergeCell ref="E10565:H10565"/>
    <mergeCell ref="A10566:D10566"/>
    <mergeCell ref="A10567:D10567"/>
    <mergeCell ref="A10568:D10568"/>
    <mergeCell ref="A10569:D10569"/>
    <mergeCell ref="E10569:H10569"/>
    <mergeCell ref="A10573:D10573"/>
    <mergeCell ref="E10573:H10574"/>
    <mergeCell ref="B10574:D10574"/>
    <mergeCell ref="A10575:B10575"/>
    <mergeCell ref="C10575:D10575"/>
    <mergeCell ref="E10575:H10575"/>
    <mergeCell ref="C10576:D10576"/>
    <mergeCell ref="E10576:F10576"/>
    <mergeCell ref="A10577:B10577"/>
    <mergeCell ref="C10577:D10577"/>
    <mergeCell ref="E10577:F10577"/>
    <mergeCell ref="A10578:B10578"/>
    <mergeCell ref="C10578:D10578"/>
    <mergeCell ref="E10578:F10578"/>
    <mergeCell ref="A10579:B10579"/>
    <mergeCell ref="C10579:D10579"/>
    <mergeCell ref="E10579:H10579"/>
    <mergeCell ref="C10580:H10580"/>
    <mergeCell ref="A10581:A10582"/>
    <mergeCell ref="B10581:B10582"/>
    <mergeCell ref="C10581:C10582"/>
    <mergeCell ref="D10581:D10582"/>
    <mergeCell ref="E10581:E10582"/>
    <mergeCell ref="F10581:G10581"/>
    <mergeCell ref="H10581:H10582"/>
    <mergeCell ref="A10606:C10606"/>
    <mergeCell ref="F10606:G10606"/>
    <mergeCell ref="A10607:E10607"/>
    <mergeCell ref="F10607:G10607"/>
    <mergeCell ref="F10608:G10608"/>
    <mergeCell ref="A10609:D10609"/>
    <mergeCell ref="F10609:G10609"/>
    <mergeCell ref="E10610:F10610"/>
    <mergeCell ref="E10611:F10611"/>
    <mergeCell ref="A10612:H10612"/>
    <mergeCell ref="A10613:D10613"/>
    <mergeCell ref="E10613:H10613"/>
    <mergeCell ref="A10614:D10614"/>
    <mergeCell ref="A10615:D10615"/>
    <mergeCell ref="A10616:D10616"/>
    <mergeCell ref="A10617:D10617"/>
    <mergeCell ref="E10617:H10617"/>
    <mergeCell ref="A11370:D11370"/>
    <mergeCell ref="E11370:H11371"/>
    <mergeCell ref="B11371:D11371"/>
    <mergeCell ref="A11372:B11372"/>
    <mergeCell ref="C11372:D11372"/>
    <mergeCell ref="E11372:H11372"/>
    <mergeCell ref="C11373:D11373"/>
    <mergeCell ref="E11373:F11373"/>
    <mergeCell ref="A11374:B11374"/>
    <mergeCell ref="C11374:D11374"/>
    <mergeCell ref="E11374:F11374"/>
    <mergeCell ref="A11375:B11375"/>
    <mergeCell ref="C11375:D11375"/>
    <mergeCell ref="E11375:F11375"/>
    <mergeCell ref="A11376:B11376"/>
    <mergeCell ref="C11376:D11376"/>
    <mergeCell ref="E11376:H11376"/>
    <mergeCell ref="E10706:F10706"/>
    <mergeCell ref="A10707:H10707"/>
    <mergeCell ref="A10708:D10708"/>
    <mergeCell ref="E10708:H10708"/>
    <mergeCell ref="A10709:D10709"/>
    <mergeCell ref="A10710:D10710"/>
    <mergeCell ref="A10711:D10711"/>
    <mergeCell ref="A10712:D10712"/>
    <mergeCell ref="E10712:H10712"/>
    <mergeCell ref="A10716:D10716"/>
    <mergeCell ref="E10716:H10717"/>
    <mergeCell ref="B10717:D10717"/>
    <mergeCell ref="A10718:B10718"/>
    <mergeCell ref="C10718:D10718"/>
    <mergeCell ref="E10718:H10718"/>
    <mergeCell ref="A10672:B10672"/>
    <mergeCell ref="C10672:D10672"/>
    <mergeCell ref="E10672:F10672"/>
    <mergeCell ref="A10673:B10673"/>
    <mergeCell ref="C10673:D10673"/>
    <mergeCell ref="E10673:F10673"/>
    <mergeCell ref="A10750:E10750"/>
    <mergeCell ref="F10750:G10750"/>
    <mergeCell ref="F10751:G10751"/>
    <mergeCell ref="F10752:G10752"/>
    <mergeCell ref="E10753:F10753"/>
    <mergeCell ref="E10754:F10754"/>
    <mergeCell ref="A10755:H10755"/>
    <mergeCell ref="A10756:D10756"/>
    <mergeCell ref="E10756:H10756"/>
    <mergeCell ref="A11377:B11377"/>
    <mergeCell ref="C11377:H11377"/>
    <mergeCell ref="A11378:A11379"/>
    <mergeCell ref="B11378:B11379"/>
    <mergeCell ref="C11378:C11379"/>
    <mergeCell ref="D11378:D11379"/>
    <mergeCell ref="E11378:E11379"/>
    <mergeCell ref="F11378:G11378"/>
    <mergeCell ref="H11378:H11379"/>
    <mergeCell ref="A10629:A10630"/>
    <mergeCell ref="B10629:B10630"/>
    <mergeCell ref="C10629:C10630"/>
    <mergeCell ref="D10629:D10630"/>
    <mergeCell ref="E10629:E10630"/>
    <mergeCell ref="F10629:G10629"/>
    <mergeCell ref="H10629:H10630"/>
    <mergeCell ref="A10654:B10654"/>
    <mergeCell ref="F10654:G10654"/>
    <mergeCell ref="A10655:E10655"/>
    <mergeCell ref="F10655:G10655"/>
    <mergeCell ref="F10656:G10656"/>
    <mergeCell ref="F10657:G10657"/>
    <mergeCell ref="E10658:F10658"/>
    <mergeCell ref="E10659:F10659"/>
    <mergeCell ref="A10660:H10660"/>
    <mergeCell ref="A10661:D10661"/>
    <mergeCell ref="E10661:H10661"/>
    <mergeCell ref="A10621:D10621"/>
    <mergeCell ref="E10621:H10622"/>
    <mergeCell ref="B10622:D10622"/>
    <mergeCell ref="A10623:B10623"/>
    <mergeCell ref="C10623:D10623"/>
    <mergeCell ref="E10623:H10623"/>
    <mergeCell ref="C10624:D10624"/>
    <mergeCell ref="A10757:D10757"/>
    <mergeCell ref="A10758:D10758"/>
    <mergeCell ref="A10759:D10759"/>
    <mergeCell ref="A10760:D10760"/>
    <mergeCell ref="E10760:H10760"/>
    <mergeCell ref="A10764:D10764"/>
    <mergeCell ref="E10764:H10765"/>
    <mergeCell ref="B10765:D10765"/>
    <mergeCell ref="A10720:B10720"/>
    <mergeCell ref="C10720:D10720"/>
    <mergeCell ref="E10720:F10720"/>
    <mergeCell ref="A10721:B10721"/>
    <mergeCell ref="C10721:D10721"/>
    <mergeCell ref="E10721:F10721"/>
    <mergeCell ref="C10722:D10722"/>
    <mergeCell ref="E10722:H10722"/>
    <mergeCell ref="C10723:H10723"/>
    <mergeCell ref="A10724:A10725"/>
    <mergeCell ref="B10724:B10725"/>
    <mergeCell ref="C10724:C10725"/>
    <mergeCell ref="D10724:D10725"/>
    <mergeCell ref="E10724:E10725"/>
    <mergeCell ref="F10724:G10724"/>
    <mergeCell ref="H10724:H10725"/>
    <mergeCell ref="A10749:B10749"/>
    <mergeCell ref="F10749:G10749"/>
    <mergeCell ref="A10796:B10796"/>
    <mergeCell ref="F10796:G10796"/>
    <mergeCell ref="A10797:E10797"/>
    <mergeCell ref="F10797:G10797"/>
    <mergeCell ref="E11454:F11454"/>
    <mergeCell ref="E11455:F11455"/>
    <mergeCell ref="A11456:H11456"/>
    <mergeCell ref="A11457:D11457"/>
    <mergeCell ref="E11457:H11457"/>
    <mergeCell ref="A11458:D11458"/>
    <mergeCell ref="A11459:D11459"/>
    <mergeCell ref="A11460:D11460"/>
    <mergeCell ref="A11461:D11461"/>
    <mergeCell ref="E11461:H11461"/>
    <mergeCell ref="A11402:B11402"/>
    <mergeCell ref="F11402:G11402"/>
    <mergeCell ref="A11403:E11403"/>
    <mergeCell ref="F11403:G11403"/>
    <mergeCell ref="F11404:G11404"/>
    <mergeCell ref="A11405:B11405"/>
    <mergeCell ref="F11405:G11405"/>
    <mergeCell ref="E11406:F11406"/>
    <mergeCell ref="E11407:F11407"/>
    <mergeCell ref="A11408:H11408"/>
    <mergeCell ref="A11409:D11409"/>
    <mergeCell ref="E11409:H11409"/>
    <mergeCell ref="A11410:D11410"/>
    <mergeCell ref="A11411:D11411"/>
    <mergeCell ref="A11412:D11412"/>
    <mergeCell ref="A11413:D11413"/>
    <mergeCell ref="E11413:H11413"/>
    <mergeCell ref="A11418:D11418"/>
    <mergeCell ref="E11418:H11419"/>
    <mergeCell ref="B11419:D11419"/>
    <mergeCell ref="A11420:B11420"/>
    <mergeCell ref="C11420:D11420"/>
    <mergeCell ref="E11420:H11420"/>
    <mergeCell ref="C11421:D11421"/>
    <mergeCell ref="E11421:F11421"/>
    <mergeCell ref="A11422:B11422"/>
    <mergeCell ref="C11422:D11422"/>
    <mergeCell ref="E11422:F11422"/>
    <mergeCell ref="A11423:B11423"/>
    <mergeCell ref="C11423:D11423"/>
    <mergeCell ref="E11423:F11423"/>
    <mergeCell ref="A11424:B11424"/>
    <mergeCell ref="C11424:D11424"/>
    <mergeCell ref="E11424:H11424"/>
    <mergeCell ref="A11513:D11513"/>
    <mergeCell ref="E11513:H11514"/>
    <mergeCell ref="B11514:D11514"/>
    <mergeCell ref="A11515:B11515"/>
    <mergeCell ref="C11515:D11515"/>
    <mergeCell ref="E11515:H11515"/>
    <mergeCell ref="C11516:D11516"/>
    <mergeCell ref="E11516:F11516"/>
    <mergeCell ref="C11517:D11517"/>
    <mergeCell ref="E11517:F11517"/>
    <mergeCell ref="C11518:D11518"/>
    <mergeCell ref="E11518:F11518"/>
    <mergeCell ref="C11519:D11519"/>
    <mergeCell ref="A11520:B11520"/>
    <mergeCell ref="A11521:A11522"/>
    <mergeCell ref="B11521:B11522"/>
    <mergeCell ref="C11521:C11522"/>
    <mergeCell ref="D11521:D11522"/>
    <mergeCell ref="E11521:E11522"/>
    <mergeCell ref="F11521:G11521"/>
    <mergeCell ref="H11521:H11522"/>
    <mergeCell ref="A11545:B11545"/>
    <mergeCell ref="A11546:D11546"/>
    <mergeCell ref="A11548:C11548"/>
    <mergeCell ref="E11549:F11549"/>
    <mergeCell ref="E11550:F11550"/>
    <mergeCell ref="A11551:E11551"/>
    <mergeCell ref="A11552:C11552"/>
    <mergeCell ref="A11554:D11554"/>
    <mergeCell ref="A11555:D11555"/>
    <mergeCell ref="A11556:D11556"/>
    <mergeCell ref="E11556:H11556"/>
    <mergeCell ref="E11519:H11519"/>
    <mergeCell ref="A11560:D11560"/>
    <mergeCell ref="E11560:H11561"/>
    <mergeCell ref="B11561:D11561"/>
    <mergeCell ref="A11562:B11562"/>
    <mergeCell ref="C11562:D11562"/>
    <mergeCell ref="E11562:H11562"/>
    <mergeCell ref="C11563:D11563"/>
    <mergeCell ref="E11563:F11563"/>
    <mergeCell ref="C11564:D11564"/>
    <mergeCell ref="E11564:F11564"/>
    <mergeCell ref="C11565:D11565"/>
    <mergeCell ref="E11565:F11565"/>
    <mergeCell ref="C11566:D11566"/>
    <mergeCell ref="E11566:H11566"/>
    <mergeCell ref="A11567:B11567"/>
    <mergeCell ref="A11568:A11569"/>
    <mergeCell ref="B11568:B11569"/>
    <mergeCell ref="C11568:C11569"/>
    <mergeCell ref="D11568:D11569"/>
    <mergeCell ref="E11568:E11569"/>
    <mergeCell ref="F11568:G11568"/>
    <mergeCell ref="H11568:H11569"/>
    <mergeCell ref="A11593:B11593"/>
    <mergeCell ref="A11594:D11594"/>
    <mergeCell ref="A11596:C11596"/>
    <mergeCell ref="E11597:F11597"/>
    <mergeCell ref="E11598:F11598"/>
    <mergeCell ref="A11599:E11599"/>
    <mergeCell ref="A11600:C11600"/>
    <mergeCell ref="A11602:D11602"/>
    <mergeCell ref="A11603:D11603"/>
    <mergeCell ref="A11604:D11604"/>
    <mergeCell ref="E11604:H11604"/>
    <mergeCell ref="A11740:H11740"/>
    <mergeCell ref="A11741:C11741"/>
    <mergeCell ref="E11741:H11741"/>
    <mergeCell ref="A11743:D11743"/>
    <mergeCell ref="A11744:D11744"/>
    <mergeCell ref="A11745:D11745"/>
    <mergeCell ref="E11745:H11745"/>
    <mergeCell ref="A11703:D11703"/>
    <mergeCell ref="E11703:H11704"/>
    <mergeCell ref="B11704:D11704"/>
    <mergeCell ref="A11705:B11705"/>
    <mergeCell ref="D11705:E11705"/>
    <mergeCell ref="C11706:D11706"/>
    <mergeCell ref="E11706:F11706"/>
    <mergeCell ref="A11707:B11707"/>
    <mergeCell ref="C11707:D11707"/>
    <mergeCell ref="E11707:F11707"/>
    <mergeCell ref="A11708:B11708"/>
    <mergeCell ref="C11708:D11708"/>
    <mergeCell ref="E11708:F11708"/>
    <mergeCell ref="A11709:B11709"/>
    <mergeCell ref="C11709:D11709"/>
    <mergeCell ref="E11709:G11709"/>
    <mergeCell ref="A11710:B11710"/>
    <mergeCell ref="A11711:A11712"/>
    <mergeCell ref="B11711:B11712"/>
    <mergeCell ref="C11711:C11712"/>
    <mergeCell ref="D11711:D11712"/>
    <mergeCell ref="E11711:E11712"/>
    <mergeCell ref="F11711:G11711"/>
    <mergeCell ref="H11711:H11712"/>
    <mergeCell ref="A11733:B11733"/>
    <mergeCell ref="F11733:G11733"/>
    <mergeCell ref="A11734:E11734"/>
    <mergeCell ref="F11734:G11734"/>
    <mergeCell ref="F11735:G11735"/>
    <mergeCell ref="A11736:B11736"/>
    <mergeCell ref="F11736:G11736"/>
    <mergeCell ref="E11738:F11738"/>
    <mergeCell ref="E11739:F11739"/>
    <mergeCell ref="A11798:D11798"/>
    <mergeCell ref="E11798:H11799"/>
    <mergeCell ref="B11799:D11799"/>
    <mergeCell ref="A11800:B11800"/>
    <mergeCell ref="D11800:E11800"/>
    <mergeCell ref="C11801:D11801"/>
    <mergeCell ref="E11801:F11801"/>
    <mergeCell ref="A11802:B11802"/>
    <mergeCell ref="C11802:D11802"/>
    <mergeCell ref="E11802:F11802"/>
    <mergeCell ref="A11803:B11803"/>
    <mergeCell ref="C11803:D11803"/>
    <mergeCell ref="E11803:F11803"/>
    <mergeCell ref="A11804:B11804"/>
    <mergeCell ref="C11804:D11804"/>
    <mergeCell ref="E11804:H11804"/>
    <mergeCell ref="C11805:H11805"/>
    <mergeCell ref="A11806:A11807"/>
    <mergeCell ref="B11806:B11807"/>
    <mergeCell ref="C11806:C11807"/>
    <mergeCell ref="D11806:D11807"/>
    <mergeCell ref="E11806:E11807"/>
    <mergeCell ref="F11806:G11806"/>
    <mergeCell ref="H11806:H11807"/>
    <mergeCell ref="A11824:B11824"/>
    <mergeCell ref="F11824:G11824"/>
    <mergeCell ref="A11825:E11825"/>
    <mergeCell ref="F11825:G11825"/>
    <mergeCell ref="F11826:G11826"/>
    <mergeCell ref="F11827:G11827"/>
    <mergeCell ref="E11828:F11828"/>
    <mergeCell ref="E11829:F11829"/>
    <mergeCell ref="A11830:H11830"/>
    <mergeCell ref="F11868:G11868"/>
    <mergeCell ref="A11869:D11869"/>
    <mergeCell ref="F11869:G11869"/>
    <mergeCell ref="E11870:F11870"/>
    <mergeCell ref="E11871:F11871"/>
    <mergeCell ref="A11872:H11872"/>
    <mergeCell ref="A11873:D11873"/>
    <mergeCell ref="E11873:H11873"/>
    <mergeCell ref="A11874:D11874"/>
    <mergeCell ref="A11875:D11875"/>
    <mergeCell ref="A11876:D11876"/>
    <mergeCell ref="A11877:D11877"/>
    <mergeCell ref="E11877:H11877"/>
    <mergeCell ref="A11831:D11831"/>
    <mergeCell ref="E11831:H11831"/>
    <mergeCell ref="A11832:D11832"/>
    <mergeCell ref="A11833:D11833"/>
    <mergeCell ref="A11834:D11834"/>
    <mergeCell ref="A11835:D11835"/>
    <mergeCell ref="E11835:H11835"/>
    <mergeCell ref="A11839:D11839"/>
    <mergeCell ref="E11839:H11840"/>
    <mergeCell ref="B11840:D11840"/>
    <mergeCell ref="A11841:B11841"/>
    <mergeCell ref="C11841:D11841"/>
    <mergeCell ref="E11841:H11841"/>
    <mergeCell ref="C11842:D11842"/>
    <mergeCell ref="E11842:F11842"/>
    <mergeCell ref="C11843:D11843"/>
    <mergeCell ref="E11843:F11843"/>
    <mergeCell ref="C11844:D11844"/>
    <mergeCell ref="E11844:F11844"/>
    <mergeCell ref="C11845:D11845"/>
    <mergeCell ref="E11845:H11845"/>
    <mergeCell ref="C11846:H11846"/>
    <mergeCell ref="A11847:A11848"/>
    <mergeCell ref="B11847:B11848"/>
    <mergeCell ref="C11847:C11848"/>
    <mergeCell ref="D11847:D11848"/>
    <mergeCell ref="E11847:E11848"/>
    <mergeCell ref="F11847:G11847"/>
    <mergeCell ref="H11847:H11848"/>
    <mergeCell ref="A11866:C11866"/>
    <mergeCell ref="F11866:G11866"/>
    <mergeCell ref="A11867:E11867"/>
    <mergeCell ref="F11867:G11867"/>
  </mergeCells>
  <pageMargins left="0.3" right="0.13" top="0.32" bottom="0.2" header="0.28000000000000003" footer="0.16"/>
  <pageSetup orientation="portrait" horizontalDpi="300" verticalDpi="300" r:id="rId1"/>
  <ignoredErrors>
    <ignoredError sqref="E184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2026-04-17T08:34:46Z</dcterms:modified>
</cp:coreProperties>
</file>